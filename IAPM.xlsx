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defaultThemeVersion="166925"/>
  <mc:AlternateContent xmlns:mc="http://schemas.openxmlformats.org/markup-compatibility/2006">
    <mc:Choice Requires="x15">
      <x15ac:absPath xmlns:x15ac="http://schemas.microsoft.com/office/spreadsheetml/2010/11/ac" url="C:\Users\HP\Desktop\PGP - 2\Term 4\IAPM\Project\files\"/>
    </mc:Choice>
  </mc:AlternateContent>
  <xr:revisionPtr revIDLastSave="0" documentId="8_{0D525DC2-D58D-4F85-9328-85710F7BAD20}" xr6:coauthVersionLast="47" xr6:coauthVersionMax="47" xr10:uidLastSave="{00000000-0000-0000-0000-000000000000}"/>
  <bookViews>
    <workbookView xWindow="-108" yWindow="-108" windowWidth="23256" windowHeight="12456" firstSheet="6" xr2:uid="{00000000-000D-0000-FFFF-FFFF00000000}"/>
  </bookViews>
  <sheets>
    <sheet name="Economic &amp; Industry Inputs" sheetId="1" r:id="rId1"/>
    <sheet name="M&amp;M" sheetId="2" r:id="rId2"/>
    <sheet name="Coforge" sheetId="3" r:id="rId3"/>
    <sheet name="Dr Reddy" sheetId="4" r:id="rId4"/>
    <sheet name="Britannia" sheetId="5" r:id="rId5"/>
    <sheet name="Portfolio Construction" sheetId="6" r:id="rId6"/>
    <sheet name="AI-Assisted Recommendation" sheetId="7" r:id="rId7"/>
    <sheet name="Risks &amp; Conclusion" sheetId="8" r:id="rId8"/>
    <sheet name="Final Output" sheetId="9" r:id="rId9"/>
  </sheets>
  <definedNames>
    <definedName name="solver_adj" localSheetId="5" hidden="1">'Portfolio Construction'!$B$2525:$E$2525</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lhs1" localSheetId="5" hidden="1">'Portfolio Construction'!$B$2525</definedName>
    <definedName name="solver_lhs2" localSheetId="5" hidden="1">'Portfolio Construction'!$B$2525</definedName>
    <definedName name="solver_lhs3" localSheetId="5" hidden="1">'Portfolio Construction'!$B$2526</definedName>
    <definedName name="solver_lhs4" localSheetId="5" hidden="1">'Portfolio Construction'!$C$2525</definedName>
    <definedName name="solver_lhs5" localSheetId="5" hidden="1">'Portfolio Construction'!$C$2525</definedName>
    <definedName name="solver_lhs6" localSheetId="5" hidden="1">'Portfolio Construction'!$D$2525</definedName>
    <definedName name="solver_lhs7" localSheetId="5" hidden="1">'Portfolio Construction'!$D$2525</definedName>
    <definedName name="solver_lhs8" localSheetId="5" hidden="1">'Portfolio Construction'!$E$2525</definedName>
    <definedName name="solver_lhs9" localSheetId="5" hidden="1">'Portfolio Construction'!$E$2525</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9</definedName>
    <definedName name="solver_nwt" localSheetId="5" hidden="1">1</definedName>
    <definedName name="solver_opt" localSheetId="5" hidden="1">'Portfolio Construction'!$B$2532</definedName>
    <definedName name="solver_pre" localSheetId="5" hidden="1">0.000001</definedName>
    <definedName name="solver_rbv" localSheetId="5" hidden="1">1</definedName>
    <definedName name="solver_rel1" localSheetId="5" hidden="1">1</definedName>
    <definedName name="solver_rel2" localSheetId="5" hidden="1">3</definedName>
    <definedName name="solver_rel3" localSheetId="5" hidden="1">2</definedName>
    <definedName name="solver_rel4" localSheetId="5" hidden="1">1</definedName>
    <definedName name="solver_rel5" localSheetId="5" hidden="1">3</definedName>
    <definedName name="solver_rel6" localSheetId="5" hidden="1">1</definedName>
    <definedName name="solver_rel7" localSheetId="5" hidden="1">3</definedName>
    <definedName name="solver_rel8" localSheetId="5" hidden="1">1</definedName>
    <definedName name="solver_rel9" localSheetId="5" hidden="1">3</definedName>
    <definedName name="solver_rhs1" localSheetId="5" hidden="1">'Portfolio Construction'!$G$2526</definedName>
    <definedName name="solver_rhs2" localSheetId="5" hidden="1">'Portfolio Construction'!$G$2525</definedName>
    <definedName name="solver_rhs3" localSheetId="5" hidden="1">'Portfolio Construction'!$G$2524</definedName>
    <definedName name="solver_rhs4" localSheetId="5" hidden="1">'Portfolio Construction'!$G$2526</definedName>
    <definedName name="solver_rhs5" localSheetId="5" hidden="1">'Portfolio Construction'!$G$2525</definedName>
    <definedName name="solver_rhs6" localSheetId="5" hidden="1">'Portfolio Construction'!$G$2526</definedName>
    <definedName name="solver_rhs7" localSheetId="5" hidden="1">'Portfolio Construction'!$G$2525</definedName>
    <definedName name="solver_rhs8" localSheetId="5" hidden="1">'Portfolio Construction'!$G$2526</definedName>
    <definedName name="solver_rhs9" localSheetId="5" hidden="1">'Portfolio Construction'!$G$2525</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1</definedName>
    <definedName name="solver_val" localSheetId="5" hidden="1">0</definedName>
    <definedName name="solver_ver" localSheetId="5"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51" i="6" l="1"/>
  <c r="F2485" i="6"/>
  <c r="E2485" i="6"/>
  <c r="D2485" i="6"/>
  <c r="C2485" i="6"/>
  <c r="B2485" i="6"/>
  <c r="F2484" i="6"/>
  <c r="E2484" i="6"/>
  <c r="D2484" i="6"/>
  <c r="C2484" i="6"/>
  <c r="B2484" i="6"/>
  <c r="F2483" i="6"/>
  <c r="E2483" i="6"/>
  <c r="D2483" i="6"/>
  <c r="C2483" i="6"/>
  <c r="B2483" i="6"/>
  <c r="F2482" i="6"/>
  <c r="E2482" i="6"/>
  <c r="D2482" i="6"/>
  <c r="C2482" i="6"/>
  <c r="B2482" i="6"/>
  <c r="F2481" i="6"/>
  <c r="E2481" i="6"/>
  <c r="D2481" i="6"/>
  <c r="C2481" i="6"/>
  <c r="B2481" i="6"/>
  <c r="F2480" i="6"/>
  <c r="E2480" i="6"/>
  <c r="D2480" i="6"/>
  <c r="C2480" i="6"/>
  <c r="B2480" i="6"/>
  <c r="F2479" i="6"/>
  <c r="E2479" i="6"/>
  <c r="D2479" i="6"/>
  <c r="C2479" i="6"/>
  <c r="B2479" i="6"/>
  <c r="F2478" i="6"/>
  <c r="E2478" i="6"/>
  <c r="D2478" i="6"/>
  <c r="C2478" i="6"/>
  <c r="B2478" i="6"/>
  <c r="F2477" i="6"/>
  <c r="E2477" i="6"/>
  <c r="D2477" i="6"/>
  <c r="C2477" i="6"/>
  <c r="B2477" i="6"/>
  <c r="F2476" i="6"/>
  <c r="E2476" i="6"/>
  <c r="D2476" i="6"/>
  <c r="C2476" i="6"/>
  <c r="B2476" i="6"/>
  <c r="F2475" i="6"/>
  <c r="E2475" i="6"/>
  <c r="D2475" i="6"/>
  <c r="C2475" i="6"/>
  <c r="B2475" i="6"/>
  <c r="F2474" i="6"/>
  <c r="E2474" i="6"/>
  <c r="D2474" i="6"/>
  <c r="C2474" i="6"/>
  <c r="B2474" i="6"/>
  <c r="F2473" i="6"/>
  <c r="E2473" i="6"/>
  <c r="D2473" i="6"/>
  <c r="C2473" i="6"/>
  <c r="B2473" i="6"/>
  <c r="F2472" i="6"/>
  <c r="E2472" i="6"/>
  <c r="D2472" i="6"/>
  <c r="C2472" i="6"/>
  <c r="B2472" i="6"/>
  <c r="F2471" i="6"/>
  <c r="E2471" i="6"/>
  <c r="D2471" i="6"/>
  <c r="C2471" i="6"/>
  <c r="B2471" i="6"/>
  <c r="F2470" i="6"/>
  <c r="E2470" i="6"/>
  <c r="D2470" i="6"/>
  <c r="C2470" i="6"/>
  <c r="B2470" i="6"/>
  <c r="F2469" i="6"/>
  <c r="E2469" i="6"/>
  <c r="D2469" i="6"/>
  <c r="C2469" i="6"/>
  <c r="B2469" i="6"/>
  <c r="F2468" i="6"/>
  <c r="E2468" i="6"/>
  <c r="D2468" i="6"/>
  <c r="C2468" i="6"/>
  <c r="B2468" i="6"/>
  <c r="F2467" i="6"/>
  <c r="E2467" i="6"/>
  <c r="D2467" i="6"/>
  <c r="C2467" i="6"/>
  <c r="B2467" i="6"/>
  <c r="F2466" i="6"/>
  <c r="E2466" i="6"/>
  <c r="D2466" i="6"/>
  <c r="C2466" i="6"/>
  <c r="B2466" i="6"/>
  <c r="F2465" i="6"/>
  <c r="E2465" i="6"/>
  <c r="D2465" i="6"/>
  <c r="C2465" i="6"/>
  <c r="B2465" i="6"/>
  <c r="F2464" i="6"/>
  <c r="E2464" i="6"/>
  <c r="D2464" i="6"/>
  <c r="C2464" i="6"/>
  <c r="B2464" i="6"/>
  <c r="F2463" i="6"/>
  <c r="E2463" i="6"/>
  <c r="D2463" i="6"/>
  <c r="C2463" i="6"/>
  <c r="B2463" i="6"/>
  <c r="F2462" i="6"/>
  <c r="E2462" i="6"/>
  <c r="D2462" i="6"/>
  <c r="C2462" i="6"/>
  <c r="B2462" i="6"/>
  <c r="F2461" i="6"/>
  <c r="E2461" i="6"/>
  <c r="D2461" i="6"/>
  <c r="C2461" i="6"/>
  <c r="B2461" i="6"/>
  <c r="F2460" i="6"/>
  <c r="E2460" i="6"/>
  <c r="D2460" i="6"/>
  <c r="C2460" i="6"/>
  <c r="B2460" i="6"/>
  <c r="F2459" i="6"/>
  <c r="E2459" i="6"/>
  <c r="D2459" i="6"/>
  <c r="C2459" i="6"/>
  <c r="B2459" i="6"/>
  <c r="F2458" i="6"/>
  <c r="E2458" i="6"/>
  <c r="D2458" i="6"/>
  <c r="C2458" i="6"/>
  <c r="B2458" i="6"/>
  <c r="F2457" i="6"/>
  <c r="E2457" i="6"/>
  <c r="D2457" i="6"/>
  <c r="C2457" i="6"/>
  <c r="B2457" i="6"/>
  <c r="F2456" i="6"/>
  <c r="E2456" i="6"/>
  <c r="D2456" i="6"/>
  <c r="C2456" i="6"/>
  <c r="B2456" i="6"/>
  <c r="F2455" i="6"/>
  <c r="E2455" i="6"/>
  <c r="D2455" i="6"/>
  <c r="C2455" i="6"/>
  <c r="B2455" i="6"/>
  <c r="F2454" i="6"/>
  <c r="E2454" i="6"/>
  <c r="D2454" i="6"/>
  <c r="C2454" i="6"/>
  <c r="B2454" i="6"/>
  <c r="F2453" i="6"/>
  <c r="E2453" i="6"/>
  <c r="D2453" i="6"/>
  <c r="C2453" i="6"/>
  <c r="B2453" i="6"/>
  <c r="F2452" i="6"/>
  <c r="E2452" i="6"/>
  <c r="D2452" i="6"/>
  <c r="C2452" i="6"/>
  <c r="B2452" i="6"/>
  <c r="F2451" i="6"/>
  <c r="E2451" i="6"/>
  <c r="D2451" i="6"/>
  <c r="C2451" i="6"/>
  <c r="B2451" i="6"/>
  <c r="F2450" i="6"/>
  <c r="E2450" i="6"/>
  <c r="D2450" i="6"/>
  <c r="C2450" i="6"/>
  <c r="B2450" i="6"/>
  <c r="F2449" i="6"/>
  <c r="E2449" i="6"/>
  <c r="D2449" i="6"/>
  <c r="C2449" i="6"/>
  <c r="B2449" i="6"/>
  <c r="F2448" i="6"/>
  <c r="E2448" i="6"/>
  <c r="D2448" i="6"/>
  <c r="C2448" i="6"/>
  <c r="B2448" i="6"/>
  <c r="F2447" i="6"/>
  <c r="E2447" i="6"/>
  <c r="D2447" i="6"/>
  <c r="C2447" i="6"/>
  <c r="B2447" i="6"/>
  <c r="F2446" i="6"/>
  <c r="E2446" i="6"/>
  <c r="D2446" i="6"/>
  <c r="C2446" i="6"/>
  <c r="B2446" i="6"/>
  <c r="F2445" i="6"/>
  <c r="E2445" i="6"/>
  <c r="D2445" i="6"/>
  <c r="C2445" i="6"/>
  <c r="B2445" i="6"/>
  <c r="F2444" i="6"/>
  <c r="E2444" i="6"/>
  <c r="D2444" i="6"/>
  <c r="C2444" i="6"/>
  <c r="B2444" i="6"/>
  <c r="F2443" i="6"/>
  <c r="E2443" i="6"/>
  <c r="D2443" i="6"/>
  <c r="C2443" i="6"/>
  <c r="B2443" i="6"/>
  <c r="F2442" i="6"/>
  <c r="E2442" i="6"/>
  <c r="D2442" i="6"/>
  <c r="C2442" i="6"/>
  <c r="B2442" i="6"/>
  <c r="F2441" i="6"/>
  <c r="E2441" i="6"/>
  <c r="D2441" i="6"/>
  <c r="C2441" i="6"/>
  <c r="B2441" i="6"/>
  <c r="F2440" i="6"/>
  <c r="E2440" i="6"/>
  <c r="D2440" i="6"/>
  <c r="C2440" i="6"/>
  <c r="B2440" i="6"/>
  <c r="F2439" i="6"/>
  <c r="E2439" i="6"/>
  <c r="D2439" i="6"/>
  <c r="C2439" i="6"/>
  <c r="B2439" i="6"/>
  <c r="F2438" i="6"/>
  <c r="E2438" i="6"/>
  <c r="D2438" i="6"/>
  <c r="C2438" i="6"/>
  <c r="B2438" i="6"/>
  <c r="F2437" i="6"/>
  <c r="E2437" i="6"/>
  <c r="D2437" i="6"/>
  <c r="C2437" i="6"/>
  <c r="B2437" i="6"/>
  <c r="F2436" i="6"/>
  <c r="E2436" i="6"/>
  <c r="D2436" i="6"/>
  <c r="C2436" i="6"/>
  <c r="B2436" i="6"/>
  <c r="F2435" i="6"/>
  <c r="E2435" i="6"/>
  <c r="D2435" i="6"/>
  <c r="C2435" i="6"/>
  <c r="B2435" i="6"/>
  <c r="F2434" i="6"/>
  <c r="E2434" i="6"/>
  <c r="D2434" i="6"/>
  <c r="C2434" i="6"/>
  <c r="B2434" i="6"/>
  <c r="F2433" i="6"/>
  <c r="E2433" i="6"/>
  <c r="D2433" i="6"/>
  <c r="C2433" i="6"/>
  <c r="B2433" i="6"/>
  <c r="F2432" i="6"/>
  <c r="E2432" i="6"/>
  <c r="D2432" i="6"/>
  <c r="C2432" i="6"/>
  <c r="B2432" i="6"/>
  <c r="F2431" i="6"/>
  <c r="E2431" i="6"/>
  <c r="D2431" i="6"/>
  <c r="C2431" i="6"/>
  <c r="B2431" i="6"/>
  <c r="F2430" i="6"/>
  <c r="E2430" i="6"/>
  <c r="D2430" i="6"/>
  <c r="C2430" i="6"/>
  <c r="B2430" i="6"/>
  <c r="F2429" i="6"/>
  <c r="E2429" i="6"/>
  <c r="D2429" i="6"/>
  <c r="C2429" i="6"/>
  <c r="B2429" i="6"/>
  <c r="F2428" i="6"/>
  <c r="E2428" i="6"/>
  <c r="D2428" i="6"/>
  <c r="C2428" i="6"/>
  <c r="B2428" i="6"/>
  <c r="F2427" i="6"/>
  <c r="E2427" i="6"/>
  <c r="D2427" i="6"/>
  <c r="C2427" i="6"/>
  <c r="B2427" i="6"/>
  <c r="F2426" i="6"/>
  <c r="E2426" i="6"/>
  <c r="D2426" i="6"/>
  <c r="C2426" i="6"/>
  <c r="B2426" i="6"/>
  <c r="F2425" i="6"/>
  <c r="E2425" i="6"/>
  <c r="D2425" i="6"/>
  <c r="C2425" i="6"/>
  <c r="B2425" i="6"/>
  <c r="F2424" i="6"/>
  <c r="E2424" i="6"/>
  <c r="D2424" i="6"/>
  <c r="C2424" i="6"/>
  <c r="B2424" i="6"/>
  <c r="F2423" i="6"/>
  <c r="E2423" i="6"/>
  <c r="D2423" i="6"/>
  <c r="C2423" i="6"/>
  <c r="B2423" i="6"/>
  <c r="F2422" i="6"/>
  <c r="E2422" i="6"/>
  <c r="D2422" i="6"/>
  <c r="C2422" i="6"/>
  <c r="B2422" i="6"/>
  <c r="F2421" i="6"/>
  <c r="E2421" i="6"/>
  <c r="D2421" i="6"/>
  <c r="C2421" i="6"/>
  <c r="B2421" i="6"/>
  <c r="F2420" i="6"/>
  <c r="E2420" i="6"/>
  <c r="D2420" i="6"/>
  <c r="C2420" i="6"/>
  <c r="B2420" i="6"/>
  <c r="F2419" i="6"/>
  <c r="E2419" i="6"/>
  <c r="D2419" i="6"/>
  <c r="C2419" i="6"/>
  <c r="B2419" i="6"/>
  <c r="F2418" i="6"/>
  <c r="E2418" i="6"/>
  <c r="D2418" i="6"/>
  <c r="C2418" i="6"/>
  <c r="B2418" i="6"/>
  <c r="F2417" i="6"/>
  <c r="E2417" i="6"/>
  <c r="D2417" i="6"/>
  <c r="C2417" i="6"/>
  <c r="B2417" i="6"/>
  <c r="F2416" i="6"/>
  <c r="E2416" i="6"/>
  <c r="D2416" i="6"/>
  <c r="C2416" i="6"/>
  <c r="B2416" i="6"/>
  <c r="F2415" i="6"/>
  <c r="E2415" i="6"/>
  <c r="D2415" i="6"/>
  <c r="C2415" i="6"/>
  <c r="B2415" i="6"/>
  <c r="F2414" i="6"/>
  <c r="E2414" i="6"/>
  <c r="D2414" i="6"/>
  <c r="C2414" i="6"/>
  <c r="B2414" i="6"/>
  <c r="F2413" i="6"/>
  <c r="E2413" i="6"/>
  <c r="D2413" i="6"/>
  <c r="C2413" i="6"/>
  <c r="B2413" i="6"/>
  <c r="F2412" i="6"/>
  <c r="E2412" i="6"/>
  <c r="D2412" i="6"/>
  <c r="C2412" i="6"/>
  <c r="B2412" i="6"/>
  <c r="F2411" i="6"/>
  <c r="E2411" i="6"/>
  <c r="D2411" i="6"/>
  <c r="C2411" i="6"/>
  <c r="B2411" i="6"/>
  <c r="F2410" i="6"/>
  <c r="E2410" i="6"/>
  <c r="D2410" i="6"/>
  <c r="C2410" i="6"/>
  <c r="B2410" i="6"/>
  <c r="F2409" i="6"/>
  <c r="E2409" i="6"/>
  <c r="D2409" i="6"/>
  <c r="C2409" i="6"/>
  <c r="B2409" i="6"/>
  <c r="F2408" i="6"/>
  <c r="E2408" i="6"/>
  <c r="D2408" i="6"/>
  <c r="C2408" i="6"/>
  <c r="B2408" i="6"/>
  <c r="F2407" i="6"/>
  <c r="E2407" i="6"/>
  <c r="D2407" i="6"/>
  <c r="C2407" i="6"/>
  <c r="B2407" i="6"/>
  <c r="F2406" i="6"/>
  <c r="E2406" i="6"/>
  <c r="D2406" i="6"/>
  <c r="C2406" i="6"/>
  <c r="B2406" i="6"/>
  <c r="F2405" i="6"/>
  <c r="E2405" i="6"/>
  <c r="D2405" i="6"/>
  <c r="C2405" i="6"/>
  <c r="B2405" i="6"/>
  <c r="F2404" i="6"/>
  <c r="E2404" i="6"/>
  <c r="D2404" i="6"/>
  <c r="C2404" i="6"/>
  <c r="B2404" i="6"/>
  <c r="F2403" i="6"/>
  <c r="E2403" i="6"/>
  <c r="D2403" i="6"/>
  <c r="C2403" i="6"/>
  <c r="B2403" i="6"/>
  <c r="F2402" i="6"/>
  <c r="E2402" i="6"/>
  <c r="D2402" i="6"/>
  <c r="C2402" i="6"/>
  <c r="B2402" i="6"/>
  <c r="F2401" i="6"/>
  <c r="E2401" i="6"/>
  <c r="D2401" i="6"/>
  <c r="C2401" i="6"/>
  <c r="B2401" i="6"/>
  <c r="F2400" i="6"/>
  <c r="E2400" i="6"/>
  <c r="D2400" i="6"/>
  <c r="C2400" i="6"/>
  <c r="B2400" i="6"/>
  <c r="F2399" i="6"/>
  <c r="E2399" i="6"/>
  <c r="D2399" i="6"/>
  <c r="C2399" i="6"/>
  <c r="B2399" i="6"/>
  <c r="F2398" i="6"/>
  <c r="E2398" i="6"/>
  <c r="D2398" i="6"/>
  <c r="C2398" i="6"/>
  <c r="B2398" i="6"/>
  <c r="F2397" i="6"/>
  <c r="E2397" i="6"/>
  <c r="D2397" i="6"/>
  <c r="C2397" i="6"/>
  <c r="B2397" i="6"/>
  <c r="F2396" i="6"/>
  <c r="E2396" i="6"/>
  <c r="D2396" i="6"/>
  <c r="C2396" i="6"/>
  <c r="B2396" i="6"/>
  <c r="F2395" i="6"/>
  <c r="E2395" i="6"/>
  <c r="D2395" i="6"/>
  <c r="C2395" i="6"/>
  <c r="B2395" i="6"/>
  <c r="F2394" i="6"/>
  <c r="E2394" i="6"/>
  <c r="D2394" i="6"/>
  <c r="C2394" i="6"/>
  <c r="B2394" i="6"/>
  <c r="F2393" i="6"/>
  <c r="E2393" i="6"/>
  <c r="D2393" i="6"/>
  <c r="C2393" i="6"/>
  <c r="B2393" i="6"/>
  <c r="F2392" i="6"/>
  <c r="E2392" i="6"/>
  <c r="D2392" i="6"/>
  <c r="C2392" i="6"/>
  <c r="B2392" i="6"/>
  <c r="F2391" i="6"/>
  <c r="E2391" i="6"/>
  <c r="D2391" i="6"/>
  <c r="C2391" i="6"/>
  <c r="B2391" i="6"/>
  <c r="F2390" i="6"/>
  <c r="E2390" i="6"/>
  <c r="D2390" i="6"/>
  <c r="C2390" i="6"/>
  <c r="B2390" i="6"/>
  <c r="F2389" i="6"/>
  <c r="E2389" i="6"/>
  <c r="D2389" i="6"/>
  <c r="C2389" i="6"/>
  <c r="B2389" i="6"/>
  <c r="F2388" i="6"/>
  <c r="E2388" i="6"/>
  <c r="D2388" i="6"/>
  <c r="C2388" i="6"/>
  <c r="B2388" i="6"/>
  <c r="F2387" i="6"/>
  <c r="E2387" i="6"/>
  <c r="D2387" i="6"/>
  <c r="C2387" i="6"/>
  <c r="B2387" i="6"/>
  <c r="F2386" i="6"/>
  <c r="E2386" i="6"/>
  <c r="D2386" i="6"/>
  <c r="C2386" i="6"/>
  <c r="B2386" i="6"/>
  <c r="F2385" i="6"/>
  <c r="E2385" i="6"/>
  <c r="D2385" i="6"/>
  <c r="C2385" i="6"/>
  <c r="B2385" i="6"/>
  <c r="F2384" i="6"/>
  <c r="E2384" i="6"/>
  <c r="D2384" i="6"/>
  <c r="C2384" i="6"/>
  <c r="B2384" i="6"/>
  <c r="F2383" i="6"/>
  <c r="E2383" i="6"/>
  <c r="D2383" i="6"/>
  <c r="C2383" i="6"/>
  <c r="B2383" i="6"/>
  <c r="F2382" i="6"/>
  <c r="E2382" i="6"/>
  <c r="D2382" i="6"/>
  <c r="C2382" i="6"/>
  <c r="B2382" i="6"/>
  <c r="F2381" i="6"/>
  <c r="E2381" i="6"/>
  <c r="D2381" i="6"/>
  <c r="C2381" i="6"/>
  <c r="B2381" i="6"/>
  <c r="F2380" i="6"/>
  <c r="E2380" i="6"/>
  <c r="D2380" i="6"/>
  <c r="C2380" i="6"/>
  <c r="B2380" i="6"/>
  <c r="F2379" i="6"/>
  <c r="E2379" i="6"/>
  <c r="D2379" i="6"/>
  <c r="C2379" i="6"/>
  <c r="B2379" i="6"/>
  <c r="F2378" i="6"/>
  <c r="E2378" i="6"/>
  <c r="D2378" i="6"/>
  <c r="C2378" i="6"/>
  <c r="B2378" i="6"/>
  <c r="F2377" i="6"/>
  <c r="E2377" i="6"/>
  <c r="D2377" i="6"/>
  <c r="C2377" i="6"/>
  <c r="B2377" i="6"/>
  <c r="F2376" i="6"/>
  <c r="E2376" i="6"/>
  <c r="D2376" i="6"/>
  <c r="C2376" i="6"/>
  <c r="B2376" i="6"/>
  <c r="F2375" i="6"/>
  <c r="E2375" i="6"/>
  <c r="D2375" i="6"/>
  <c r="C2375" i="6"/>
  <c r="B2375" i="6"/>
  <c r="F2374" i="6"/>
  <c r="E2374" i="6"/>
  <c r="D2374" i="6"/>
  <c r="C2374" i="6"/>
  <c r="B2374" i="6"/>
  <c r="F2373" i="6"/>
  <c r="E2373" i="6"/>
  <c r="D2373" i="6"/>
  <c r="C2373" i="6"/>
  <c r="B2373" i="6"/>
  <c r="F2372" i="6"/>
  <c r="E2372" i="6"/>
  <c r="D2372" i="6"/>
  <c r="C2372" i="6"/>
  <c r="B2372" i="6"/>
  <c r="F2371" i="6"/>
  <c r="E2371" i="6"/>
  <c r="D2371" i="6"/>
  <c r="C2371" i="6"/>
  <c r="B2371" i="6"/>
  <c r="F2370" i="6"/>
  <c r="E2370" i="6"/>
  <c r="D2370" i="6"/>
  <c r="C2370" i="6"/>
  <c r="B2370" i="6"/>
  <c r="F2369" i="6"/>
  <c r="E2369" i="6"/>
  <c r="D2369" i="6"/>
  <c r="C2369" i="6"/>
  <c r="B2369" i="6"/>
  <c r="F2368" i="6"/>
  <c r="E2368" i="6"/>
  <c r="D2368" i="6"/>
  <c r="C2368" i="6"/>
  <c r="B2368" i="6"/>
  <c r="F2367" i="6"/>
  <c r="E2367" i="6"/>
  <c r="D2367" i="6"/>
  <c r="C2367" i="6"/>
  <c r="B2367" i="6"/>
  <c r="F2366" i="6"/>
  <c r="E2366" i="6"/>
  <c r="D2366" i="6"/>
  <c r="C2366" i="6"/>
  <c r="B2366" i="6"/>
  <c r="F2365" i="6"/>
  <c r="E2365" i="6"/>
  <c r="D2365" i="6"/>
  <c r="C2365" i="6"/>
  <c r="B2365" i="6"/>
  <c r="F2364" i="6"/>
  <c r="E2364" i="6"/>
  <c r="D2364" i="6"/>
  <c r="C2364" i="6"/>
  <c r="B2364" i="6"/>
  <c r="F2363" i="6"/>
  <c r="E2363" i="6"/>
  <c r="D2363" i="6"/>
  <c r="C2363" i="6"/>
  <c r="B2363" i="6"/>
  <c r="F2362" i="6"/>
  <c r="E2362" i="6"/>
  <c r="D2362" i="6"/>
  <c r="C2362" i="6"/>
  <c r="B2362" i="6"/>
  <c r="F2361" i="6"/>
  <c r="E2361" i="6"/>
  <c r="D2361" i="6"/>
  <c r="C2361" i="6"/>
  <c r="B2361" i="6"/>
  <c r="F2360" i="6"/>
  <c r="E2360" i="6"/>
  <c r="D2360" i="6"/>
  <c r="C2360" i="6"/>
  <c r="B2360" i="6"/>
  <c r="F2359" i="6"/>
  <c r="E2359" i="6"/>
  <c r="D2359" i="6"/>
  <c r="C2359" i="6"/>
  <c r="B2359" i="6"/>
  <c r="F2358" i="6"/>
  <c r="E2358" i="6"/>
  <c r="D2358" i="6"/>
  <c r="C2358" i="6"/>
  <c r="B2358" i="6"/>
  <c r="F2357" i="6"/>
  <c r="E2357" i="6"/>
  <c r="D2357" i="6"/>
  <c r="C2357" i="6"/>
  <c r="B2357" i="6"/>
  <c r="F2356" i="6"/>
  <c r="E2356" i="6"/>
  <c r="D2356" i="6"/>
  <c r="C2356" i="6"/>
  <c r="B2356" i="6"/>
  <c r="F2355" i="6"/>
  <c r="E2355" i="6"/>
  <c r="D2355" i="6"/>
  <c r="C2355" i="6"/>
  <c r="B2355" i="6"/>
  <c r="F2354" i="6"/>
  <c r="E2354" i="6"/>
  <c r="D2354" i="6"/>
  <c r="C2354" i="6"/>
  <c r="B2354" i="6"/>
  <c r="F2353" i="6"/>
  <c r="E2353" i="6"/>
  <c r="D2353" i="6"/>
  <c r="C2353" i="6"/>
  <c r="B2353" i="6"/>
  <c r="F2352" i="6"/>
  <c r="E2352" i="6"/>
  <c r="D2352" i="6"/>
  <c r="C2352" i="6"/>
  <c r="B2352" i="6"/>
  <c r="F2351" i="6"/>
  <c r="E2351" i="6"/>
  <c r="D2351" i="6"/>
  <c r="C2351" i="6"/>
  <c r="B2351" i="6"/>
  <c r="F2350" i="6"/>
  <c r="E2350" i="6"/>
  <c r="D2350" i="6"/>
  <c r="C2350" i="6"/>
  <c r="B2350" i="6"/>
  <c r="F2349" i="6"/>
  <c r="E2349" i="6"/>
  <c r="D2349" i="6"/>
  <c r="C2349" i="6"/>
  <c r="B2349" i="6"/>
  <c r="F2348" i="6"/>
  <c r="E2348" i="6"/>
  <c r="D2348" i="6"/>
  <c r="C2348" i="6"/>
  <c r="B2348" i="6"/>
  <c r="F2347" i="6"/>
  <c r="E2347" i="6"/>
  <c r="D2347" i="6"/>
  <c r="C2347" i="6"/>
  <c r="B2347" i="6"/>
  <c r="F2346" i="6"/>
  <c r="E2346" i="6"/>
  <c r="D2346" i="6"/>
  <c r="C2346" i="6"/>
  <c r="B2346" i="6"/>
  <c r="F2345" i="6"/>
  <c r="E2345" i="6"/>
  <c r="D2345" i="6"/>
  <c r="C2345" i="6"/>
  <c r="B2345" i="6"/>
  <c r="F2344" i="6"/>
  <c r="E2344" i="6"/>
  <c r="D2344" i="6"/>
  <c r="C2344" i="6"/>
  <c r="B2344" i="6"/>
  <c r="F2343" i="6"/>
  <c r="E2343" i="6"/>
  <c r="D2343" i="6"/>
  <c r="C2343" i="6"/>
  <c r="B2343" i="6"/>
  <c r="F2342" i="6"/>
  <c r="E2342" i="6"/>
  <c r="D2342" i="6"/>
  <c r="C2342" i="6"/>
  <c r="B2342" i="6"/>
  <c r="F2341" i="6"/>
  <c r="E2341" i="6"/>
  <c r="D2341" i="6"/>
  <c r="C2341" i="6"/>
  <c r="B2341" i="6"/>
  <c r="F2340" i="6"/>
  <c r="E2340" i="6"/>
  <c r="D2340" i="6"/>
  <c r="C2340" i="6"/>
  <c r="B2340" i="6"/>
  <c r="F2339" i="6"/>
  <c r="E2339" i="6"/>
  <c r="D2339" i="6"/>
  <c r="C2339" i="6"/>
  <c r="B2339" i="6"/>
  <c r="F2338" i="6"/>
  <c r="E2338" i="6"/>
  <c r="D2338" i="6"/>
  <c r="C2338" i="6"/>
  <c r="B2338" i="6"/>
  <c r="F2337" i="6"/>
  <c r="E2337" i="6"/>
  <c r="D2337" i="6"/>
  <c r="C2337" i="6"/>
  <c r="B2337" i="6"/>
  <c r="F2336" i="6"/>
  <c r="E2336" i="6"/>
  <c r="D2336" i="6"/>
  <c r="C2336" i="6"/>
  <c r="B2336" i="6"/>
  <c r="F2335" i="6"/>
  <c r="E2335" i="6"/>
  <c r="D2335" i="6"/>
  <c r="C2335" i="6"/>
  <c r="B2335" i="6"/>
  <c r="F2334" i="6"/>
  <c r="E2334" i="6"/>
  <c r="D2334" i="6"/>
  <c r="C2334" i="6"/>
  <c r="B2334" i="6"/>
  <c r="F2333" i="6"/>
  <c r="E2333" i="6"/>
  <c r="D2333" i="6"/>
  <c r="C2333" i="6"/>
  <c r="B2333" i="6"/>
  <c r="F2332" i="6"/>
  <c r="E2332" i="6"/>
  <c r="D2332" i="6"/>
  <c r="C2332" i="6"/>
  <c r="B2332" i="6"/>
  <c r="F2331" i="6"/>
  <c r="E2331" i="6"/>
  <c r="D2331" i="6"/>
  <c r="C2331" i="6"/>
  <c r="B2331" i="6"/>
  <c r="F2330" i="6"/>
  <c r="E2330" i="6"/>
  <c r="D2330" i="6"/>
  <c r="C2330" i="6"/>
  <c r="B2330" i="6"/>
  <c r="F2329" i="6"/>
  <c r="E2329" i="6"/>
  <c r="D2329" i="6"/>
  <c r="C2329" i="6"/>
  <c r="B2329" i="6"/>
  <c r="F2328" i="6"/>
  <c r="E2328" i="6"/>
  <c r="D2328" i="6"/>
  <c r="C2328" i="6"/>
  <c r="B2328" i="6"/>
  <c r="F2327" i="6"/>
  <c r="E2327" i="6"/>
  <c r="D2327" i="6"/>
  <c r="C2327" i="6"/>
  <c r="B2327" i="6"/>
  <c r="F2326" i="6"/>
  <c r="E2326" i="6"/>
  <c r="D2326" i="6"/>
  <c r="C2326" i="6"/>
  <c r="B2326" i="6"/>
  <c r="F2325" i="6"/>
  <c r="E2325" i="6"/>
  <c r="D2325" i="6"/>
  <c r="C2325" i="6"/>
  <c r="B2325" i="6"/>
  <c r="F2324" i="6"/>
  <c r="E2324" i="6"/>
  <c r="D2324" i="6"/>
  <c r="C2324" i="6"/>
  <c r="B2324" i="6"/>
  <c r="F2323" i="6"/>
  <c r="E2323" i="6"/>
  <c r="D2323" i="6"/>
  <c r="C2323" i="6"/>
  <c r="B2323" i="6"/>
  <c r="F2322" i="6"/>
  <c r="E2322" i="6"/>
  <c r="D2322" i="6"/>
  <c r="C2322" i="6"/>
  <c r="B2322" i="6"/>
  <c r="F2321" i="6"/>
  <c r="E2321" i="6"/>
  <c r="D2321" i="6"/>
  <c r="C2321" i="6"/>
  <c r="B2321" i="6"/>
  <c r="F2320" i="6"/>
  <c r="E2320" i="6"/>
  <c r="D2320" i="6"/>
  <c r="C2320" i="6"/>
  <c r="B2320" i="6"/>
  <c r="F2319" i="6"/>
  <c r="E2319" i="6"/>
  <c r="D2319" i="6"/>
  <c r="C2319" i="6"/>
  <c r="B2319" i="6"/>
  <c r="F2318" i="6"/>
  <c r="E2318" i="6"/>
  <c r="D2318" i="6"/>
  <c r="C2318" i="6"/>
  <c r="B2318" i="6"/>
  <c r="F2317" i="6"/>
  <c r="E2317" i="6"/>
  <c r="D2317" i="6"/>
  <c r="C2317" i="6"/>
  <c r="B2317" i="6"/>
  <c r="F2316" i="6"/>
  <c r="E2316" i="6"/>
  <c r="D2316" i="6"/>
  <c r="C2316" i="6"/>
  <c r="B2316" i="6"/>
  <c r="F2315" i="6"/>
  <c r="E2315" i="6"/>
  <c r="D2315" i="6"/>
  <c r="C2315" i="6"/>
  <c r="B2315" i="6"/>
  <c r="F2314" i="6"/>
  <c r="E2314" i="6"/>
  <c r="D2314" i="6"/>
  <c r="C2314" i="6"/>
  <c r="B2314" i="6"/>
  <c r="F2313" i="6"/>
  <c r="E2313" i="6"/>
  <c r="D2313" i="6"/>
  <c r="C2313" i="6"/>
  <c r="B2313" i="6"/>
  <c r="F2312" i="6"/>
  <c r="E2312" i="6"/>
  <c r="D2312" i="6"/>
  <c r="C2312" i="6"/>
  <c r="B2312" i="6"/>
  <c r="F2311" i="6"/>
  <c r="E2311" i="6"/>
  <c r="D2311" i="6"/>
  <c r="C2311" i="6"/>
  <c r="B2311" i="6"/>
  <c r="F2310" i="6"/>
  <c r="E2310" i="6"/>
  <c r="D2310" i="6"/>
  <c r="C2310" i="6"/>
  <c r="B2310" i="6"/>
  <c r="F2309" i="6"/>
  <c r="E2309" i="6"/>
  <c r="D2309" i="6"/>
  <c r="C2309" i="6"/>
  <c r="B2309" i="6"/>
  <c r="F2308" i="6"/>
  <c r="E2308" i="6"/>
  <c r="D2308" i="6"/>
  <c r="C2308" i="6"/>
  <c r="B2308" i="6"/>
  <c r="F2307" i="6"/>
  <c r="E2307" i="6"/>
  <c r="D2307" i="6"/>
  <c r="C2307" i="6"/>
  <c r="B2307" i="6"/>
  <c r="F2306" i="6"/>
  <c r="E2306" i="6"/>
  <c r="D2306" i="6"/>
  <c r="C2306" i="6"/>
  <c r="B2306" i="6"/>
  <c r="F2305" i="6"/>
  <c r="E2305" i="6"/>
  <c r="D2305" i="6"/>
  <c r="C2305" i="6"/>
  <c r="B2305" i="6"/>
  <c r="F2304" i="6"/>
  <c r="E2304" i="6"/>
  <c r="D2304" i="6"/>
  <c r="C2304" i="6"/>
  <c r="B2304" i="6"/>
  <c r="F2303" i="6"/>
  <c r="E2303" i="6"/>
  <c r="D2303" i="6"/>
  <c r="C2303" i="6"/>
  <c r="B2303" i="6"/>
  <c r="F2302" i="6"/>
  <c r="E2302" i="6"/>
  <c r="D2302" i="6"/>
  <c r="C2302" i="6"/>
  <c r="B2302" i="6"/>
  <c r="F2301" i="6"/>
  <c r="E2301" i="6"/>
  <c r="D2301" i="6"/>
  <c r="C2301" i="6"/>
  <c r="B2301" i="6"/>
  <c r="F2300" i="6"/>
  <c r="E2300" i="6"/>
  <c r="D2300" i="6"/>
  <c r="C2300" i="6"/>
  <c r="B2300" i="6"/>
  <c r="F2299" i="6"/>
  <c r="E2299" i="6"/>
  <c r="D2299" i="6"/>
  <c r="C2299" i="6"/>
  <c r="B2299" i="6"/>
  <c r="F2298" i="6"/>
  <c r="E2298" i="6"/>
  <c r="D2298" i="6"/>
  <c r="C2298" i="6"/>
  <c r="B2298" i="6"/>
  <c r="F2297" i="6"/>
  <c r="E2297" i="6"/>
  <c r="D2297" i="6"/>
  <c r="C2297" i="6"/>
  <c r="B2297" i="6"/>
  <c r="F2296" i="6"/>
  <c r="E2296" i="6"/>
  <c r="D2296" i="6"/>
  <c r="C2296" i="6"/>
  <c r="B2296" i="6"/>
  <c r="F2295" i="6"/>
  <c r="E2295" i="6"/>
  <c r="D2295" i="6"/>
  <c r="C2295" i="6"/>
  <c r="B2295" i="6"/>
  <c r="F2294" i="6"/>
  <c r="E2294" i="6"/>
  <c r="D2294" i="6"/>
  <c r="C2294" i="6"/>
  <c r="B2294" i="6"/>
  <c r="F2293" i="6"/>
  <c r="E2293" i="6"/>
  <c r="D2293" i="6"/>
  <c r="C2293" i="6"/>
  <c r="B2293" i="6"/>
  <c r="F2292" i="6"/>
  <c r="E2292" i="6"/>
  <c r="D2292" i="6"/>
  <c r="C2292" i="6"/>
  <c r="B2292" i="6"/>
  <c r="F2291" i="6"/>
  <c r="E2291" i="6"/>
  <c r="D2291" i="6"/>
  <c r="C2291" i="6"/>
  <c r="B2291" i="6"/>
  <c r="F2290" i="6"/>
  <c r="E2290" i="6"/>
  <c r="D2290" i="6"/>
  <c r="C2290" i="6"/>
  <c r="B2290" i="6"/>
  <c r="F2289" i="6"/>
  <c r="E2289" i="6"/>
  <c r="D2289" i="6"/>
  <c r="C2289" i="6"/>
  <c r="B2289" i="6"/>
  <c r="F2288" i="6"/>
  <c r="E2288" i="6"/>
  <c r="D2288" i="6"/>
  <c r="C2288" i="6"/>
  <c r="B2288" i="6"/>
  <c r="F2287" i="6"/>
  <c r="E2287" i="6"/>
  <c r="D2287" i="6"/>
  <c r="C2287" i="6"/>
  <c r="B2287" i="6"/>
  <c r="F2286" i="6"/>
  <c r="E2286" i="6"/>
  <c r="D2286" i="6"/>
  <c r="C2286" i="6"/>
  <c r="B2286" i="6"/>
  <c r="F2285" i="6"/>
  <c r="E2285" i="6"/>
  <c r="D2285" i="6"/>
  <c r="C2285" i="6"/>
  <c r="B2285" i="6"/>
  <c r="F2284" i="6"/>
  <c r="E2284" i="6"/>
  <c r="D2284" i="6"/>
  <c r="C2284" i="6"/>
  <c r="B2284" i="6"/>
  <c r="F2283" i="6"/>
  <c r="E2283" i="6"/>
  <c r="D2283" i="6"/>
  <c r="C2283" i="6"/>
  <c r="B2283" i="6"/>
  <c r="F2282" i="6"/>
  <c r="E2282" i="6"/>
  <c r="D2282" i="6"/>
  <c r="C2282" i="6"/>
  <c r="B2282" i="6"/>
  <c r="F2281" i="6"/>
  <c r="E2281" i="6"/>
  <c r="D2281" i="6"/>
  <c r="C2281" i="6"/>
  <c r="B2281" i="6"/>
  <c r="F2280" i="6"/>
  <c r="E2280" i="6"/>
  <c r="D2280" i="6"/>
  <c r="C2280" i="6"/>
  <c r="B2280" i="6"/>
  <c r="F2279" i="6"/>
  <c r="E2279" i="6"/>
  <c r="D2279" i="6"/>
  <c r="C2279" i="6"/>
  <c r="B2279" i="6"/>
  <c r="F2278" i="6"/>
  <c r="E2278" i="6"/>
  <c r="D2278" i="6"/>
  <c r="C2278" i="6"/>
  <c r="B2278" i="6"/>
  <c r="F2277" i="6"/>
  <c r="E2277" i="6"/>
  <c r="D2277" i="6"/>
  <c r="C2277" i="6"/>
  <c r="B2277" i="6"/>
  <c r="F2276" i="6"/>
  <c r="E2276" i="6"/>
  <c r="D2276" i="6"/>
  <c r="C2276" i="6"/>
  <c r="B2276" i="6"/>
  <c r="F2275" i="6"/>
  <c r="E2275" i="6"/>
  <c r="D2275" i="6"/>
  <c r="C2275" i="6"/>
  <c r="B2275" i="6"/>
  <c r="F2274" i="6"/>
  <c r="E2274" i="6"/>
  <c r="D2274" i="6"/>
  <c r="C2274" i="6"/>
  <c r="B2274" i="6"/>
  <c r="F2273" i="6"/>
  <c r="E2273" i="6"/>
  <c r="D2273" i="6"/>
  <c r="C2273" i="6"/>
  <c r="B2273" i="6"/>
  <c r="F2272" i="6"/>
  <c r="E2272" i="6"/>
  <c r="D2272" i="6"/>
  <c r="C2272" i="6"/>
  <c r="B2272" i="6"/>
  <c r="F2271" i="6"/>
  <c r="E2271" i="6"/>
  <c r="D2271" i="6"/>
  <c r="C2271" i="6"/>
  <c r="B2271" i="6"/>
  <c r="F2270" i="6"/>
  <c r="E2270" i="6"/>
  <c r="D2270" i="6"/>
  <c r="C2270" i="6"/>
  <c r="B2270" i="6"/>
  <c r="F2269" i="6"/>
  <c r="E2269" i="6"/>
  <c r="D2269" i="6"/>
  <c r="C2269" i="6"/>
  <c r="B2269" i="6"/>
  <c r="F2268" i="6"/>
  <c r="E2268" i="6"/>
  <c r="D2268" i="6"/>
  <c r="C2268" i="6"/>
  <c r="B2268" i="6"/>
  <c r="F2267" i="6"/>
  <c r="E2267" i="6"/>
  <c r="D2267" i="6"/>
  <c r="C2267" i="6"/>
  <c r="B2267" i="6"/>
  <c r="F2266" i="6"/>
  <c r="E2266" i="6"/>
  <c r="D2266" i="6"/>
  <c r="C2266" i="6"/>
  <c r="B2266" i="6"/>
  <c r="F2265" i="6"/>
  <c r="E2265" i="6"/>
  <c r="D2265" i="6"/>
  <c r="C2265" i="6"/>
  <c r="B2265" i="6"/>
  <c r="F2264" i="6"/>
  <c r="E2264" i="6"/>
  <c r="D2264" i="6"/>
  <c r="C2264" i="6"/>
  <c r="B2264" i="6"/>
  <c r="F2263" i="6"/>
  <c r="E2263" i="6"/>
  <c r="D2263" i="6"/>
  <c r="C2263" i="6"/>
  <c r="B2263" i="6"/>
  <c r="F2262" i="6"/>
  <c r="E2262" i="6"/>
  <c r="D2262" i="6"/>
  <c r="C2262" i="6"/>
  <c r="B2262" i="6"/>
  <c r="F2261" i="6"/>
  <c r="E2261" i="6"/>
  <c r="D2261" i="6"/>
  <c r="C2261" i="6"/>
  <c r="B2261" i="6"/>
  <c r="F2260" i="6"/>
  <c r="E2260" i="6"/>
  <c r="D2260" i="6"/>
  <c r="C2260" i="6"/>
  <c r="B2260" i="6"/>
  <c r="F2259" i="6"/>
  <c r="E2259" i="6"/>
  <c r="D2259" i="6"/>
  <c r="C2259" i="6"/>
  <c r="B2259" i="6"/>
  <c r="F2258" i="6"/>
  <c r="E2258" i="6"/>
  <c r="D2258" i="6"/>
  <c r="C2258" i="6"/>
  <c r="B2258" i="6"/>
  <c r="F2257" i="6"/>
  <c r="E2257" i="6"/>
  <c r="D2257" i="6"/>
  <c r="C2257" i="6"/>
  <c r="B2257" i="6"/>
  <c r="F2256" i="6"/>
  <c r="E2256" i="6"/>
  <c r="D2256" i="6"/>
  <c r="C2256" i="6"/>
  <c r="B2256" i="6"/>
  <c r="F2255" i="6"/>
  <c r="E2255" i="6"/>
  <c r="D2255" i="6"/>
  <c r="C2255" i="6"/>
  <c r="B2255" i="6"/>
  <c r="F2254" i="6"/>
  <c r="E2254" i="6"/>
  <c r="D2254" i="6"/>
  <c r="C2254" i="6"/>
  <c r="B2254" i="6"/>
  <c r="F2253" i="6"/>
  <c r="E2253" i="6"/>
  <c r="D2253" i="6"/>
  <c r="C2253" i="6"/>
  <c r="B2253" i="6"/>
  <c r="F2252" i="6"/>
  <c r="E2252" i="6"/>
  <c r="D2252" i="6"/>
  <c r="C2252" i="6"/>
  <c r="B2252" i="6"/>
  <c r="F2251" i="6"/>
  <c r="E2251" i="6"/>
  <c r="D2251" i="6"/>
  <c r="C2251" i="6"/>
  <c r="B2251" i="6"/>
  <c r="F2250" i="6"/>
  <c r="E2250" i="6"/>
  <c r="D2250" i="6"/>
  <c r="C2250" i="6"/>
  <c r="B2250" i="6"/>
  <c r="F2249" i="6"/>
  <c r="E2249" i="6"/>
  <c r="D2249" i="6"/>
  <c r="C2249" i="6"/>
  <c r="B2249" i="6"/>
  <c r="F2248" i="6"/>
  <c r="E2248" i="6"/>
  <c r="D2248" i="6"/>
  <c r="C2248" i="6"/>
  <c r="B2248" i="6"/>
  <c r="F2247" i="6"/>
  <c r="E2247" i="6"/>
  <c r="D2247" i="6"/>
  <c r="C2247" i="6"/>
  <c r="B2247" i="6"/>
  <c r="F2246" i="6"/>
  <c r="E2246" i="6"/>
  <c r="D2246" i="6"/>
  <c r="C2246" i="6"/>
  <c r="B2246" i="6"/>
  <c r="F2245" i="6"/>
  <c r="E2245" i="6"/>
  <c r="D2245" i="6"/>
  <c r="C2245" i="6"/>
  <c r="B2245" i="6"/>
  <c r="F2244" i="6"/>
  <c r="E2244" i="6"/>
  <c r="D2244" i="6"/>
  <c r="C2244" i="6"/>
  <c r="B2244" i="6"/>
  <c r="F2243" i="6"/>
  <c r="E2243" i="6"/>
  <c r="D2243" i="6"/>
  <c r="C2243" i="6"/>
  <c r="B2243" i="6"/>
  <c r="F2242" i="6"/>
  <c r="E2242" i="6"/>
  <c r="D2242" i="6"/>
  <c r="C2242" i="6"/>
  <c r="B2242" i="6"/>
  <c r="F2241" i="6"/>
  <c r="E2241" i="6"/>
  <c r="D2241" i="6"/>
  <c r="C2241" i="6"/>
  <c r="B2241" i="6"/>
  <c r="F2240" i="6"/>
  <c r="E2240" i="6"/>
  <c r="D2240" i="6"/>
  <c r="C2240" i="6"/>
  <c r="B2240" i="6"/>
  <c r="F2239" i="6"/>
  <c r="E2239" i="6"/>
  <c r="D2239" i="6"/>
  <c r="C2239" i="6"/>
  <c r="B2239" i="6"/>
  <c r="F2238" i="6"/>
  <c r="E2238" i="6"/>
  <c r="D2238" i="6"/>
  <c r="C2238" i="6"/>
  <c r="B2238" i="6"/>
  <c r="F2237" i="6"/>
  <c r="E2237" i="6"/>
  <c r="D2237" i="6"/>
  <c r="C2237" i="6"/>
  <c r="B2237" i="6"/>
  <c r="F2236" i="6"/>
  <c r="E2236" i="6"/>
  <c r="D2236" i="6"/>
  <c r="C2236" i="6"/>
  <c r="B2236" i="6"/>
  <c r="F2235" i="6"/>
  <c r="E2235" i="6"/>
  <c r="D2235" i="6"/>
  <c r="C2235" i="6"/>
  <c r="B2235" i="6"/>
  <c r="F2234" i="6"/>
  <c r="E2234" i="6"/>
  <c r="D2234" i="6"/>
  <c r="C2234" i="6"/>
  <c r="B2234" i="6"/>
  <c r="F2233" i="6"/>
  <c r="E2233" i="6"/>
  <c r="D2233" i="6"/>
  <c r="C2233" i="6"/>
  <c r="B2233" i="6"/>
  <c r="F2232" i="6"/>
  <c r="E2232" i="6"/>
  <c r="D2232" i="6"/>
  <c r="C2232" i="6"/>
  <c r="B2232" i="6"/>
  <c r="F2231" i="6"/>
  <c r="E2231" i="6"/>
  <c r="D2231" i="6"/>
  <c r="C2231" i="6"/>
  <c r="B2231" i="6"/>
  <c r="F2230" i="6"/>
  <c r="E2230" i="6"/>
  <c r="D2230" i="6"/>
  <c r="C2230" i="6"/>
  <c r="B2230" i="6"/>
  <c r="F2229" i="6"/>
  <c r="E2229" i="6"/>
  <c r="D2229" i="6"/>
  <c r="C2229" i="6"/>
  <c r="B2229" i="6"/>
  <c r="F2228" i="6"/>
  <c r="E2228" i="6"/>
  <c r="D2228" i="6"/>
  <c r="C2228" i="6"/>
  <c r="B2228" i="6"/>
  <c r="F2227" i="6"/>
  <c r="E2227" i="6"/>
  <c r="D2227" i="6"/>
  <c r="C2227" i="6"/>
  <c r="B2227" i="6"/>
  <c r="F2226" i="6"/>
  <c r="E2226" i="6"/>
  <c r="D2226" i="6"/>
  <c r="C2226" i="6"/>
  <c r="B2226" i="6"/>
  <c r="F2225" i="6"/>
  <c r="E2225" i="6"/>
  <c r="D2225" i="6"/>
  <c r="C2225" i="6"/>
  <c r="B2225" i="6"/>
  <c r="F2224" i="6"/>
  <c r="E2224" i="6"/>
  <c r="D2224" i="6"/>
  <c r="C2224" i="6"/>
  <c r="B2224" i="6"/>
  <c r="F2223" i="6"/>
  <c r="E2223" i="6"/>
  <c r="D2223" i="6"/>
  <c r="C2223" i="6"/>
  <c r="B2223" i="6"/>
  <c r="F2222" i="6"/>
  <c r="E2222" i="6"/>
  <c r="D2222" i="6"/>
  <c r="C2222" i="6"/>
  <c r="B2222" i="6"/>
  <c r="F2221" i="6"/>
  <c r="E2221" i="6"/>
  <c r="D2221" i="6"/>
  <c r="C2221" i="6"/>
  <c r="B2221" i="6"/>
  <c r="F2220" i="6"/>
  <c r="E2220" i="6"/>
  <c r="D2220" i="6"/>
  <c r="C2220" i="6"/>
  <c r="B2220" i="6"/>
  <c r="F2219" i="6"/>
  <c r="E2219" i="6"/>
  <c r="D2219" i="6"/>
  <c r="C2219" i="6"/>
  <c r="B2219" i="6"/>
  <c r="F2218" i="6"/>
  <c r="E2218" i="6"/>
  <c r="D2218" i="6"/>
  <c r="C2218" i="6"/>
  <c r="B2218" i="6"/>
  <c r="F2217" i="6"/>
  <c r="E2217" i="6"/>
  <c r="D2217" i="6"/>
  <c r="C2217" i="6"/>
  <c r="B2217" i="6"/>
  <c r="F2216" i="6"/>
  <c r="E2216" i="6"/>
  <c r="D2216" i="6"/>
  <c r="C2216" i="6"/>
  <c r="B2216" i="6"/>
  <c r="F2215" i="6"/>
  <c r="E2215" i="6"/>
  <c r="D2215" i="6"/>
  <c r="C2215" i="6"/>
  <c r="B2215" i="6"/>
  <c r="F2214" i="6"/>
  <c r="E2214" i="6"/>
  <c r="D2214" i="6"/>
  <c r="C2214" i="6"/>
  <c r="B2214" i="6"/>
  <c r="F2213" i="6"/>
  <c r="E2213" i="6"/>
  <c r="D2213" i="6"/>
  <c r="C2213" i="6"/>
  <c r="B2213" i="6"/>
  <c r="F2212" i="6"/>
  <c r="E2212" i="6"/>
  <c r="D2212" i="6"/>
  <c r="C2212" i="6"/>
  <c r="B2212" i="6"/>
  <c r="F2211" i="6"/>
  <c r="E2211" i="6"/>
  <c r="D2211" i="6"/>
  <c r="C2211" i="6"/>
  <c r="B2211" i="6"/>
  <c r="F2210" i="6"/>
  <c r="E2210" i="6"/>
  <c r="D2210" i="6"/>
  <c r="C2210" i="6"/>
  <c r="B2210" i="6"/>
  <c r="F2209" i="6"/>
  <c r="E2209" i="6"/>
  <c r="D2209" i="6"/>
  <c r="C2209" i="6"/>
  <c r="B2209" i="6"/>
  <c r="F2208" i="6"/>
  <c r="E2208" i="6"/>
  <c r="D2208" i="6"/>
  <c r="C2208" i="6"/>
  <c r="B2208" i="6"/>
  <c r="F2207" i="6"/>
  <c r="E2207" i="6"/>
  <c r="D2207" i="6"/>
  <c r="C2207" i="6"/>
  <c r="B2207" i="6"/>
  <c r="F2206" i="6"/>
  <c r="E2206" i="6"/>
  <c r="D2206" i="6"/>
  <c r="C2206" i="6"/>
  <c r="B2206" i="6"/>
  <c r="F2205" i="6"/>
  <c r="E2205" i="6"/>
  <c r="D2205" i="6"/>
  <c r="C2205" i="6"/>
  <c r="B2205" i="6"/>
  <c r="F2204" i="6"/>
  <c r="E2204" i="6"/>
  <c r="D2204" i="6"/>
  <c r="C2204" i="6"/>
  <c r="B2204" i="6"/>
  <c r="F2203" i="6"/>
  <c r="E2203" i="6"/>
  <c r="D2203" i="6"/>
  <c r="C2203" i="6"/>
  <c r="B2203" i="6"/>
  <c r="F2202" i="6"/>
  <c r="E2202" i="6"/>
  <c r="D2202" i="6"/>
  <c r="C2202" i="6"/>
  <c r="B2202" i="6"/>
  <c r="F2201" i="6"/>
  <c r="E2201" i="6"/>
  <c r="D2201" i="6"/>
  <c r="C2201" i="6"/>
  <c r="B2201" i="6"/>
  <c r="F2200" i="6"/>
  <c r="E2200" i="6"/>
  <c r="D2200" i="6"/>
  <c r="C2200" i="6"/>
  <c r="B2200" i="6"/>
  <c r="F2199" i="6"/>
  <c r="E2199" i="6"/>
  <c r="D2199" i="6"/>
  <c r="C2199" i="6"/>
  <c r="B2199" i="6"/>
  <c r="F2198" i="6"/>
  <c r="E2198" i="6"/>
  <c r="D2198" i="6"/>
  <c r="C2198" i="6"/>
  <c r="B2198" i="6"/>
  <c r="F2197" i="6"/>
  <c r="E2197" i="6"/>
  <c r="D2197" i="6"/>
  <c r="C2197" i="6"/>
  <c r="B2197" i="6"/>
  <c r="F2196" i="6"/>
  <c r="E2196" i="6"/>
  <c r="D2196" i="6"/>
  <c r="C2196" i="6"/>
  <c r="B2196" i="6"/>
  <c r="F2195" i="6"/>
  <c r="E2195" i="6"/>
  <c r="D2195" i="6"/>
  <c r="C2195" i="6"/>
  <c r="B2195" i="6"/>
  <c r="F2194" i="6"/>
  <c r="E2194" i="6"/>
  <c r="D2194" i="6"/>
  <c r="C2194" i="6"/>
  <c r="B2194" i="6"/>
  <c r="F2193" i="6"/>
  <c r="E2193" i="6"/>
  <c r="D2193" i="6"/>
  <c r="C2193" i="6"/>
  <c r="B2193" i="6"/>
  <c r="F2192" i="6"/>
  <c r="E2192" i="6"/>
  <c r="D2192" i="6"/>
  <c r="C2192" i="6"/>
  <c r="B2192" i="6"/>
  <c r="F2191" i="6"/>
  <c r="E2191" i="6"/>
  <c r="D2191" i="6"/>
  <c r="C2191" i="6"/>
  <c r="B2191" i="6"/>
  <c r="F2190" i="6"/>
  <c r="E2190" i="6"/>
  <c r="D2190" i="6"/>
  <c r="C2190" i="6"/>
  <c r="B2190" i="6"/>
  <c r="F2189" i="6"/>
  <c r="E2189" i="6"/>
  <c r="D2189" i="6"/>
  <c r="C2189" i="6"/>
  <c r="B2189" i="6"/>
  <c r="F2188" i="6"/>
  <c r="E2188" i="6"/>
  <c r="D2188" i="6"/>
  <c r="C2188" i="6"/>
  <c r="B2188" i="6"/>
  <c r="F2187" i="6"/>
  <c r="E2187" i="6"/>
  <c r="D2187" i="6"/>
  <c r="C2187" i="6"/>
  <c r="B2187" i="6"/>
  <c r="F2186" i="6"/>
  <c r="E2186" i="6"/>
  <c r="D2186" i="6"/>
  <c r="C2186" i="6"/>
  <c r="B2186" i="6"/>
  <c r="F2185" i="6"/>
  <c r="E2185" i="6"/>
  <c r="D2185" i="6"/>
  <c r="C2185" i="6"/>
  <c r="B2185" i="6"/>
  <c r="F2184" i="6"/>
  <c r="E2184" i="6"/>
  <c r="D2184" i="6"/>
  <c r="C2184" i="6"/>
  <c r="B2184" i="6"/>
  <c r="F2183" i="6"/>
  <c r="E2183" i="6"/>
  <c r="D2183" i="6"/>
  <c r="C2183" i="6"/>
  <c r="B2183" i="6"/>
  <c r="F2182" i="6"/>
  <c r="E2182" i="6"/>
  <c r="D2182" i="6"/>
  <c r="C2182" i="6"/>
  <c r="B2182" i="6"/>
  <c r="F2181" i="6"/>
  <c r="E2181" i="6"/>
  <c r="D2181" i="6"/>
  <c r="C2181" i="6"/>
  <c r="B2181" i="6"/>
  <c r="F2180" i="6"/>
  <c r="E2180" i="6"/>
  <c r="D2180" i="6"/>
  <c r="C2180" i="6"/>
  <c r="B2180" i="6"/>
  <c r="F2179" i="6"/>
  <c r="E2179" i="6"/>
  <c r="D2179" i="6"/>
  <c r="C2179" i="6"/>
  <c r="B2179" i="6"/>
  <c r="F2178" i="6"/>
  <c r="E2178" i="6"/>
  <c r="D2178" i="6"/>
  <c r="C2178" i="6"/>
  <c r="B2178" i="6"/>
  <c r="F2177" i="6"/>
  <c r="E2177" i="6"/>
  <c r="D2177" i="6"/>
  <c r="C2177" i="6"/>
  <c r="B2177" i="6"/>
  <c r="F2176" i="6"/>
  <c r="E2176" i="6"/>
  <c r="D2176" i="6"/>
  <c r="C2176" i="6"/>
  <c r="B2176" i="6"/>
  <c r="F2175" i="6"/>
  <c r="E2175" i="6"/>
  <c r="D2175" i="6"/>
  <c r="C2175" i="6"/>
  <c r="B2175" i="6"/>
  <c r="F2174" i="6"/>
  <c r="E2174" i="6"/>
  <c r="D2174" i="6"/>
  <c r="C2174" i="6"/>
  <c r="B2174" i="6"/>
  <c r="F2173" i="6"/>
  <c r="E2173" i="6"/>
  <c r="D2173" i="6"/>
  <c r="C2173" i="6"/>
  <c r="B2173" i="6"/>
  <c r="F2172" i="6"/>
  <c r="E2172" i="6"/>
  <c r="D2172" i="6"/>
  <c r="C2172" i="6"/>
  <c r="B2172" i="6"/>
  <c r="F2171" i="6"/>
  <c r="E2171" i="6"/>
  <c r="D2171" i="6"/>
  <c r="C2171" i="6"/>
  <c r="B2171" i="6"/>
  <c r="F2170" i="6"/>
  <c r="E2170" i="6"/>
  <c r="D2170" i="6"/>
  <c r="C2170" i="6"/>
  <c r="B2170" i="6"/>
  <c r="F2169" i="6"/>
  <c r="E2169" i="6"/>
  <c r="D2169" i="6"/>
  <c r="C2169" i="6"/>
  <c r="B2169" i="6"/>
  <c r="F2168" i="6"/>
  <c r="E2168" i="6"/>
  <c r="D2168" i="6"/>
  <c r="C2168" i="6"/>
  <c r="B2168" i="6"/>
  <c r="F2167" i="6"/>
  <c r="E2167" i="6"/>
  <c r="D2167" i="6"/>
  <c r="C2167" i="6"/>
  <c r="B2167" i="6"/>
  <c r="F2166" i="6"/>
  <c r="E2166" i="6"/>
  <c r="D2166" i="6"/>
  <c r="C2166" i="6"/>
  <c r="B2166" i="6"/>
  <c r="F2165" i="6"/>
  <c r="E2165" i="6"/>
  <c r="D2165" i="6"/>
  <c r="C2165" i="6"/>
  <c r="B2165" i="6"/>
  <c r="F2164" i="6"/>
  <c r="E2164" i="6"/>
  <c r="D2164" i="6"/>
  <c r="C2164" i="6"/>
  <c r="B2164" i="6"/>
  <c r="F2163" i="6"/>
  <c r="E2163" i="6"/>
  <c r="D2163" i="6"/>
  <c r="C2163" i="6"/>
  <c r="B2163" i="6"/>
  <c r="F2162" i="6"/>
  <c r="E2162" i="6"/>
  <c r="D2162" i="6"/>
  <c r="C2162" i="6"/>
  <c r="B2162" i="6"/>
  <c r="F2161" i="6"/>
  <c r="E2161" i="6"/>
  <c r="D2161" i="6"/>
  <c r="C2161" i="6"/>
  <c r="B2161" i="6"/>
  <c r="F2160" i="6"/>
  <c r="E2160" i="6"/>
  <c r="D2160" i="6"/>
  <c r="C2160" i="6"/>
  <c r="B2160" i="6"/>
  <c r="F2159" i="6"/>
  <c r="E2159" i="6"/>
  <c r="D2159" i="6"/>
  <c r="C2159" i="6"/>
  <c r="B2159" i="6"/>
  <c r="F2158" i="6"/>
  <c r="E2158" i="6"/>
  <c r="D2158" i="6"/>
  <c r="C2158" i="6"/>
  <c r="B2158" i="6"/>
  <c r="F2157" i="6"/>
  <c r="E2157" i="6"/>
  <c r="D2157" i="6"/>
  <c r="C2157" i="6"/>
  <c r="B2157" i="6"/>
  <c r="F2156" i="6"/>
  <c r="E2156" i="6"/>
  <c r="D2156" i="6"/>
  <c r="C2156" i="6"/>
  <c r="B2156" i="6"/>
  <c r="F2155" i="6"/>
  <c r="E2155" i="6"/>
  <c r="D2155" i="6"/>
  <c r="C2155" i="6"/>
  <c r="B2155" i="6"/>
  <c r="F2154" i="6"/>
  <c r="E2154" i="6"/>
  <c r="D2154" i="6"/>
  <c r="C2154" i="6"/>
  <c r="B2154" i="6"/>
  <c r="F2153" i="6"/>
  <c r="E2153" i="6"/>
  <c r="D2153" i="6"/>
  <c r="C2153" i="6"/>
  <c r="B2153" i="6"/>
  <c r="F2152" i="6"/>
  <c r="E2152" i="6"/>
  <c r="D2152" i="6"/>
  <c r="C2152" i="6"/>
  <c r="B2152" i="6"/>
  <c r="F2151" i="6"/>
  <c r="E2151" i="6"/>
  <c r="D2151" i="6"/>
  <c r="C2151" i="6"/>
  <c r="B2151" i="6"/>
  <c r="F2150" i="6"/>
  <c r="E2150" i="6"/>
  <c r="D2150" i="6"/>
  <c r="C2150" i="6"/>
  <c r="B2150" i="6"/>
  <c r="F2149" i="6"/>
  <c r="E2149" i="6"/>
  <c r="D2149" i="6"/>
  <c r="C2149" i="6"/>
  <c r="B2149" i="6"/>
  <c r="F2148" i="6"/>
  <c r="E2148" i="6"/>
  <c r="D2148" i="6"/>
  <c r="C2148" i="6"/>
  <c r="B2148" i="6"/>
  <c r="F2147" i="6"/>
  <c r="E2147" i="6"/>
  <c r="D2147" i="6"/>
  <c r="C2147" i="6"/>
  <c r="B2147" i="6"/>
  <c r="F2146" i="6"/>
  <c r="E2146" i="6"/>
  <c r="D2146" i="6"/>
  <c r="C2146" i="6"/>
  <c r="B2146" i="6"/>
  <c r="F2145" i="6"/>
  <c r="E2145" i="6"/>
  <c r="D2145" i="6"/>
  <c r="C2145" i="6"/>
  <c r="B2145" i="6"/>
  <c r="F2144" i="6"/>
  <c r="E2144" i="6"/>
  <c r="D2144" i="6"/>
  <c r="C2144" i="6"/>
  <c r="B2144" i="6"/>
  <c r="F2143" i="6"/>
  <c r="E2143" i="6"/>
  <c r="D2143" i="6"/>
  <c r="C2143" i="6"/>
  <c r="B2143" i="6"/>
  <c r="F2142" i="6"/>
  <c r="E2142" i="6"/>
  <c r="D2142" i="6"/>
  <c r="C2142" i="6"/>
  <c r="B2142" i="6"/>
  <c r="F2141" i="6"/>
  <c r="E2141" i="6"/>
  <c r="D2141" i="6"/>
  <c r="C2141" i="6"/>
  <c r="B2141" i="6"/>
  <c r="F2140" i="6"/>
  <c r="E2140" i="6"/>
  <c r="D2140" i="6"/>
  <c r="C2140" i="6"/>
  <c r="B2140" i="6"/>
  <c r="F2139" i="6"/>
  <c r="E2139" i="6"/>
  <c r="D2139" i="6"/>
  <c r="C2139" i="6"/>
  <c r="B2139" i="6"/>
  <c r="F2138" i="6"/>
  <c r="E2138" i="6"/>
  <c r="D2138" i="6"/>
  <c r="C2138" i="6"/>
  <c r="B2138" i="6"/>
  <c r="F2137" i="6"/>
  <c r="E2137" i="6"/>
  <c r="D2137" i="6"/>
  <c r="C2137" i="6"/>
  <c r="B2137" i="6"/>
  <c r="F2136" i="6"/>
  <c r="E2136" i="6"/>
  <c r="D2136" i="6"/>
  <c r="C2136" i="6"/>
  <c r="B2136" i="6"/>
  <c r="F2135" i="6"/>
  <c r="E2135" i="6"/>
  <c r="D2135" i="6"/>
  <c r="C2135" i="6"/>
  <c r="B2135" i="6"/>
  <c r="F2134" i="6"/>
  <c r="E2134" i="6"/>
  <c r="D2134" i="6"/>
  <c r="C2134" i="6"/>
  <c r="B2134" i="6"/>
  <c r="F2133" i="6"/>
  <c r="E2133" i="6"/>
  <c r="D2133" i="6"/>
  <c r="C2133" i="6"/>
  <c r="B2133" i="6"/>
  <c r="F2132" i="6"/>
  <c r="E2132" i="6"/>
  <c r="D2132" i="6"/>
  <c r="C2132" i="6"/>
  <c r="B2132" i="6"/>
  <c r="F2131" i="6"/>
  <c r="E2131" i="6"/>
  <c r="D2131" i="6"/>
  <c r="C2131" i="6"/>
  <c r="B2131" i="6"/>
  <c r="F2130" i="6"/>
  <c r="E2130" i="6"/>
  <c r="D2130" i="6"/>
  <c r="C2130" i="6"/>
  <c r="B2130" i="6"/>
  <c r="F2129" i="6"/>
  <c r="E2129" i="6"/>
  <c r="D2129" i="6"/>
  <c r="C2129" i="6"/>
  <c r="B2129" i="6"/>
  <c r="F2128" i="6"/>
  <c r="E2128" i="6"/>
  <c r="D2128" i="6"/>
  <c r="C2128" i="6"/>
  <c r="B2128" i="6"/>
  <c r="F2127" i="6"/>
  <c r="E2127" i="6"/>
  <c r="D2127" i="6"/>
  <c r="C2127" i="6"/>
  <c r="B2127" i="6"/>
  <c r="F2126" i="6"/>
  <c r="E2126" i="6"/>
  <c r="D2126" i="6"/>
  <c r="C2126" i="6"/>
  <c r="B2126" i="6"/>
  <c r="F2125" i="6"/>
  <c r="E2125" i="6"/>
  <c r="D2125" i="6"/>
  <c r="C2125" i="6"/>
  <c r="B2125" i="6"/>
  <c r="F2124" i="6"/>
  <c r="E2124" i="6"/>
  <c r="D2124" i="6"/>
  <c r="C2124" i="6"/>
  <c r="B2124" i="6"/>
  <c r="F2123" i="6"/>
  <c r="E2123" i="6"/>
  <c r="D2123" i="6"/>
  <c r="C2123" i="6"/>
  <c r="B2123" i="6"/>
  <c r="F2122" i="6"/>
  <c r="E2122" i="6"/>
  <c r="D2122" i="6"/>
  <c r="C2122" i="6"/>
  <c r="B2122" i="6"/>
  <c r="F2121" i="6"/>
  <c r="E2121" i="6"/>
  <c r="D2121" i="6"/>
  <c r="C2121" i="6"/>
  <c r="B2121" i="6"/>
  <c r="F2120" i="6"/>
  <c r="E2120" i="6"/>
  <c r="D2120" i="6"/>
  <c r="C2120" i="6"/>
  <c r="B2120" i="6"/>
  <c r="F2119" i="6"/>
  <c r="E2119" i="6"/>
  <c r="D2119" i="6"/>
  <c r="C2119" i="6"/>
  <c r="B2119" i="6"/>
  <c r="F2118" i="6"/>
  <c r="E2118" i="6"/>
  <c r="D2118" i="6"/>
  <c r="C2118" i="6"/>
  <c r="B2118" i="6"/>
  <c r="F2117" i="6"/>
  <c r="E2117" i="6"/>
  <c r="D2117" i="6"/>
  <c r="C2117" i="6"/>
  <c r="B2117" i="6"/>
  <c r="F2116" i="6"/>
  <c r="E2116" i="6"/>
  <c r="D2116" i="6"/>
  <c r="C2116" i="6"/>
  <c r="B2116" i="6"/>
  <c r="F2115" i="6"/>
  <c r="E2115" i="6"/>
  <c r="D2115" i="6"/>
  <c r="C2115" i="6"/>
  <c r="B2115" i="6"/>
  <c r="F2114" i="6"/>
  <c r="E2114" i="6"/>
  <c r="D2114" i="6"/>
  <c r="C2114" i="6"/>
  <c r="B2114" i="6"/>
  <c r="F2113" i="6"/>
  <c r="E2113" i="6"/>
  <c r="D2113" i="6"/>
  <c r="C2113" i="6"/>
  <c r="B2113" i="6"/>
  <c r="F2112" i="6"/>
  <c r="E2112" i="6"/>
  <c r="D2112" i="6"/>
  <c r="C2112" i="6"/>
  <c r="B2112" i="6"/>
  <c r="F2111" i="6"/>
  <c r="E2111" i="6"/>
  <c r="D2111" i="6"/>
  <c r="C2111" i="6"/>
  <c r="B2111" i="6"/>
  <c r="F2110" i="6"/>
  <c r="E2110" i="6"/>
  <c r="D2110" i="6"/>
  <c r="C2110" i="6"/>
  <c r="B2110" i="6"/>
  <c r="F2109" i="6"/>
  <c r="E2109" i="6"/>
  <c r="D2109" i="6"/>
  <c r="C2109" i="6"/>
  <c r="B2109" i="6"/>
  <c r="F2108" i="6"/>
  <c r="E2108" i="6"/>
  <c r="D2108" i="6"/>
  <c r="C2108" i="6"/>
  <c r="B2108" i="6"/>
  <c r="F2107" i="6"/>
  <c r="E2107" i="6"/>
  <c r="D2107" i="6"/>
  <c r="C2107" i="6"/>
  <c r="B2107" i="6"/>
  <c r="F2106" i="6"/>
  <c r="E2106" i="6"/>
  <c r="D2106" i="6"/>
  <c r="C2106" i="6"/>
  <c r="B2106" i="6"/>
  <c r="F2105" i="6"/>
  <c r="E2105" i="6"/>
  <c r="D2105" i="6"/>
  <c r="C2105" i="6"/>
  <c r="B2105" i="6"/>
  <c r="F2104" i="6"/>
  <c r="E2104" i="6"/>
  <c r="D2104" i="6"/>
  <c r="C2104" i="6"/>
  <c r="B2104" i="6"/>
  <c r="F2103" i="6"/>
  <c r="E2103" i="6"/>
  <c r="D2103" i="6"/>
  <c r="C2103" i="6"/>
  <c r="B2103" i="6"/>
  <c r="F2102" i="6"/>
  <c r="E2102" i="6"/>
  <c r="D2102" i="6"/>
  <c r="C2102" i="6"/>
  <c r="B2102" i="6"/>
  <c r="F2101" i="6"/>
  <c r="E2101" i="6"/>
  <c r="D2101" i="6"/>
  <c r="C2101" i="6"/>
  <c r="B2101" i="6"/>
  <c r="F2100" i="6"/>
  <c r="E2100" i="6"/>
  <c r="D2100" i="6"/>
  <c r="C2100" i="6"/>
  <c r="B2100" i="6"/>
  <c r="F2099" i="6"/>
  <c r="E2099" i="6"/>
  <c r="D2099" i="6"/>
  <c r="C2099" i="6"/>
  <c r="B2099" i="6"/>
  <c r="F2098" i="6"/>
  <c r="E2098" i="6"/>
  <c r="D2098" i="6"/>
  <c r="C2098" i="6"/>
  <c r="B2098" i="6"/>
  <c r="F2097" i="6"/>
  <c r="E2097" i="6"/>
  <c r="D2097" i="6"/>
  <c r="C2097" i="6"/>
  <c r="B2097" i="6"/>
  <c r="F2096" i="6"/>
  <c r="E2096" i="6"/>
  <c r="D2096" i="6"/>
  <c r="C2096" i="6"/>
  <c r="B2096" i="6"/>
  <c r="F2095" i="6"/>
  <c r="E2095" i="6"/>
  <c r="D2095" i="6"/>
  <c r="C2095" i="6"/>
  <c r="B2095" i="6"/>
  <c r="F2094" i="6"/>
  <c r="E2094" i="6"/>
  <c r="D2094" i="6"/>
  <c r="C2094" i="6"/>
  <c r="B2094" i="6"/>
  <c r="F2093" i="6"/>
  <c r="E2093" i="6"/>
  <c r="D2093" i="6"/>
  <c r="C2093" i="6"/>
  <c r="B2093" i="6"/>
  <c r="F2092" i="6"/>
  <c r="E2092" i="6"/>
  <c r="D2092" i="6"/>
  <c r="C2092" i="6"/>
  <c r="B2092" i="6"/>
  <c r="F2091" i="6"/>
  <c r="E2091" i="6"/>
  <c r="D2091" i="6"/>
  <c r="C2091" i="6"/>
  <c r="B2091" i="6"/>
  <c r="F2090" i="6"/>
  <c r="E2090" i="6"/>
  <c r="D2090" i="6"/>
  <c r="C2090" i="6"/>
  <c r="B2090" i="6"/>
  <c r="F2089" i="6"/>
  <c r="E2089" i="6"/>
  <c r="D2089" i="6"/>
  <c r="C2089" i="6"/>
  <c r="B2089" i="6"/>
  <c r="F2088" i="6"/>
  <c r="E2088" i="6"/>
  <c r="D2088" i="6"/>
  <c r="C2088" i="6"/>
  <c r="B2088" i="6"/>
  <c r="F2087" i="6"/>
  <c r="E2087" i="6"/>
  <c r="D2087" i="6"/>
  <c r="C2087" i="6"/>
  <c r="B2087" i="6"/>
  <c r="F2086" i="6"/>
  <c r="E2086" i="6"/>
  <c r="D2086" i="6"/>
  <c r="C2086" i="6"/>
  <c r="B2086" i="6"/>
  <c r="F2085" i="6"/>
  <c r="E2085" i="6"/>
  <c r="D2085" i="6"/>
  <c r="C2085" i="6"/>
  <c r="B2085" i="6"/>
  <c r="F2084" i="6"/>
  <c r="E2084" i="6"/>
  <c r="D2084" i="6"/>
  <c r="C2084" i="6"/>
  <c r="B2084" i="6"/>
  <c r="F2083" i="6"/>
  <c r="E2083" i="6"/>
  <c r="D2083" i="6"/>
  <c r="C2083" i="6"/>
  <c r="B2083" i="6"/>
  <c r="F2082" i="6"/>
  <c r="E2082" i="6"/>
  <c r="D2082" i="6"/>
  <c r="C2082" i="6"/>
  <c r="B2082" i="6"/>
  <c r="F2081" i="6"/>
  <c r="E2081" i="6"/>
  <c r="D2081" i="6"/>
  <c r="C2081" i="6"/>
  <c r="B2081" i="6"/>
  <c r="F2080" i="6"/>
  <c r="E2080" i="6"/>
  <c r="D2080" i="6"/>
  <c r="C2080" i="6"/>
  <c r="B2080" i="6"/>
  <c r="F2079" i="6"/>
  <c r="E2079" i="6"/>
  <c r="D2079" i="6"/>
  <c r="C2079" i="6"/>
  <c r="B2079" i="6"/>
  <c r="F2078" i="6"/>
  <c r="E2078" i="6"/>
  <c r="D2078" i="6"/>
  <c r="C2078" i="6"/>
  <c r="B2078" i="6"/>
  <c r="F2077" i="6"/>
  <c r="E2077" i="6"/>
  <c r="D2077" i="6"/>
  <c r="C2077" i="6"/>
  <c r="B2077" i="6"/>
  <c r="F2076" i="6"/>
  <c r="E2076" i="6"/>
  <c r="D2076" i="6"/>
  <c r="C2076" i="6"/>
  <c r="B2076" i="6"/>
  <c r="F2075" i="6"/>
  <c r="E2075" i="6"/>
  <c r="D2075" i="6"/>
  <c r="C2075" i="6"/>
  <c r="B2075" i="6"/>
  <c r="F2074" i="6"/>
  <c r="E2074" i="6"/>
  <c r="D2074" i="6"/>
  <c r="C2074" i="6"/>
  <c r="B2074" i="6"/>
  <c r="F2073" i="6"/>
  <c r="E2073" i="6"/>
  <c r="D2073" i="6"/>
  <c r="C2073" i="6"/>
  <c r="B2073" i="6"/>
  <c r="F2072" i="6"/>
  <c r="E2072" i="6"/>
  <c r="D2072" i="6"/>
  <c r="C2072" i="6"/>
  <c r="B2072" i="6"/>
  <c r="F2071" i="6"/>
  <c r="E2071" i="6"/>
  <c r="D2071" i="6"/>
  <c r="C2071" i="6"/>
  <c r="B2071" i="6"/>
  <c r="F2070" i="6"/>
  <c r="E2070" i="6"/>
  <c r="D2070" i="6"/>
  <c r="C2070" i="6"/>
  <c r="B2070" i="6"/>
  <c r="F2069" i="6"/>
  <c r="E2069" i="6"/>
  <c r="D2069" i="6"/>
  <c r="C2069" i="6"/>
  <c r="B2069" i="6"/>
  <c r="F2068" i="6"/>
  <c r="E2068" i="6"/>
  <c r="D2068" i="6"/>
  <c r="C2068" i="6"/>
  <c r="B2068" i="6"/>
  <c r="F2067" i="6"/>
  <c r="E2067" i="6"/>
  <c r="D2067" i="6"/>
  <c r="C2067" i="6"/>
  <c r="B2067" i="6"/>
  <c r="F2066" i="6"/>
  <c r="E2066" i="6"/>
  <c r="D2066" i="6"/>
  <c r="C2066" i="6"/>
  <c r="B2066" i="6"/>
  <c r="F2065" i="6"/>
  <c r="E2065" i="6"/>
  <c r="D2065" i="6"/>
  <c r="C2065" i="6"/>
  <c r="B2065" i="6"/>
  <c r="F2064" i="6"/>
  <c r="E2064" i="6"/>
  <c r="D2064" i="6"/>
  <c r="C2064" i="6"/>
  <c r="B2064" i="6"/>
  <c r="F2063" i="6"/>
  <c r="E2063" i="6"/>
  <c r="D2063" i="6"/>
  <c r="C2063" i="6"/>
  <c r="B2063" i="6"/>
  <c r="F2062" i="6"/>
  <c r="E2062" i="6"/>
  <c r="D2062" i="6"/>
  <c r="C2062" i="6"/>
  <c r="B2062" i="6"/>
  <c r="F2061" i="6"/>
  <c r="E2061" i="6"/>
  <c r="D2061" i="6"/>
  <c r="C2061" i="6"/>
  <c r="B2061" i="6"/>
  <c r="F2060" i="6"/>
  <c r="E2060" i="6"/>
  <c r="D2060" i="6"/>
  <c r="C2060" i="6"/>
  <c r="B2060" i="6"/>
  <c r="F2059" i="6"/>
  <c r="E2059" i="6"/>
  <c r="D2059" i="6"/>
  <c r="C2059" i="6"/>
  <c r="B2059" i="6"/>
  <c r="F2058" i="6"/>
  <c r="E2058" i="6"/>
  <c r="D2058" i="6"/>
  <c r="C2058" i="6"/>
  <c r="B2058" i="6"/>
  <c r="F2057" i="6"/>
  <c r="E2057" i="6"/>
  <c r="D2057" i="6"/>
  <c r="C2057" i="6"/>
  <c r="B2057" i="6"/>
  <c r="F2056" i="6"/>
  <c r="E2056" i="6"/>
  <c r="D2056" i="6"/>
  <c r="C2056" i="6"/>
  <c r="B2056" i="6"/>
  <c r="F2055" i="6"/>
  <c r="E2055" i="6"/>
  <c r="D2055" i="6"/>
  <c r="C2055" i="6"/>
  <c r="B2055" i="6"/>
  <c r="F2054" i="6"/>
  <c r="E2054" i="6"/>
  <c r="D2054" i="6"/>
  <c r="C2054" i="6"/>
  <c r="B2054" i="6"/>
  <c r="F2053" i="6"/>
  <c r="E2053" i="6"/>
  <c r="D2053" i="6"/>
  <c r="C2053" i="6"/>
  <c r="B2053" i="6"/>
  <c r="F2052" i="6"/>
  <c r="E2052" i="6"/>
  <c r="D2052" i="6"/>
  <c r="C2052" i="6"/>
  <c r="B2052" i="6"/>
  <c r="F2051" i="6"/>
  <c r="E2051" i="6"/>
  <c r="D2051" i="6"/>
  <c r="C2051" i="6"/>
  <c r="B2051" i="6"/>
  <c r="F2050" i="6"/>
  <c r="E2050" i="6"/>
  <c r="D2050" i="6"/>
  <c r="C2050" i="6"/>
  <c r="B2050" i="6"/>
  <c r="F2049" i="6"/>
  <c r="E2049" i="6"/>
  <c r="D2049" i="6"/>
  <c r="C2049" i="6"/>
  <c r="B2049" i="6"/>
  <c r="F2048" i="6"/>
  <c r="E2048" i="6"/>
  <c r="D2048" i="6"/>
  <c r="C2048" i="6"/>
  <c r="B2048" i="6"/>
  <c r="F2047" i="6"/>
  <c r="E2047" i="6"/>
  <c r="D2047" i="6"/>
  <c r="C2047" i="6"/>
  <c r="B2047" i="6"/>
  <c r="F2046" i="6"/>
  <c r="E2046" i="6"/>
  <c r="D2046" i="6"/>
  <c r="C2046" i="6"/>
  <c r="B2046" i="6"/>
  <c r="F2045" i="6"/>
  <c r="E2045" i="6"/>
  <c r="D2045" i="6"/>
  <c r="C2045" i="6"/>
  <c r="B2045" i="6"/>
  <c r="F2044" i="6"/>
  <c r="E2044" i="6"/>
  <c r="D2044" i="6"/>
  <c r="C2044" i="6"/>
  <c r="B2044" i="6"/>
  <c r="F2043" i="6"/>
  <c r="E2043" i="6"/>
  <c r="D2043" i="6"/>
  <c r="C2043" i="6"/>
  <c r="B2043" i="6"/>
  <c r="F2042" i="6"/>
  <c r="E2042" i="6"/>
  <c r="D2042" i="6"/>
  <c r="C2042" i="6"/>
  <c r="B2042" i="6"/>
  <c r="F2041" i="6"/>
  <c r="E2041" i="6"/>
  <c r="D2041" i="6"/>
  <c r="C2041" i="6"/>
  <c r="B2041" i="6"/>
  <c r="F2040" i="6"/>
  <c r="E2040" i="6"/>
  <c r="D2040" i="6"/>
  <c r="C2040" i="6"/>
  <c r="B2040" i="6"/>
  <c r="F2039" i="6"/>
  <c r="E2039" i="6"/>
  <c r="D2039" i="6"/>
  <c r="C2039" i="6"/>
  <c r="B2039" i="6"/>
  <c r="F2038" i="6"/>
  <c r="E2038" i="6"/>
  <c r="D2038" i="6"/>
  <c r="C2038" i="6"/>
  <c r="B2038" i="6"/>
  <c r="F2037" i="6"/>
  <c r="E2037" i="6"/>
  <c r="D2037" i="6"/>
  <c r="C2037" i="6"/>
  <c r="B2037" i="6"/>
  <c r="F2036" i="6"/>
  <c r="E2036" i="6"/>
  <c r="D2036" i="6"/>
  <c r="C2036" i="6"/>
  <c r="B2036" i="6"/>
  <c r="F2035" i="6"/>
  <c r="E2035" i="6"/>
  <c r="D2035" i="6"/>
  <c r="C2035" i="6"/>
  <c r="B2035" i="6"/>
  <c r="F2034" i="6"/>
  <c r="E2034" i="6"/>
  <c r="D2034" i="6"/>
  <c r="C2034" i="6"/>
  <c r="B2034" i="6"/>
  <c r="F2033" i="6"/>
  <c r="E2033" i="6"/>
  <c r="D2033" i="6"/>
  <c r="C2033" i="6"/>
  <c r="B2033" i="6"/>
  <c r="F2032" i="6"/>
  <c r="E2032" i="6"/>
  <c r="D2032" i="6"/>
  <c r="C2032" i="6"/>
  <c r="B2032" i="6"/>
  <c r="F2031" i="6"/>
  <c r="E2031" i="6"/>
  <c r="D2031" i="6"/>
  <c r="C2031" i="6"/>
  <c r="B2031" i="6"/>
  <c r="F2030" i="6"/>
  <c r="E2030" i="6"/>
  <c r="D2030" i="6"/>
  <c r="C2030" i="6"/>
  <c r="B2030" i="6"/>
  <c r="F2029" i="6"/>
  <c r="E2029" i="6"/>
  <c r="D2029" i="6"/>
  <c r="C2029" i="6"/>
  <c r="B2029" i="6"/>
  <c r="F2028" i="6"/>
  <c r="E2028" i="6"/>
  <c r="D2028" i="6"/>
  <c r="C2028" i="6"/>
  <c r="B2028" i="6"/>
  <c r="F2027" i="6"/>
  <c r="E2027" i="6"/>
  <c r="D2027" i="6"/>
  <c r="C2027" i="6"/>
  <c r="B2027" i="6"/>
  <c r="F2026" i="6"/>
  <c r="E2026" i="6"/>
  <c r="D2026" i="6"/>
  <c r="C2026" i="6"/>
  <c r="B2026" i="6"/>
  <c r="F2025" i="6"/>
  <c r="E2025" i="6"/>
  <c r="D2025" i="6"/>
  <c r="C2025" i="6"/>
  <c r="B2025" i="6"/>
  <c r="F2024" i="6"/>
  <c r="E2024" i="6"/>
  <c r="D2024" i="6"/>
  <c r="C2024" i="6"/>
  <c r="B2024" i="6"/>
  <c r="F2023" i="6"/>
  <c r="E2023" i="6"/>
  <c r="D2023" i="6"/>
  <c r="C2023" i="6"/>
  <c r="B2023" i="6"/>
  <c r="F2022" i="6"/>
  <c r="E2022" i="6"/>
  <c r="D2022" i="6"/>
  <c r="C2022" i="6"/>
  <c r="B2022" i="6"/>
  <c r="F2021" i="6"/>
  <c r="E2021" i="6"/>
  <c r="D2021" i="6"/>
  <c r="C2021" i="6"/>
  <c r="B2021" i="6"/>
  <c r="F2020" i="6"/>
  <c r="E2020" i="6"/>
  <c r="D2020" i="6"/>
  <c r="C2020" i="6"/>
  <c r="B2020" i="6"/>
  <c r="F2019" i="6"/>
  <c r="E2019" i="6"/>
  <c r="D2019" i="6"/>
  <c r="C2019" i="6"/>
  <c r="B2019" i="6"/>
  <c r="F2018" i="6"/>
  <c r="E2018" i="6"/>
  <c r="D2018" i="6"/>
  <c r="C2018" i="6"/>
  <c r="B2018" i="6"/>
  <c r="F2017" i="6"/>
  <c r="E2017" i="6"/>
  <c r="D2017" i="6"/>
  <c r="C2017" i="6"/>
  <c r="B2017" i="6"/>
  <c r="F2016" i="6"/>
  <c r="E2016" i="6"/>
  <c r="D2016" i="6"/>
  <c r="C2016" i="6"/>
  <c r="B2016" i="6"/>
  <c r="F2015" i="6"/>
  <c r="E2015" i="6"/>
  <c r="D2015" i="6"/>
  <c r="C2015" i="6"/>
  <c r="B2015" i="6"/>
  <c r="F2014" i="6"/>
  <c r="E2014" i="6"/>
  <c r="D2014" i="6"/>
  <c r="C2014" i="6"/>
  <c r="B2014" i="6"/>
  <c r="F2013" i="6"/>
  <c r="E2013" i="6"/>
  <c r="D2013" i="6"/>
  <c r="C2013" i="6"/>
  <c r="B2013" i="6"/>
  <c r="F2012" i="6"/>
  <c r="E2012" i="6"/>
  <c r="D2012" i="6"/>
  <c r="C2012" i="6"/>
  <c r="B2012" i="6"/>
  <c r="F2011" i="6"/>
  <c r="E2011" i="6"/>
  <c r="D2011" i="6"/>
  <c r="C2011" i="6"/>
  <c r="B2011" i="6"/>
  <c r="F2010" i="6"/>
  <c r="E2010" i="6"/>
  <c r="D2010" i="6"/>
  <c r="C2010" i="6"/>
  <c r="B2010" i="6"/>
  <c r="F2009" i="6"/>
  <c r="E2009" i="6"/>
  <c r="D2009" i="6"/>
  <c r="C2009" i="6"/>
  <c r="B2009" i="6"/>
  <c r="F2008" i="6"/>
  <c r="E2008" i="6"/>
  <c r="D2008" i="6"/>
  <c r="C2008" i="6"/>
  <c r="B2008" i="6"/>
  <c r="F2007" i="6"/>
  <c r="E2007" i="6"/>
  <c r="D2007" i="6"/>
  <c r="C2007" i="6"/>
  <c r="B2007" i="6"/>
  <c r="F2006" i="6"/>
  <c r="E2006" i="6"/>
  <c r="D2006" i="6"/>
  <c r="C2006" i="6"/>
  <c r="B2006" i="6"/>
  <c r="F2005" i="6"/>
  <c r="E2005" i="6"/>
  <c r="D2005" i="6"/>
  <c r="C2005" i="6"/>
  <c r="B2005" i="6"/>
  <c r="F2004" i="6"/>
  <c r="E2004" i="6"/>
  <c r="D2004" i="6"/>
  <c r="C2004" i="6"/>
  <c r="B2004" i="6"/>
  <c r="F2003" i="6"/>
  <c r="E2003" i="6"/>
  <c r="D2003" i="6"/>
  <c r="C2003" i="6"/>
  <c r="B2003" i="6"/>
  <c r="F2002" i="6"/>
  <c r="E2002" i="6"/>
  <c r="D2002" i="6"/>
  <c r="C2002" i="6"/>
  <c r="B2002" i="6"/>
  <c r="F2001" i="6"/>
  <c r="E2001" i="6"/>
  <c r="D2001" i="6"/>
  <c r="C2001" i="6"/>
  <c r="B2001" i="6"/>
  <c r="F2000" i="6"/>
  <c r="E2000" i="6"/>
  <c r="D2000" i="6"/>
  <c r="C2000" i="6"/>
  <c r="B2000" i="6"/>
  <c r="F1999" i="6"/>
  <c r="E1999" i="6"/>
  <c r="D1999" i="6"/>
  <c r="C1999" i="6"/>
  <c r="B1999" i="6"/>
  <c r="F1998" i="6"/>
  <c r="E1998" i="6"/>
  <c r="D1998" i="6"/>
  <c r="C1998" i="6"/>
  <c r="B1998" i="6"/>
  <c r="F1997" i="6"/>
  <c r="E1997" i="6"/>
  <c r="D1997" i="6"/>
  <c r="C1997" i="6"/>
  <c r="B1997" i="6"/>
  <c r="F1996" i="6"/>
  <c r="E1996" i="6"/>
  <c r="D1996" i="6"/>
  <c r="C1996" i="6"/>
  <c r="B1996" i="6"/>
  <c r="F1995" i="6"/>
  <c r="E1995" i="6"/>
  <c r="D1995" i="6"/>
  <c r="C1995" i="6"/>
  <c r="B1995" i="6"/>
  <c r="F1994" i="6"/>
  <c r="E1994" i="6"/>
  <c r="D1994" i="6"/>
  <c r="C1994" i="6"/>
  <c r="B1994" i="6"/>
  <c r="F1993" i="6"/>
  <c r="E1993" i="6"/>
  <c r="D1993" i="6"/>
  <c r="C1993" i="6"/>
  <c r="B1993" i="6"/>
  <c r="F1992" i="6"/>
  <c r="E1992" i="6"/>
  <c r="D1992" i="6"/>
  <c r="C1992" i="6"/>
  <c r="B1992" i="6"/>
  <c r="F1991" i="6"/>
  <c r="E1991" i="6"/>
  <c r="D1991" i="6"/>
  <c r="C1991" i="6"/>
  <c r="B1991" i="6"/>
  <c r="F1990" i="6"/>
  <c r="E1990" i="6"/>
  <c r="D1990" i="6"/>
  <c r="C1990" i="6"/>
  <c r="B1990" i="6"/>
  <c r="F1989" i="6"/>
  <c r="E1989" i="6"/>
  <c r="D1989" i="6"/>
  <c r="C1989" i="6"/>
  <c r="B1989" i="6"/>
  <c r="F1988" i="6"/>
  <c r="E1988" i="6"/>
  <c r="D1988" i="6"/>
  <c r="C1988" i="6"/>
  <c r="B1988" i="6"/>
  <c r="F1987" i="6"/>
  <c r="E1987" i="6"/>
  <c r="D1987" i="6"/>
  <c r="C1987" i="6"/>
  <c r="B1987" i="6"/>
  <c r="F1986" i="6"/>
  <c r="E1986" i="6"/>
  <c r="D1986" i="6"/>
  <c r="C1986" i="6"/>
  <c r="B1986" i="6"/>
  <c r="F1985" i="6"/>
  <c r="E1985" i="6"/>
  <c r="D1985" i="6"/>
  <c r="C1985" i="6"/>
  <c r="B1985" i="6"/>
  <c r="F1984" i="6"/>
  <c r="E1984" i="6"/>
  <c r="D1984" i="6"/>
  <c r="C1984" i="6"/>
  <c r="B1984" i="6"/>
  <c r="F1983" i="6"/>
  <c r="E1983" i="6"/>
  <c r="D1983" i="6"/>
  <c r="C1983" i="6"/>
  <c r="B1983" i="6"/>
  <c r="F1982" i="6"/>
  <c r="E1982" i="6"/>
  <c r="D1982" i="6"/>
  <c r="C1982" i="6"/>
  <c r="B1982" i="6"/>
  <c r="F1981" i="6"/>
  <c r="E1981" i="6"/>
  <c r="D1981" i="6"/>
  <c r="C1981" i="6"/>
  <c r="B1981" i="6"/>
  <c r="F1980" i="6"/>
  <c r="E1980" i="6"/>
  <c r="D1980" i="6"/>
  <c r="C1980" i="6"/>
  <c r="B1980" i="6"/>
  <c r="F1979" i="6"/>
  <c r="E1979" i="6"/>
  <c r="D1979" i="6"/>
  <c r="C1979" i="6"/>
  <c r="B1979" i="6"/>
  <c r="F1978" i="6"/>
  <c r="E1978" i="6"/>
  <c r="D1978" i="6"/>
  <c r="C1978" i="6"/>
  <c r="B1978" i="6"/>
  <c r="F1977" i="6"/>
  <c r="E1977" i="6"/>
  <c r="D1977" i="6"/>
  <c r="C1977" i="6"/>
  <c r="B1977" i="6"/>
  <c r="F1976" i="6"/>
  <c r="E1976" i="6"/>
  <c r="D1976" i="6"/>
  <c r="C1976" i="6"/>
  <c r="B1976" i="6"/>
  <c r="F1975" i="6"/>
  <c r="E1975" i="6"/>
  <c r="D1975" i="6"/>
  <c r="C1975" i="6"/>
  <c r="B1975" i="6"/>
  <c r="F1974" i="6"/>
  <c r="E1974" i="6"/>
  <c r="D1974" i="6"/>
  <c r="C1974" i="6"/>
  <c r="B1974" i="6"/>
  <c r="F1973" i="6"/>
  <c r="E1973" i="6"/>
  <c r="D1973" i="6"/>
  <c r="C1973" i="6"/>
  <c r="B1973" i="6"/>
  <c r="F1972" i="6"/>
  <c r="E1972" i="6"/>
  <c r="D1972" i="6"/>
  <c r="C1972" i="6"/>
  <c r="B1972" i="6"/>
  <c r="F1971" i="6"/>
  <c r="E1971" i="6"/>
  <c r="D1971" i="6"/>
  <c r="C1971" i="6"/>
  <c r="B1971" i="6"/>
  <c r="F1970" i="6"/>
  <c r="E1970" i="6"/>
  <c r="D1970" i="6"/>
  <c r="C1970" i="6"/>
  <c r="B1970" i="6"/>
  <c r="F1969" i="6"/>
  <c r="E1969" i="6"/>
  <c r="D1969" i="6"/>
  <c r="C1969" i="6"/>
  <c r="B1969" i="6"/>
  <c r="F1968" i="6"/>
  <c r="E1968" i="6"/>
  <c r="D1968" i="6"/>
  <c r="C1968" i="6"/>
  <c r="B1968" i="6"/>
  <c r="F1967" i="6"/>
  <c r="E1967" i="6"/>
  <c r="D1967" i="6"/>
  <c r="C1967" i="6"/>
  <c r="B1967" i="6"/>
  <c r="F1966" i="6"/>
  <c r="E1966" i="6"/>
  <c r="D1966" i="6"/>
  <c r="C1966" i="6"/>
  <c r="B1966" i="6"/>
  <c r="F1965" i="6"/>
  <c r="E1965" i="6"/>
  <c r="D1965" i="6"/>
  <c r="C1965" i="6"/>
  <c r="B1965" i="6"/>
  <c r="F1964" i="6"/>
  <c r="E1964" i="6"/>
  <c r="D1964" i="6"/>
  <c r="C1964" i="6"/>
  <c r="B1964" i="6"/>
  <c r="F1963" i="6"/>
  <c r="E1963" i="6"/>
  <c r="D1963" i="6"/>
  <c r="C1963" i="6"/>
  <c r="B1963" i="6"/>
  <c r="F1962" i="6"/>
  <c r="E1962" i="6"/>
  <c r="D1962" i="6"/>
  <c r="C1962" i="6"/>
  <c r="B1962" i="6"/>
  <c r="F1961" i="6"/>
  <c r="E1961" i="6"/>
  <c r="D1961" i="6"/>
  <c r="C1961" i="6"/>
  <c r="B1961" i="6"/>
  <c r="F1960" i="6"/>
  <c r="E1960" i="6"/>
  <c r="D1960" i="6"/>
  <c r="C1960" i="6"/>
  <c r="B1960" i="6"/>
  <c r="F1959" i="6"/>
  <c r="E1959" i="6"/>
  <c r="D1959" i="6"/>
  <c r="C1959" i="6"/>
  <c r="B1959" i="6"/>
  <c r="F1958" i="6"/>
  <c r="E1958" i="6"/>
  <c r="D1958" i="6"/>
  <c r="C1958" i="6"/>
  <c r="B1958" i="6"/>
  <c r="F1957" i="6"/>
  <c r="E1957" i="6"/>
  <c r="D1957" i="6"/>
  <c r="C1957" i="6"/>
  <c r="B1957" i="6"/>
  <c r="F1956" i="6"/>
  <c r="E1956" i="6"/>
  <c r="D1956" i="6"/>
  <c r="C1956" i="6"/>
  <c r="B1956" i="6"/>
  <c r="F1955" i="6"/>
  <c r="E1955" i="6"/>
  <c r="D1955" i="6"/>
  <c r="C1955" i="6"/>
  <c r="B1955" i="6"/>
  <c r="F1954" i="6"/>
  <c r="E1954" i="6"/>
  <c r="D1954" i="6"/>
  <c r="C1954" i="6"/>
  <c r="B1954" i="6"/>
  <c r="F1953" i="6"/>
  <c r="E1953" i="6"/>
  <c r="D1953" i="6"/>
  <c r="C1953" i="6"/>
  <c r="B1953" i="6"/>
  <c r="F1952" i="6"/>
  <c r="E1952" i="6"/>
  <c r="D1952" i="6"/>
  <c r="C1952" i="6"/>
  <c r="B1952" i="6"/>
  <c r="F1951" i="6"/>
  <c r="E1951" i="6"/>
  <c r="D1951" i="6"/>
  <c r="C1951" i="6"/>
  <c r="B1951" i="6"/>
  <c r="F1950" i="6"/>
  <c r="E1950" i="6"/>
  <c r="D1950" i="6"/>
  <c r="C1950" i="6"/>
  <c r="B1950" i="6"/>
  <c r="F1949" i="6"/>
  <c r="E1949" i="6"/>
  <c r="D1949" i="6"/>
  <c r="C1949" i="6"/>
  <c r="B1949" i="6"/>
  <c r="F1948" i="6"/>
  <c r="E1948" i="6"/>
  <c r="D1948" i="6"/>
  <c r="C1948" i="6"/>
  <c r="B1948" i="6"/>
  <c r="F1947" i="6"/>
  <c r="E1947" i="6"/>
  <c r="D1947" i="6"/>
  <c r="C1947" i="6"/>
  <c r="B1947" i="6"/>
  <c r="F1946" i="6"/>
  <c r="E1946" i="6"/>
  <c r="D1946" i="6"/>
  <c r="C1946" i="6"/>
  <c r="B1946" i="6"/>
  <c r="F1945" i="6"/>
  <c r="E1945" i="6"/>
  <c r="D1945" i="6"/>
  <c r="C1945" i="6"/>
  <c r="B1945" i="6"/>
  <c r="F1944" i="6"/>
  <c r="E1944" i="6"/>
  <c r="D1944" i="6"/>
  <c r="C1944" i="6"/>
  <c r="B1944" i="6"/>
  <c r="F1943" i="6"/>
  <c r="E1943" i="6"/>
  <c r="D1943" i="6"/>
  <c r="C1943" i="6"/>
  <c r="B1943" i="6"/>
  <c r="F1942" i="6"/>
  <c r="E1942" i="6"/>
  <c r="D1942" i="6"/>
  <c r="C1942" i="6"/>
  <c r="B1942" i="6"/>
  <c r="F1941" i="6"/>
  <c r="E1941" i="6"/>
  <c r="D1941" i="6"/>
  <c r="C1941" i="6"/>
  <c r="B1941" i="6"/>
  <c r="F1940" i="6"/>
  <c r="E1940" i="6"/>
  <c r="D1940" i="6"/>
  <c r="C1940" i="6"/>
  <c r="B1940" i="6"/>
  <c r="F1939" i="6"/>
  <c r="E1939" i="6"/>
  <c r="D1939" i="6"/>
  <c r="C1939" i="6"/>
  <c r="B1939" i="6"/>
  <c r="F1938" i="6"/>
  <c r="E1938" i="6"/>
  <c r="D1938" i="6"/>
  <c r="C1938" i="6"/>
  <c r="B1938" i="6"/>
  <c r="F1937" i="6"/>
  <c r="E1937" i="6"/>
  <c r="D1937" i="6"/>
  <c r="C1937" i="6"/>
  <c r="B1937" i="6"/>
  <c r="F1936" i="6"/>
  <c r="E1936" i="6"/>
  <c r="D1936" i="6"/>
  <c r="C1936" i="6"/>
  <c r="B1936" i="6"/>
  <c r="F1935" i="6"/>
  <c r="E1935" i="6"/>
  <c r="D1935" i="6"/>
  <c r="C1935" i="6"/>
  <c r="B1935" i="6"/>
  <c r="F1934" i="6"/>
  <c r="E1934" i="6"/>
  <c r="D1934" i="6"/>
  <c r="C1934" i="6"/>
  <c r="B1934" i="6"/>
  <c r="F1933" i="6"/>
  <c r="E1933" i="6"/>
  <c r="D1933" i="6"/>
  <c r="C1933" i="6"/>
  <c r="B1933" i="6"/>
  <c r="F1932" i="6"/>
  <c r="E1932" i="6"/>
  <c r="D1932" i="6"/>
  <c r="C1932" i="6"/>
  <c r="B1932" i="6"/>
  <c r="F1931" i="6"/>
  <c r="E1931" i="6"/>
  <c r="D1931" i="6"/>
  <c r="C1931" i="6"/>
  <c r="B1931" i="6"/>
  <c r="F1930" i="6"/>
  <c r="E1930" i="6"/>
  <c r="D1930" i="6"/>
  <c r="C1930" i="6"/>
  <c r="B1930" i="6"/>
  <c r="F1929" i="6"/>
  <c r="E1929" i="6"/>
  <c r="D1929" i="6"/>
  <c r="C1929" i="6"/>
  <c r="B1929" i="6"/>
  <c r="F1928" i="6"/>
  <c r="E1928" i="6"/>
  <c r="D1928" i="6"/>
  <c r="C1928" i="6"/>
  <c r="B1928" i="6"/>
  <c r="F1927" i="6"/>
  <c r="E1927" i="6"/>
  <c r="D1927" i="6"/>
  <c r="C1927" i="6"/>
  <c r="B1927" i="6"/>
  <c r="F1926" i="6"/>
  <c r="E1926" i="6"/>
  <c r="D1926" i="6"/>
  <c r="C1926" i="6"/>
  <c r="B1926" i="6"/>
  <c r="F1925" i="6"/>
  <c r="E1925" i="6"/>
  <c r="D1925" i="6"/>
  <c r="C1925" i="6"/>
  <c r="B1925" i="6"/>
  <c r="F1924" i="6"/>
  <c r="E1924" i="6"/>
  <c r="D1924" i="6"/>
  <c r="C1924" i="6"/>
  <c r="B1924" i="6"/>
  <c r="F1923" i="6"/>
  <c r="E1923" i="6"/>
  <c r="D1923" i="6"/>
  <c r="C1923" i="6"/>
  <c r="B1923" i="6"/>
  <c r="F1922" i="6"/>
  <c r="E1922" i="6"/>
  <c r="D1922" i="6"/>
  <c r="C1922" i="6"/>
  <c r="B1922" i="6"/>
  <c r="F1921" i="6"/>
  <c r="E1921" i="6"/>
  <c r="D1921" i="6"/>
  <c r="C1921" i="6"/>
  <c r="B1921" i="6"/>
  <c r="F1920" i="6"/>
  <c r="E1920" i="6"/>
  <c r="D1920" i="6"/>
  <c r="C1920" i="6"/>
  <c r="B1920" i="6"/>
  <c r="F1919" i="6"/>
  <c r="E1919" i="6"/>
  <c r="D1919" i="6"/>
  <c r="C1919" i="6"/>
  <c r="B1919" i="6"/>
  <c r="F1918" i="6"/>
  <c r="E1918" i="6"/>
  <c r="D1918" i="6"/>
  <c r="C1918" i="6"/>
  <c r="B1918" i="6"/>
  <c r="F1917" i="6"/>
  <c r="E1917" i="6"/>
  <c r="D1917" i="6"/>
  <c r="C1917" i="6"/>
  <c r="B1917" i="6"/>
  <c r="F1916" i="6"/>
  <c r="E1916" i="6"/>
  <c r="D1916" i="6"/>
  <c r="C1916" i="6"/>
  <c r="B1916" i="6"/>
  <c r="F1915" i="6"/>
  <c r="E1915" i="6"/>
  <c r="D1915" i="6"/>
  <c r="C1915" i="6"/>
  <c r="B1915" i="6"/>
  <c r="F1914" i="6"/>
  <c r="E1914" i="6"/>
  <c r="D1914" i="6"/>
  <c r="C1914" i="6"/>
  <c r="B1914" i="6"/>
  <c r="F1913" i="6"/>
  <c r="E1913" i="6"/>
  <c r="D1913" i="6"/>
  <c r="C1913" i="6"/>
  <c r="B1913" i="6"/>
  <c r="F1912" i="6"/>
  <c r="E1912" i="6"/>
  <c r="D1912" i="6"/>
  <c r="C1912" i="6"/>
  <c r="B1912" i="6"/>
  <c r="F1911" i="6"/>
  <c r="E1911" i="6"/>
  <c r="D1911" i="6"/>
  <c r="C1911" i="6"/>
  <c r="B1911" i="6"/>
  <c r="F1910" i="6"/>
  <c r="E1910" i="6"/>
  <c r="D1910" i="6"/>
  <c r="C1910" i="6"/>
  <c r="B1910" i="6"/>
  <c r="F1909" i="6"/>
  <c r="E1909" i="6"/>
  <c r="D1909" i="6"/>
  <c r="C1909" i="6"/>
  <c r="B1909" i="6"/>
  <c r="F1908" i="6"/>
  <c r="E1908" i="6"/>
  <c r="D1908" i="6"/>
  <c r="C1908" i="6"/>
  <c r="B1908" i="6"/>
  <c r="F1907" i="6"/>
  <c r="E1907" i="6"/>
  <c r="D1907" i="6"/>
  <c r="C1907" i="6"/>
  <c r="B1907" i="6"/>
  <c r="F1906" i="6"/>
  <c r="E1906" i="6"/>
  <c r="D1906" i="6"/>
  <c r="C1906" i="6"/>
  <c r="B1906" i="6"/>
  <c r="F1905" i="6"/>
  <c r="E1905" i="6"/>
  <c r="D1905" i="6"/>
  <c r="C1905" i="6"/>
  <c r="B1905" i="6"/>
  <c r="F1904" i="6"/>
  <c r="E1904" i="6"/>
  <c r="D1904" i="6"/>
  <c r="C1904" i="6"/>
  <c r="B1904" i="6"/>
  <c r="F1903" i="6"/>
  <c r="E1903" i="6"/>
  <c r="D1903" i="6"/>
  <c r="C1903" i="6"/>
  <c r="B1903" i="6"/>
  <c r="F1902" i="6"/>
  <c r="E1902" i="6"/>
  <c r="D1902" i="6"/>
  <c r="C1902" i="6"/>
  <c r="B1902" i="6"/>
  <c r="F1901" i="6"/>
  <c r="E1901" i="6"/>
  <c r="D1901" i="6"/>
  <c r="C1901" i="6"/>
  <c r="B1901" i="6"/>
  <c r="F1900" i="6"/>
  <c r="E1900" i="6"/>
  <c r="D1900" i="6"/>
  <c r="C1900" i="6"/>
  <c r="B1900" i="6"/>
  <c r="F1899" i="6"/>
  <c r="E1899" i="6"/>
  <c r="D1899" i="6"/>
  <c r="C1899" i="6"/>
  <c r="B1899" i="6"/>
  <c r="F1898" i="6"/>
  <c r="E1898" i="6"/>
  <c r="D1898" i="6"/>
  <c r="C1898" i="6"/>
  <c r="B1898" i="6"/>
  <c r="F1897" i="6"/>
  <c r="E1897" i="6"/>
  <c r="D1897" i="6"/>
  <c r="C1897" i="6"/>
  <c r="B1897" i="6"/>
  <c r="F1896" i="6"/>
  <c r="E1896" i="6"/>
  <c r="D1896" i="6"/>
  <c r="C1896" i="6"/>
  <c r="B1896" i="6"/>
  <c r="F1895" i="6"/>
  <c r="E1895" i="6"/>
  <c r="D1895" i="6"/>
  <c r="C1895" i="6"/>
  <c r="B1895" i="6"/>
  <c r="F1894" i="6"/>
  <c r="E1894" i="6"/>
  <c r="D1894" i="6"/>
  <c r="C1894" i="6"/>
  <c r="B1894" i="6"/>
  <c r="F1893" i="6"/>
  <c r="E1893" i="6"/>
  <c r="D1893" i="6"/>
  <c r="C1893" i="6"/>
  <c r="B1893" i="6"/>
  <c r="F1892" i="6"/>
  <c r="E1892" i="6"/>
  <c r="D1892" i="6"/>
  <c r="C1892" i="6"/>
  <c r="B1892" i="6"/>
  <c r="F1891" i="6"/>
  <c r="E1891" i="6"/>
  <c r="D1891" i="6"/>
  <c r="C1891" i="6"/>
  <c r="B1891" i="6"/>
  <c r="F1890" i="6"/>
  <c r="E1890" i="6"/>
  <c r="D1890" i="6"/>
  <c r="C1890" i="6"/>
  <c r="B1890" i="6"/>
  <c r="F1889" i="6"/>
  <c r="E1889" i="6"/>
  <c r="D1889" i="6"/>
  <c r="C1889" i="6"/>
  <c r="B1889" i="6"/>
  <c r="F1888" i="6"/>
  <c r="E1888" i="6"/>
  <c r="D1888" i="6"/>
  <c r="C1888" i="6"/>
  <c r="B1888" i="6"/>
  <c r="F1887" i="6"/>
  <c r="E1887" i="6"/>
  <c r="D1887" i="6"/>
  <c r="C1887" i="6"/>
  <c r="B1887" i="6"/>
  <c r="F1886" i="6"/>
  <c r="E1886" i="6"/>
  <c r="D1886" i="6"/>
  <c r="C1886" i="6"/>
  <c r="B1886" i="6"/>
  <c r="F1885" i="6"/>
  <c r="E1885" i="6"/>
  <c r="D1885" i="6"/>
  <c r="C1885" i="6"/>
  <c r="B1885" i="6"/>
  <c r="F1884" i="6"/>
  <c r="E1884" i="6"/>
  <c r="D1884" i="6"/>
  <c r="C1884" i="6"/>
  <c r="B1884" i="6"/>
  <c r="F1883" i="6"/>
  <c r="E1883" i="6"/>
  <c r="D1883" i="6"/>
  <c r="C1883" i="6"/>
  <c r="B1883" i="6"/>
  <c r="F1882" i="6"/>
  <c r="E1882" i="6"/>
  <c r="D1882" i="6"/>
  <c r="C1882" i="6"/>
  <c r="B1882" i="6"/>
  <c r="F1881" i="6"/>
  <c r="E1881" i="6"/>
  <c r="D1881" i="6"/>
  <c r="C1881" i="6"/>
  <c r="B1881" i="6"/>
  <c r="F1880" i="6"/>
  <c r="E1880" i="6"/>
  <c r="D1880" i="6"/>
  <c r="C1880" i="6"/>
  <c r="B1880" i="6"/>
  <c r="F1879" i="6"/>
  <c r="E1879" i="6"/>
  <c r="D1879" i="6"/>
  <c r="C1879" i="6"/>
  <c r="B1879" i="6"/>
  <c r="F1878" i="6"/>
  <c r="E1878" i="6"/>
  <c r="D1878" i="6"/>
  <c r="C1878" i="6"/>
  <c r="B1878" i="6"/>
  <c r="F1877" i="6"/>
  <c r="E1877" i="6"/>
  <c r="D1877" i="6"/>
  <c r="C1877" i="6"/>
  <c r="B1877" i="6"/>
  <c r="F1876" i="6"/>
  <c r="E1876" i="6"/>
  <c r="D1876" i="6"/>
  <c r="C1876" i="6"/>
  <c r="B1876" i="6"/>
  <c r="F1875" i="6"/>
  <c r="E1875" i="6"/>
  <c r="D1875" i="6"/>
  <c r="C1875" i="6"/>
  <c r="B1875" i="6"/>
  <c r="F1874" i="6"/>
  <c r="E1874" i="6"/>
  <c r="D1874" i="6"/>
  <c r="C1874" i="6"/>
  <c r="B1874" i="6"/>
  <c r="F1873" i="6"/>
  <c r="E1873" i="6"/>
  <c r="D1873" i="6"/>
  <c r="C1873" i="6"/>
  <c r="B1873" i="6"/>
  <c r="F1872" i="6"/>
  <c r="E1872" i="6"/>
  <c r="D1872" i="6"/>
  <c r="C1872" i="6"/>
  <c r="B1872" i="6"/>
  <c r="F1871" i="6"/>
  <c r="E1871" i="6"/>
  <c r="D1871" i="6"/>
  <c r="C1871" i="6"/>
  <c r="B1871" i="6"/>
  <c r="F1870" i="6"/>
  <c r="E1870" i="6"/>
  <c r="D1870" i="6"/>
  <c r="C1870" i="6"/>
  <c r="B1870" i="6"/>
  <c r="F1869" i="6"/>
  <c r="E1869" i="6"/>
  <c r="D1869" i="6"/>
  <c r="C1869" i="6"/>
  <c r="B1869" i="6"/>
  <c r="F1868" i="6"/>
  <c r="E1868" i="6"/>
  <c r="D1868" i="6"/>
  <c r="C1868" i="6"/>
  <c r="B1868" i="6"/>
  <c r="F1867" i="6"/>
  <c r="E1867" i="6"/>
  <c r="D1867" i="6"/>
  <c r="C1867" i="6"/>
  <c r="B1867" i="6"/>
  <c r="F1866" i="6"/>
  <c r="E1866" i="6"/>
  <c r="D1866" i="6"/>
  <c r="C1866" i="6"/>
  <c r="B1866" i="6"/>
  <c r="F1865" i="6"/>
  <c r="E1865" i="6"/>
  <c r="D1865" i="6"/>
  <c r="C1865" i="6"/>
  <c r="B1865" i="6"/>
  <c r="F1864" i="6"/>
  <c r="E1864" i="6"/>
  <c r="D1864" i="6"/>
  <c r="C1864" i="6"/>
  <c r="B1864" i="6"/>
  <c r="F1863" i="6"/>
  <c r="E1863" i="6"/>
  <c r="D1863" i="6"/>
  <c r="C1863" i="6"/>
  <c r="B1863" i="6"/>
  <c r="F1862" i="6"/>
  <c r="E1862" i="6"/>
  <c r="D1862" i="6"/>
  <c r="C1862" i="6"/>
  <c r="B1862" i="6"/>
  <c r="F1861" i="6"/>
  <c r="E1861" i="6"/>
  <c r="D1861" i="6"/>
  <c r="C1861" i="6"/>
  <c r="B1861" i="6"/>
  <c r="F1860" i="6"/>
  <c r="E1860" i="6"/>
  <c r="D1860" i="6"/>
  <c r="C1860" i="6"/>
  <c r="B1860" i="6"/>
  <c r="F1859" i="6"/>
  <c r="E1859" i="6"/>
  <c r="D1859" i="6"/>
  <c r="C1859" i="6"/>
  <c r="B1859" i="6"/>
  <c r="F1858" i="6"/>
  <c r="E1858" i="6"/>
  <c r="D1858" i="6"/>
  <c r="C1858" i="6"/>
  <c r="B1858" i="6"/>
  <c r="F1857" i="6"/>
  <c r="E1857" i="6"/>
  <c r="D1857" i="6"/>
  <c r="C1857" i="6"/>
  <c r="B1857" i="6"/>
  <c r="F1856" i="6"/>
  <c r="E1856" i="6"/>
  <c r="D1856" i="6"/>
  <c r="C1856" i="6"/>
  <c r="B1856" i="6"/>
  <c r="F1855" i="6"/>
  <c r="E1855" i="6"/>
  <c r="D1855" i="6"/>
  <c r="C1855" i="6"/>
  <c r="B1855" i="6"/>
  <c r="F1854" i="6"/>
  <c r="E1854" i="6"/>
  <c r="D1854" i="6"/>
  <c r="C1854" i="6"/>
  <c r="B1854" i="6"/>
  <c r="F1853" i="6"/>
  <c r="E1853" i="6"/>
  <c r="D1853" i="6"/>
  <c r="C1853" i="6"/>
  <c r="B1853" i="6"/>
  <c r="F1852" i="6"/>
  <c r="E1852" i="6"/>
  <c r="D1852" i="6"/>
  <c r="C1852" i="6"/>
  <c r="B1852" i="6"/>
  <c r="F1851" i="6"/>
  <c r="E1851" i="6"/>
  <c r="D1851" i="6"/>
  <c r="C1851" i="6"/>
  <c r="B1851" i="6"/>
  <c r="F1850" i="6"/>
  <c r="E1850" i="6"/>
  <c r="D1850" i="6"/>
  <c r="C1850" i="6"/>
  <c r="B1850" i="6"/>
  <c r="F1849" i="6"/>
  <c r="E1849" i="6"/>
  <c r="D1849" i="6"/>
  <c r="C1849" i="6"/>
  <c r="B1849" i="6"/>
  <c r="F1848" i="6"/>
  <c r="E1848" i="6"/>
  <c r="D1848" i="6"/>
  <c r="C1848" i="6"/>
  <c r="B1848" i="6"/>
  <c r="F1847" i="6"/>
  <c r="E1847" i="6"/>
  <c r="D1847" i="6"/>
  <c r="C1847" i="6"/>
  <c r="B1847" i="6"/>
  <c r="F1846" i="6"/>
  <c r="E1846" i="6"/>
  <c r="D1846" i="6"/>
  <c r="C1846" i="6"/>
  <c r="B1846" i="6"/>
  <c r="F1845" i="6"/>
  <c r="E1845" i="6"/>
  <c r="D1845" i="6"/>
  <c r="C1845" i="6"/>
  <c r="B1845" i="6"/>
  <c r="F1844" i="6"/>
  <c r="E1844" i="6"/>
  <c r="D1844" i="6"/>
  <c r="C1844" i="6"/>
  <c r="B1844" i="6"/>
  <c r="F1843" i="6"/>
  <c r="E1843" i="6"/>
  <c r="D1843" i="6"/>
  <c r="C1843" i="6"/>
  <c r="B1843" i="6"/>
  <c r="F1842" i="6"/>
  <c r="E1842" i="6"/>
  <c r="D1842" i="6"/>
  <c r="C1842" i="6"/>
  <c r="B1842" i="6"/>
  <c r="F1841" i="6"/>
  <c r="E1841" i="6"/>
  <c r="D1841" i="6"/>
  <c r="C1841" i="6"/>
  <c r="B1841" i="6"/>
  <c r="F1840" i="6"/>
  <c r="E1840" i="6"/>
  <c r="D1840" i="6"/>
  <c r="C1840" i="6"/>
  <c r="B1840" i="6"/>
  <c r="F1839" i="6"/>
  <c r="E1839" i="6"/>
  <c r="D1839" i="6"/>
  <c r="C1839" i="6"/>
  <c r="B1839" i="6"/>
  <c r="F1838" i="6"/>
  <c r="E1838" i="6"/>
  <c r="D1838" i="6"/>
  <c r="C1838" i="6"/>
  <c r="B1838" i="6"/>
  <c r="F1837" i="6"/>
  <c r="E1837" i="6"/>
  <c r="D1837" i="6"/>
  <c r="C1837" i="6"/>
  <c r="B1837" i="6"/>
  <c r="F1836" i="6"/>
  <c r="E1836" i="6"/>
  <c r="D1836" i="6"/>
  <c r="C1836" i="6"/>
  <c r="B1836" i="6"/>
  <c r="F1835" i="6"/>
  <c r="E1835" i="6"/>
  <c r="D1835" i="6"/>
  <c r="C1835" i="6"/>
  <c r="B1835" i="6"/>
  <c r="F1834" i="6"/>
  <c r="E1834" i="6"/>
  <c r="D1834" i="6"/>
  <c r="C1834" i="6"/>
  <c r="B1834" i="6"/>
  <c r="F1833" i="6"/>
  <c r="E1833" i="6"/>
  <c r="D1833" i="6"/>
  <c r="C1833" i="6"/>
  <c r="B1833" i="6"/>
  <c r="F1832" i="6"/>
  <c r="E1832" i="6"/>
  <c r="D1832" i="6"/>
  <c r="C1832" i="6"/>
  <c r="B1832" i="6"/>
  <c r="F1831" i="6"/>
  <c r="E1831" i="6"/>
  <c r="D1831" i="6"/>
  <c r="C1831" i="6"/>
  <c r="B1831" i="6"/>
  <c r="F1830" i="6"/>
  <c r="E1830" i="6"/>
  <c r="D1830" i="6"/>
  <c r="C1830" i="6"/>
  <c r="B1830" i="6"/>
  <c r="F1829" i="6"/>
  <c r="E1829" i="6"/>
  <c r="D1829" i="6"/>
  <c r="C1829" i="6"/>
  <c r="B1829" i="6"/>
  <c r="F1828" i="6"/>
  <c r="E1828" i="6"/>
  <c r="D1828" i="6"/>
  <c r="C1828" i="6"/>
  <c r="B1828" i="6"/>
  <c r="F1827" i="6"/>
  <c r="E1827" i="6"/>
  <c r="D1827" i="6"/>
  <c r="C1827" i="6"/>
  <c r="B1827" i="6"/>
  <c r="F1826" i="6"/>
  <c r="E1826" i="6"/>
  <c r="D1826" i="6"/>
  <c r="C1826" i="6"/>
  <c r="B1826" i="6"/>
  <c r="F1825" i="6"/>
  <c r="E1825" i="6"/>
  <c r="D1825" i="6"/>
  <c r="C1825" i="6"/>
  <c r="B1825" i="6"/>
  <c r="F1824" i="6"/>
  <c r="E1824" i="6"/>
  <c r="D1824" i="6"/>
  <c r="C1824" i="6"/>
  <c r="B1824" i="6"/>
  <c r="F1823" i="6"/>
  <c r="E1823" i="6"/>
  <c r="D1823" i="6"/>
  <c r="C1823" i="6"/>
  <c r="B1823" i="6"/>
  <c r="F1822" i="6"/>
  <c r="E1822" i="6"/>
  <c r="D1822" i="6"/>
  <c r="C1822" i="6"/>
  <c r="B1822" i="6"/>
  <c r="F1821" i="6"/>
  <c r="E1821" i="6"/>
  <c r="D1821" i="6"/>
  <c r="C1821" i="6"/>
  <c r="B1821" i="6"/>
  <c r="F1820" i="6"/>
  <c r="E1820" i="6"/>
  <c r="D1820" i="6"/>
  <c r="C1820" i="6"/>
  <c r="B1820" i="6"/>
  <c r="F1819" i="6"/>
  <c r="E1819" i="6"/>
  <c r="D1819" i="6"/>
  <c r="C1819" i="6"/>
  <c r="B1819" i="6"/>
  <c r="F1818" i="6"/>
  <c r="E1818" i="6"/>
  <c r="D1818" i="6"/>
  <c r="C1818" i="6"/>
  <c r="B1818" i="6"/>
  <c r="F1817" i="6"/>
  <c r="E1817" i="6"/>
  <c r="D1817" i="6"/>
  <c r="C1817" i="6"/>
  <c r="B1817" i="6"/>
  <c r="F1816" i="6"/>
  <c r="E1816" i="6"/>
  <c r="D1816" i="6"/>
  <c r="C1816" i="6"/>
  <c r="B1816" i="6"/>
  <c r="F1815" i="6"/>
  <c r="E1815" i="6"/>
  <c r="D1815" i="6"/>
  <c r="C1815" i="6"/>
  <c r="B1815" i="6"/>
  <c r="F1814" i="6"/>
  <c r="E1814" i="6"/>
  <c r="D1814" i="6"/>
  <c r="C1814" i="6"/>
  <c r="B1814" i="6"/>
  <c r="F1813" i="6"/>
  <c r="E1813" i="6"/>
  <c r="D1813" i="6"/>
  <c r="C1813" i="6"/>
  <c r="B1813" i="6"/>
  <c r="F1812" i="6"/>
  <c r="E1812" i="6"/>
  <c r="D1812" i="6"/>
  <c r="C1812" i="6"/>
  <c r="B1812" i="6"/>
  <c r="F1811" i="6"/>
  <c r="E1811" i="6"/>
  <c r="D1811" i="6"/>
  <c r="C1811" i="6"/>
  <c r="B1811" i="6"/>
  <c r="F1810" i="6"/>
  <c r="E1810" i="6"/>
  <c r="D1810" i="6"/>
  <c r="C1810" i="6"/>
  <c r="B1810" i="6"/>
  <c r="F1809" i="6"/>
  <c r="E1809" i="6"/>
  <c r="D1809" i="6"/>
  <c r="C1809" i="6"/>
  <c r="B1809" i="6"/>
  <c r="F1808" i="6"/>
  <c r="E1808" i="6"/>
  <c r="D1808" i="6"/>
  <c r="C1808" i="6"/>
  <c r="B1808" i="6"/>
  <c r="F1807" i="6"/>
  <c r="E1807" i="6"/>
  <c r="D1807" i="6"/>
  <c r="C1807" i="6"/>
  <c r="B1807" i="6"/>
  <c r="F1806" i="6"/>
  <c r="E1806" i="6"/>
  <c r="D1806" i="6"/>
  <c r="C1806" i="6"/>
  <c r="B1806" i="6"/>
  <c r="F1805" i="6"/>
  <c r="E1805" i="6"/>
  <c r="D1805" i="6"/>
  <c r="C1805" i="6"/>
  <c r="B1805" i="6"/>
  <c r="F1804" i="6"/>
  <c r="E1804" i="6"/>
  <c r="D1804" i="6"/>
  <c r="C1804" i="6"/>
  <c r="B1804" i="6"/>
  <c r="F1803" i="6"/>
  <c r="E1803" i="6"/>
  <c r="D1803" i="6"/>
  <c r="C1803" i="6"/>
  <c r="B1803" i="6"/>
  <c r="F1802" i="6"/>
  <c r="E1802" i="6"/>
  <c r="D1802" i="6"/>
  <c r="C1802" i="6"/>
  <c r="B1802" i="6"/>
  <c r="F1801" i="6"/>
  <c r="E1801" i="6"/>
  <c r="D1801" i="6"/>
  <c r="C1801" i="6"/>
  <c r="B1801" i="6"/>
  <c r="F1800" i="6"/>
  <c r="E1800" i="6"/>
  <c r="D1800" i="6"/>
  <c r="C1800" i="6"/>
  <c r="B1800" i="6"/>
  <c r="F1799" i="6"/>
  <c r="E1799" i="6"/>
  <c r="D1799" i="6"/>
  <c r="C1799" i="6"/>
  <c r="B1799" i="6"/>
  <c r="F1798" i="6"/>
  <c r="E1798" i="6"/>
  <c r="D1798" i="6"/>
  <c r="C1798" i="6"/>
  <c r="B1798" i="6"/>
  <c r="F1797" i="6"/>
  <c r="E1797" i="6"/>
  <c r="D1797" i="6"/>
  <c r="C1797" i="6"/>
  <c r="B1797" i="6"/>
  <c r="F1796" i="6"/>
  <c r="E1796" i="6"/>
  <c r="D1796" i="6"/>
  <c r="C1796" i="6"/>
  <c r="B1796" i="6"/>
  <c r="F1795" i="6"/>
  <c r="E1795" i="6"/>
  <c r="D1795" i="6"/>
  <c r="C1795" i="6"/>
  <c r="B1795" i="6"/>
  <c r="F1794" i="6"/>
  <c r="E1794" i="6"/>
  <c r="D1794" i="6"/>
  <c r="C1794" i="6"/>
  <c r="B1794" i="6"/>
  <c r="F1793" i="6"/>
  <c r="E1793" i="6"/>
  <c r="D1793" i="6"/>
  <c r="C1793" i="6"/>
  <c r="B1793" i="6"/>
  <c r="F1792" i="6"/>
  <c r="E1792" i="6"/>
  <c r="D1792" i="6"/>
  <c r="C1792" i="6"/>
  <c r="B1792" i="6"/>
  <c r="F1791" i="6"/>
  <c r="E1791" i="6"/>
  <c r="D1791" i="6"/>
  <c r="C1791" i="6"/>
  <c r="B1791" i="6"/>
  <c r="F1790" i="6"/>
  <c r="E1790" i="6"/>
  <c r="D1790" i="6"/>
  <c r="C1790" i="6"/>
  <c r="B1790" i="6"/>
  <c r="F1789" i="6"/>
  <c r="E1789" i="6"/>
  <c r="D1789" i="6"/>
  <c r="C1789" i="6"/>
  <c r="B1789" i="6"/>
  <c r="F1788" i="6"/>
  <c r="E1788" i="6"/>
  <c r="D1788" i="6"/>
  <c r="C1788" i="6"/>
  <c r="B1788" i="6"/>
  <c r="F1787" i="6"/>
  <c r="E1787" i="6"/>
  <c r="D1787" i="6"/>
  <c r="C1787" i="6"/>
  <c r="B1787" i="6"/>
  <c r="F1786" i="6"/>
  <c r="E1786" i="6"/>
  <c r="D1786" i="6"/>
  <c r="C1786" i="6"/>
  <c r="B1786" i="6"/>
  <c r="F1785" i="6"/>
  <c r="E1785" i="6"/>
  <c r="D1785" i="6"/>
  <c r="C1785" i="6"/>
  <c r="B1785" i="6"/>
  <c r="F1784" i="6"/>
  <c r="E1784" i="6"/>
  <c r="D1784" i="6"/>
  <c r="C1784" i="6"/>
  <c r="B1784" i="6"/>
  <c r="F1783" i="6"/>
  <c r="E1783" i="6"/>
  <c r="D1783" i="6"/>
  <c r="C1783" i="6"/>
  <c r="B1783" i="6"/>
  <c r="F1782" i="6"/>
  <c r="E1782" i="6"/>
  <c r="D1782" i="6"/>
  <c r="C1782" i="6"/>
  <c r="B1782" i="6"/>
  <c r="F1781" i="6"/>
  <c r="E1781" i="6"/>
  <c r="D1781" i="6"/>
  <c r="C1781" i="6"/>
  <c r="B1781" i="6"/>
  <c r="F1780" i="6"/>
  <c r="E1780" i="6"/>
  <c r="D1780" i="6"/>
  <c r="C1780" i="6"/>
  <c r="B1780" i="6"/>
  <c r="F1779" i="6"/>
  <c r="E1779" i="6"/>
  <c r="D1779" i="6"/>
  <c r="C1779" i="6"/>
  <c r="B1779" i="6"/>
  <c r="F1778" i="6"/>
  <c r="E1778" i="6"/>
  <c r="D1778" i="6"/>
  <c r="C1778" i="6"/>
  <c r="B1778" i="6"/>
  <c r="F1777" i="6"/>
  <c r="E1777" i="6"/>
  <c r="D1777" i="6"/>
  <c r="C1777" i="6"/>
  <c r="B1777" i="6"/>
  <c r="F1776" i="6"/>
  <c r="E1776" i="6"/>
  <c r="D1776" i="6"/>
  <c r="C1776" i="6"/>
  <c r="B1776" i="6"/>
  <c r="F1775" i="6"/>
  <c r="E1775" i="6"/>
  <c r="D1775" i="6"/>
  <c r="C1775" i="6"/>
  <c r="B1775" i="6"/>
  <c r="F1774" i="6"/>
  <c r="E1774" i="6"/>
  <c r="D1774" i="6"/>
  <c r="C1774" i="6"/>
  <c r="B1774" i="6"/>
  <c r="F1773" i="6"/>
  <c r="E1773" i="6"/>
  <c r="D1773" i="6"/>
  <c r="C1773" i="6"/>
  <c r="B1773" i="6"/>
  <c r="F1772" i="6"/>
  <c r="E1772" i="6"/>
  <c r="D1772" i="6"/>
  <c r="C1772" i="6"/>
  <c r="B1772" i="6"/>
  <c r="F1771" i="6"/>
  <c r="E1771" i="6"/>
  <c r="D1771" i="6"/>
  <c r="C1771" i="6"/>
  <c r="B1771" i="6"/>
  <c r="F1770" i="6"/>
  <c r="E1770" i="6"/>
  <c r="D1770" i="6"/>
  <c r="C1770" i="6"/>
  <c r="B1770" i="6"/>
  <c r="F1769" i="6"/>
  <c r="E1769" i="6"/>
  <c r="D1769" i="6"/>
  <c r="C1769" i="6"/>
  <c r="B1769" i="6"/>
  <c r="F1768" i="6"/>
  <c r="E1768" i="6"/>
  <c r="D1768" i="6"/>
  <c r="C1768" i="6"/>
  <c r="B1768" i="6"/>
  <c r="F1767" i="6"/>
  <c r="E1767" i="6"/>
  <c r="D1767" i="6"/>
  <c r="C1767" i="6"/>
  <c r="B1767" i="6"/>
  <c r="F1766" i="6"/>
  <c r="E1766" i="6"/>
  <c r="D1766" i="6"/>
  <c r="C1766" i="6"/>
  <c r="B1766" i="6"/>
  <c r="F1765" i="6"/>
  <c r="E1765" i="6"/>
  <c r="D1765" i="6"/>
  <c r="C1765" i="6"/>
  <c r="B1765" i="6"/>
  <c r="F1764" i="6"/>
  <c r="E1764" i="6"/>
  <c r="D1764" i="6"/>
  <c r="C1764" i="6"/>
  <c r="B1764" i="6"/>
  <c r="F1763" i="6"/>
  <c r="E1763" i="6"/>
  <c r="D1763" i="6"/>
  <c r="C1763" i="6"/>
  <c r="B1763" i="6"/>
  <c r="F1762" i="6"/>
  <c r="E1762" i="6"/>
  <c r="D1762" i="6"/>
  <c r="C1762" i="6"/>
  <c r="B1762" i="6"/>
  <c r="F1761" i="6"/>
  <c r="E1761" i="6"/>
  <c r="D1761" i="6"/>
  <c r="C1761" i="6"/>
  <c r="B1761" i="6"/>
  <c r="F1760" i="6"/>
  <c r="E1760" i="6"/>
  <c r="D1760" i="6"/>
  <c r="C1760" i="6"/>
  <c r="B1760" i="6"/>
  <c r="F1759" i="6"/>
  <c r="E1759" i="6"/>
  <c r="D1759" i="6"/>
  <c r="C1759" i="6"/>
  <c r="B1759" i="6"/>
  <c r="F1758" i="6"/>
  <c r="E1758" i="6"/>
  <c r="D1758" i="6"/>
  <c r="C1758" i="6"/>
  <c r="B1758" i="6"/>
  <c r="F1757" i="6"/>
  <c r="E1757" i="6"/>
  <c r="D1757" i="6"/>
  <c r="C1757" i="6"/>
  <c r="B1757" i="6"/>
  <c r="F1756" i="6"/>
  <c r="E1756" i="6"/>
  <c r="D1756" i="6"/>
  <c r="C1756" i="6"/>
  <c r="B1756" i="6"/>
  <c r="F1755" i="6"/>
  <c r="E1755" i="6"/>
  <c r="D1755" i="6"/>
  <c r="C1755" i="6"/>
  <c r="B1755" i="6"/>
  <c r="F1754" i="6"/>
  <c r="E1754" i="6"/>
  <c r="D1754" i="6"/>
  <c r="C1754" i="6"/>
  <c r="B1754" i="6"/>
  <c r="F1753" i="6"/>
  <c r="E1753" i="6"/>
  <c r="D1753" i="6"/>
  <c r="C1753" i="6"/>
  <c r="B1753" i="6"/>
  <c r="F1752" i="6"/>
  <c r="E1752" i="6"/>
  <c r="D1752" i="6"/>
  <c r="C1752" i="6"/>
  <c r="B1752" i="6"/>
  <c r="F1751" i="6"/>
  <c r="E1751" i="6"/>
  <c r="D1751" i="6"/>
  <c r="C1751" i="6"/>
  <c r="B1751" i="6"/>
  <c r="F1750" i="6"/>
  <c r="E1750" i="6"/>
  <c r="D1750" i="6"/>
  <c r="C1750" i="6"/>
  <c r="B1750" i="6"/>
  <c r="F1749" i="6"/>
  <c r="E1749" i="6"/>
  <c r="D1749" i="6"/>
  <c r="C1749" i="6"/>
  <c r="B1749" i="6"/>
  <c r="F1748" i="6"/>
  <c r="E1748" i="6"/>
  <c r="D1748" i="6"/>
  <c r="C1748" i="6"/>
  <c r="B1748" i="6"/>
  <c r="F1747" i="6"/>
  <c r="E1747" i="6"/>
  <c r="D1747" i="6"/>
  <c r="C1747" i="6"/>
  <c r="B1747" i="6"/>
  <c r="F1746" i="6"/>
  <c r="E1746" i="6"/>
  <c r="D1746" i="6"/>
  <c r="C1746" i="6"/>
  <c r="B1746" i="6"/>
  <c r="F1745" i="6"/>
  <c r="E1745" i="6"/>
  <c r="D1745" i="6"/>
  <c r="C1745" i="6"/>
  <c r="B1745" i="6"/>
  <c r="F1744" i="6"/>
  <c r="E1744" i="6"/>
  <c r="D1744" i="6"/>
  <c r="C1744" i="6"/>
  <c r="B1744" i="6"/>
  <c r="F1743" i="6"/>
  <c r="E1743" i="6"/>
  <c r="D1743" i="6"/>
  <c r="C1743" i="6"/>
  <c r="B1743" i="6"/>
  <c r="F1742" i="6"/>
  <c r="E1742" i="6"/>
  <c r="D1742" i="6"/>
  <c r="C1742" i="6"/>
  <c r="B1742" i="6"/>
  <c r="F1741" i="6"/>
  <c r="E1741" i="6"/>
  <c r="D1741" i="6"/>
  <c r="C1741" i="6"/>
  <c r="B1741" i="6"/>
  <c r="F1740" i="6"/>
  <c r="E1740" i="6"/>
  <c r="D1740" i="6"/>
  <c r="C1740" i="6"/>
  <c r="B1740" i="6"/>
  <c r="F1739" i="6"/>
  <c r="E1739" i="6"/>
  <c r="D1739" i="6"/>
  <c r="C1739" i="6"/>
  <c r="B1739" i="6"/>
  <c r="F1738" i="6"/>
  <c r="E1738" i="6"/>
  <c r="D1738" i="6"/>
  <c r="C1738" i="6"/>
  <c r="B1738" i="6"/>
  <c r="F1737" i="6"/>
  <c r="E1737" i="6"/>
  <c r="D1737" i="6"/>
  <c r="C1737" i="6"/>
  <c r="B1737" i="6"/>
  <c r="F1736" i="6"/>
  <c r="E1736" i="6"/>
  <c r="D1736" i="6"/>
  <c r="C1736" i="6"/>
  <c r="B1736" i="6"/>
  <c r="F1735" i="6"/>
  <c r="E1735" i="6"/>
  <c r="D1735" i="6"/>
  <c r="C1735" i="6"/>
  <c r="B1735" i="6"/>
  <c r="F1734" i="6"/>
  <c r="E1734" i="6"/>
  <c r="D1734" i="6"/>
  <c r="C1734" i="6"/>
  <c r="B1734" i="6"/>
  <c r="F1733" i="6"/>
  <c r="E1733" i="6"/>
  <c r="D1733" i="6"/>
  <c r="C1733" i="6"/>
  <c r="B1733" i="6"/>
  <c r="F1732" i="6"/>
  <c r="E1732" i="6"/>
  <c r="D1732" i="6"/>
  <c r="C1732" i="6"/>
  <c r="B1732" i="6"/>
  <c r="F1731" i="6"/>
  <c r="E1731" i="6"/>
  <c r="D1731" i="6"/>
  <c r="C1731" i="6"/>
  <c r="B1731" i="6"/>
  <c r="F1730" i="6"/>
  <c r="E1730" i="6"/>
  <c r="D1730" i="6"/>
  <c r="C1730" i="6"/>
  <c r="B1730" i="6"/>
  <c r="F1729" i="6"/>
  <c r="E1729" i="6"/>
  <c r="D1729" i="6"/>
  <c r="C1729" i="6"/>
  <c r="B1729" i="6"/>
  <c r="F1728" i="6"/>
  <c r="E1728" i="6"/>
  <c r="D1728" i="6"/>
  <c r="C1728" i="6"/>
  <c r="B1728" i="6"/>
  <c r="F1727" i="6"/>
  <c r="E1727" i="6"/>
  <c r="D1727" i="6"/>
  <c r="C1727" i="6"/>
  <c r="B1727" i="6"/>
  <c r="F1726" i="6"/>
  <c r="E1726" i="6"/>
  <c r="D1726" i="6"/>
  <c r="C1726" i="6"/>
  <c r="B1726" i="6"/>
  <c r="F1725" i="6"/>
  <c r="E1725" i="6"/>
  <c r="D1725" i="6"/>
  <c r="C1725" i="6"/>
  <c r="B1725" i="6"/>
  <c r="F1724" i="6"/>
  <c r="E1724" i="6"/>
  <c r="D1724" i="6"/>
  <c r="C1724" i="6"/>
  <c r="B1724" i="6"/>
  <c r="F1723" i="6"/>
  <c r="E1723" i="6"/>
  <c r="D1723" i="6"/>
  <c r="C1723" i="6"/>
  <c r="B1723" i="6"/>
  <c r="F1722" i="6"/>
  <c r="E1722" i="6"/>
  <c r="D1722" i="6"/>
  <c r="C1722" i="6"/>
  <c r="B1722" i="6"/>
  <c r="F1721" i="6"/>
  <c r="E1721" i="6"/>
  <c r="D1721" i="6"/>
  <c r="C1721" i="6"/>
  <c r="B1721" i="6"/>
  <c r="F1720" i="6"/>
  <c r="E1720" i="6"/>
  <c r="D1720" i="6"/>
  <c r="C1720" i="6"/>
  <c r="B1720" i="6"/>
  <c r="F1719" i="6"/>
  <c r="E1719" i="6"/>
  <c r="D1719" i="6"/>
  <c r="C1719" i="6"/>
  <c r="B1719" i="6"/>
  <c r="F1718" i="6"/>
  <c r="E1718" i="6"/>
  <c r="D1718" i="6"/>
  <c r="C1718" i="6"/>
  <c r="B1718" i="6"/>
  <c r="F1717" i="6"/>
  <c r="E1717" i="6"/>
  <c r="D1717" i="6"/>
  <c r="C1717" i="6"/>
  <c r="B1717" i="6"/>
  <c r="F1716" i="6"/>
  <c r="E1716" i="6"/>
  <c r="D1716" i="6"/>
  <c r="C1716" i="6"/>
  <c r="B1716" i="6"/>
  <c r="F1715" i="6"/>
  <c r="E1715" i="6"/>
  <c r="D1715" i="6"/>
  <c r="C1715" i="6"/>
  <c r="B1715" i="6"/>
  <c r="F1714" i="6"/>
  <c r="E1714" i="6"/>
  <c r="D1714" i="6"/>
  <c r="C1714" i="6"/>
  <c r="B1714" i="6"/>
  <c r="F1713" i="6"/>
  <c r="E1713" i="6"/>
  <c r="D1713" i="6"/>
  <c r="C1713" i="6"/>
  <c r="B1713" i="6"/>
  <c r="F1712" i="6"/>
  <c r="E1712" i="6"/>
  <c r="D1712" i="6"/>
  <c r="C1712" i="6"/>
  <c r="B1712" i="6"/>
  <c r="F1711" i="6"/>
  <c r="E1711" i="6"/>
  <c r="D1711" i="6"/>
  <c r="C1711" i="6"/>
  <c r="B1711" i="6"/>
  <c r="F1710" i="6"/>
  <c r="E1710" i="6"/>
  <c r="D1710" i="6"/>
  <c r="C1710" i="6"/>
  <c r="B1710" i="6"/>
  <c r="F1709" i="6"/>
  <c r="E1709" i="6"/>
  <c r="D1709" i="6"/>
  <c r="C1709" i="6"/>
  <c r="B1709" i="6"/>
  <c r="F1708" i="6"/>
  <c r="E1708" i="6"/>
  <c r="D1708" i="6"/>
  <c r="C1708" i="6"/>
  <c r="B1708" i="6"/>
  <c r="F1707" i="6"/>
  <c r="E1707" i="6"/>
  <c r="D1707" i="6"/>
  <c r="C1707" i="6"/>
  <c r="B1707" i="6"/>
  <c r="F1706" i="6"/>
  <c r="E1706" i="6"/>
  <c r="D1706" i="6"/>
  <c r="C1706" i="6"/>
  <c r="B1706" i="6"/>
  <c r="F1705" i="6"/>
  <c r="E1705" i="6"/>
  <c r="D1705" i="6"/>
  <c r="C1705" i="6"/>
  <c r="B1705" i="6"/>
  <c r="F1704" i="6"/>
  <c r="E1704" i="6"/>
  <c r="D1704" i="6"/>
  <c r="C1704" i="6"/>
  <c r="B1704" i="6"/>
  <c r="F1703" i="6"/>
  <c r="E1703" i="6"/>
  <c r="D1703" i="6"/>
  <c r="C1703" i="6"/>
  <c r="B1703" i="6"/>
  <c r="F1702" i="6"/>
  <c r="E1702" i="6"/>
  <c r="D1702" i="6"/>
  <c r="C1702" i="6"/>
  <c r="B1702" i="6"/>
  <c r="F1701" i="6"/>
  <c r="E1701" i="6"/>
  <c r="D1701" i="6"/>
  <c r="C1701" i="6"/>
  <c r="B1701" i="6"/>
  <c r="F1700" i="6"/>
  <c r="E1700" i="6"/>
  <c r="D1700" i="6"/>
  <c r="C1700" i="6"/>
  <c r="B1700" i="6"/>
  <c r="F1699" i="6"/>
  <c r="E1699" i="6"/>
  <c r="D1699" i="6"/>
  <c r="C1699" i="6"/>
  <c r="B1699" i="6"/>
  <c r="F1698" i="6"/>
  <c r="E1698" i="6"/>
  <c r="D1698" i="6"/>
  <c r="C1698" i="6"/>
  <c r="B1698" i="6"/>
  <c r="F1697" i="6"/>
  <c r="E1697" i="6"/>
  <c r="D1697" i="6"/>
  <c r="C1697" i="6"/>
  <c r="B1697" i="6"/>
  <c r="F1696" i="6"/>
  <c r="E1696" i="6"/>
  <c r="D1696" i="6"/>
  <c r="C1696" i="6"/>
  <c r="B1696" i="6"/>
  <c r="F1695" i="6"/>
  <c r="E1695" i="6"/>
  <c r="D1695" i="6"/>
  <c r="C1695" i="6"/>
  <c r="B1695" i="6"/>
  <c r="F1694" i="6"/>
  <c r="E1694" i="6"/>
  <c r="D1694" i="6"/>
  <c r="C1694" i="6"/>
  <c r="B1694" i="6"/>
  <c r="F1693" i="6"/>
  <c r="E1693" i="6"/>
  <c r="D1693" i="6"/>
  <c r="C1693" i="6"/>
  <c r="B1693" i="6"/>
  <c r="F1692" i="6"/>
  <c r="E1692" i="6"/>
  <c r="D1692" i="6"/>
  <c r="C1692" i="6"/>
  <c r="B1692" i="6"/>
  <c r="F1691" i="6"/>
  <c r="E1691" i="6"/>
  <c r="D1691" i="6"/>
  <c r="C1691" i="6"/>
  <c r="B1691" i="6"/>
  <c r="F1690" i="6"/>
  <c r="E1690" i="6"/>
  <c r="D1690" i="6"/>
  <c r="C1690" i="6"/>
  <c r="B1690" i="6"/>
  <c r="F1689" i="6"/>
  <c r="E1689" i="6"/>
  <c r="D1689" i="6"/>
  <c r="C1689" i="6"/>
  <c r="B1689" i="6"/>
  <c r="F1688" i="6"/>
  <c r="E1688" i="6"/>
  <c r="D1688" i="6"/>
  <c r="C1688" i="6"/>
  <c r="B1688" i="6"/>
  <c r="F1687" i="6"/>
  <c r="E1687" i="6"/>
  <c r="D1687" i="6"/>
  <c r="C1687" i="6"/>
  <c r="B1687" i="6"/>
  <c r="F1686" i="6"/>
  <c r="E1686" i="6"/>
  <c r="D1686" i="6"/>
  <c r="C1686" i="6"/>
  <c r="B1686" i="6"/>
  <c r="F1685" i="6"/>
  <c r="E1685" i="6"/>
  <c r="D1685" i="6"/>
  <c r="C1685" i="6"/>
  <c r="B1685" i="6"/>
  <c r="F1684" i="6"/>
  <c r="E1684" i="6"/>
  <c r="D1684" i="6"/>
  <c r="C1684" i="6"/>
  <c r="B1684" i="6"/>
  <c r="F1683" i="6"/>
  <c r="E1683" i="6"/>
  <c r="D1683" i="6"/>
  <c r="C1683" i="6"/>
  <c r="B1683" i="6"/>
  <c r="F1682" i="6"/>
  <c r="E1682" i="6"/>
  <c r="D1682" i="6"/>
  <c r="C1682" i="6"/>
  <c r="B1682" i="6"/>
  <c r="F1681" i="6"/>
  <c r="E1681" i="6"/>
  <c r="D1681" i="6"/>
  <c r="C1681" i="6"/>
  <c r="B1681" i="6"/>
  <c r="F1680" i="6"/>
  <c r="E1680" i="6"/>
  <c r="D1680" i="6"/>
  <c r="C1680" i="6"/>
  <c r="B1680" i="6"/>
  <c r="F1679" i="6"/>
  <c r="E1679" i="6"/>
  <c r="D1679" i="6"/>
  <c r="C1679" i="6"/>
  <c r="B1679" i="6"/>
  <c r="F1678" i="6"/>
  <c r="E1678" i="6"/>
  <c r="D1678" i="6"/>
  <c r="C1678" i="6"/>
  <c r="B1678" i="6"/>
  <c r="F1677" i="6"/>
  <c r="E1677" i="6"/>
  <c r="D1677" i="6"/>
  <c r="C1677" i="6"/>
  <c r="B1677" i="6"/>
  <c r="F1676" i="6"/>
  <c r="E1676" i="6"/>
  <c r="D1676" i="6"/>
  <c r="C1676" i="6"/>
  <c r="B1676" i="6"/>
  <c r="F1675" i="6"/>
  <c r="E1675" i="6"/>
  <c r="D1675" i="6"/>
  <c r="C1675" i="6"/>
  <c r="B1675" i="6"/>
  <c r="F1674" i="6"/>
  <c r="E1674" i="6"/>
  <c r="D1674" i="6"/>
  <c r="C1674" i="6"/>
  <c r="B1674" i="6"/>
  <c r="F1673" i="6"/>
  <c r="E1673" i="6"/>
  <c r="D1673" i="6"/>
  <c r="C1673" i="6"/>
  <c r="B1673" i="6"/>
  <c r="F1672" i="6"/>
  <c r="E1672" i="6"/>
  <c r="D1672" i="6"/>
  <c r="C1672" i="6"/>
  <c r="B1672" i="6"/>
  <c r="F1671" i="6"/>
  <c r="E1671" i="6"/>
  <c r="D1671" i="6"/>
  <c r="C1671" i="6"/>
  <c r="B1671" i="6"/>
  <c r="F1670" i="6"/>
  <c r="E1670" i="6"/>
  <c r="D1670" i="6"/>
  <c r="C1670" i="6"/>
  <c r="B1670" i="6"/>
  <c r="F1669" i="6"/>
  <c r="E1669" i="6"/>
  <c r="D1669" i="6"/>
  <c r="C1669" i="6"/>
  <c r="B1669" i="6"/>
  <c r="F1668" i="6"/>
  <c r="E1668" i="6"/>
  <c r="D1668" i="6"/>
  <c r="C1668" i="6"/>
  <c r="B1668" i="6"/>
  <c r="F1667" i="6"/>
  <c r="E1667" i="6"/>
  <c r="D1667" i="6"/>
  <c r="C1667" i="6"/>
  <c r="B1667" i="6"/>
  <c r="F1666" i="6"/>
  <c r="E1666" i="6"/>
  <c r="D1666" i="6"/>
  <c r="C1666" i="6"/>
  <c r="B1666" i="6"/>
  <c r="F1665" i="6"/>
  <c r="E1665" i="6"/>
  <c r="D1665" i="6"/>
  <c r="C1665" i="6"/>
  <c r="B1665" i="6"/>
  <c r="F1664" i="6"/>
  <c r="E1664" i="6"/>
  <c r="D1664" i="6"/>
  <c r="C1664" i="6"/>
  <c r="B1664" i="6"/>
  <c r="F1663" i="6"/>
  <c r="E1663" i="6"/>
  <c r="D1663" i="6"/>
  <c r="C1663" i="6"/>
  <c r="B1663" i="6"/>
  <c r="F1662" i="6"/>
  <c r="E1662" i="6"/>
  <c r="D1662" i="6"/>
  <c r="C1662" i="6"/>
  <c r="B1662" i="6"/>
  <c r="F1661" i="6"/>
  <c r="E1661" i="6"/>
  <c r="D1661" i="6"/>
  <c r="C1661" i="6"/>
  <c r="B1661" i="6"/>
  <c r="F1660" i="6"/>
  <c r="E1660" i="6"/>
  <c r="D1660" i="6"/>
  <c r="C1660" i="6"/>
  <c r="B1660" i="6"/>
  <c r="F1659" i="6"/>
  <c r="E1659" i="6"/>
  <c r="D1659" i="6"/>
  <c r="C1659" i="6"/>
  <c r="B1659" i="6"/>
  <c r="F1658" i="6"/>
  <c r="E1658" i="6"/>
  <c r="D1658" i="6"/>
  <c r="C1658" i="6"/>
  <c r="B1658" i="6"/>
  <c r="F1657" i="6"/>
  <c r="E1657" i="6"/>
  <c r="D1657" i="6"/>
  <c r="C1657" i="6"/>
  <c r="B1657" i="6"/>
  <c r="F1656" i="6"/>
  <c r="E1656" i="6"/>
  <c r="D1656" i="6"/>
  <c r="C1656" i="6"/>
  <c r="B1656" i="6"/>
  <c r="F1655" i="6"/>
  <c r="E1655" i="6"/>
  <c r="D1655" i="6"/>
  <c r="C1655" i="6"/>
  <c r="B1655" i="6"/>
  <c r="F1654" i="6"/>
  <c r="E1654" i="6"/>
  <c r="D1654" i="6"/>
  <c r="C1654" i="6"/>
  <c r="B1654" i="6"/>
  <c r="F1653" i="6"/>
  <c r="E1653" i="6"/>
  <c r="D1653" i="6"/>
  <c r="C1653" i="6"/>
  <c r="B1653" i="6"/>
  <c r="F1652" i="6"/>
  <c r="E1652" i="6"/>
  <c r="D1652" i="6"/>
  <c r="C1652" i="6"/>
  <c r="B1652" i="6"/>
  <c r="F1651" i="6"/>
  <c r="E1651" i="6"/>
  <c r="D1651" i="6"/>
  <c r="C1651" i="6"/>
  <c r="B1651" i="6"/>
  <c r="F1650" i="6"/>
  <c r="E1650" i="6"/>
  <c r="D1650" i="6"/>
  <c r="C1650" i="6"/>
  <c r="B1650" i="6"/>
  <c r="F1649" i="6"/>
  <c r="E1649" i="6"/>
  <c r="D1649" i="6"/>
  <c r="C1649" i="6"/>
  <c r="B1649" i="6"/>
  <c r="F1648" i="6"/>
  <c r="E1648" i="6"/>
  <c r="D1648" i="6"/>
  <c r="C1648" i="6"/>
  <c r="B1648" i="6"/>
  <c r="F1647" i="6"/>
  <c r="E1647" i="6"/>
  <c r="D1647" i="6"/>
  <c r="C1647" i="6"/>
  <c r="B1647" i="6"/>
  <c r="F1646" i="6"/>
  <c r="E1646" i="6"/>
  <c r="D1646" i="6"/>
  <c r="C1646" i="6"/>
  <c r="B1646" i="6"/>
  <c r="F1645" i="6"/>
  <c r="E1645" i="6"/>
  <c r="D1645" i="6"/>
  <c r="C1645" i="6"/>
  <c r="B1645" i="6"/>
  <c r="F1644" i="6"/>
  <c r="E1644" i="6"/>
  <c r="D1644" i="6"/>
  <c r="C1644" i="6"/>
  <c r="B1644" i="6"/>
  <c r="F1643" i="6"/>
  <c r="E1643" i="6"/>
  <c r="D1643" i="6"/>
  <c r="C1643" i="6"/>
  <c r="B1643" i="6"/>
  <c r="F1642" i="6"/>
  <c r="E1642" i="6"/>
  <c r="D1642" i="6"/>
  <c r="C1642" i="6"/>
  <c r="B1642" i="6"/>
  <c r="F1641" i="6"/>
  <c r="E1641" i="6"/>
  <c r="D1641" i="6"/>
  <c r="C1641" i="6"/>
  <c r="B1641" i="6"/>
  <c r="F1640" i="6"/>
  <c r="E1640" i="6"/>
  <c r="D1640" i="6"/>
  <c r="C1640" i="6"/>
  <c r="B1640" i="6"/>
  <c r="F1639" i="6"/>
  <c r="E1639" i="6"/>
  <c r="D1639" i="6"/>
  <c r="C1639" i="6"/>
  <c r="B1639" i="6"/>
  <c r="F1638" i="6"/>
  <c r="E1638" i="6"/>
  <c r="D1638" i="6"/>
  <c r="C1638" i="6"/>
  <c r="B1638" i="6"/>
  <c r="F1637" i="6"/>
  <c r="E1637" i="6"/>
  <c r="D1637" i="6"/>
  <c r="C1637" i="6"/>
  <c r="B1637" i="6"/>
  <c r="F1636" i="6"/>
  <c r="E1636" i="6"/>
  <c r="D1636" i="6"/>
  <c r="C1636" i="6"/>
  <c r="B1636" i="6"/>
  <c r="F1635" i="6"/>
  <c r="E1635" i="6"/>
  <c r="D1635" i="6"/>
  <c r="C1635" i="6"/>
  <c r="B1635" i="6"/>
  <c r="F1634" i="6"/>
  <c r="E1634" i="6"/>
  <c r="D1634" i="6"/>
  <c r="C1634" i="6"/>
  <c r="B1634" i="6"/>
  <c r="F1633" i="6"/>
  <c r="E1633" i="6"/>
  <c r="D1633" i="6"/>
  <c r="C1633" i="6"/>
  <c r="B1633" i="6"/>
  <c r="F1632" i="6"/>
  <c r="E1632" i="6"/>
  <c r="D1632" i="6"/>
  <c r="C1632" i="6"/>
  <c r="B1632" i="6"/>
  <c r="F1631" i="6"/>
  <c r="E1631" i="6"/>
  <c r="D1631" i="6"/>
  <c r="C1631" i="6"/>
  <c r="B1631" i="6"/>
  <c r="F1630" i="6"/>
  <c r="E1630" i="6"/>
  <c r="D1630" i="6"/>
  <c r="C1630" i="6"/>
  <c r="B1630" i="6"/>
  <c r="F1629" i="6"/>
  <c r="E1629" i="6"/>
  <c r="D1629" i="6"/>
  <c r="C1629" i="6"/>
  <c r="B1629" i="6"/>
  <c r="F1628" i="6"/>
  <c r="E1628" i="6"/>
  <c r="D1628" i="6"/>
  <c r="C1628" i="6"/>
  <c r="B1628" i="6"/>
  <c r="F1627" i="6"/>
  <c r="E1627" i="6"/>
  <c r="D1627" i="6"/>
  <c r="C1627" i="6"/>
  <c r="B1627" i="6"/>
  <c r="F1626" i="6"/>
  <c r="E1626" i="6"/>
  <c r="D1626" i="6"/>
  <c r="C1626" i="6"/>
  <c r="B1626" i="6"/>
  <c r="F1625" i="6"/>
  <c r="E1625" i="6"/>
  <c r="D1625" i="6"/>
  <c r="C1625" i="6"/>
  <c r="B1625" i="6"/>
  <c r="F1624" i="6"/>
  <c r="E1624" i="6"/>
  <c r="D1624" i="6"/>
  <c r="C1624" i="6"/>
  <c r="B1624" i="6"/>
  <c r="F1623" i="6"/>
  <c r="E1623" i="6"/>
  <c r="D1623" i="6"/>
  <c r="C1623" i="6"/>
  <c r="B1623" i="6"/>
  <c r="F1622" i="6"/>
  <c r="E1622" i="6"/>
  <c r="D1622" i="6"/>
  <c r="C1622" i="6"/>
  <c r="B1622" i="6"/>
  <c r="F1621" i="6"/>
  <c r="E1621" i="6"/>
  <c r="D1621" i="6"/>
  <c r="C1621" i="6"/>
  <c r="B1621" i="6"/>
  <c r="F1620" i="6"/>
  <c r="E1620" i="6"/>
  <c r="D1620" i="6"/>
  <c r="C1620" i="6"/>
  <c r="B1620" i="6"/>
  <c r="F1619" i="6"/>
  <c r="E1619" i="6"/>
  <c r="D1619" i="6"/>
  <c r="C1619" i="6"/>
  <c r="B1619" i="6"/>
  <c r="F1618" i="6"/>
  <c r="E1618" i="6"/>
  <c r="D1618" i="6"/>
  <c r="C1618" i="6"/>
  <c r="B1618" i="6"/>
  <c r="F1617" i="6"/>
  <c r="E1617" i="6"/>
  <c r="D1617" i="6"/>
  <c r="C1617" i="6"/>
  <c r="B1617" i="6"/>
  <c r="F1616" i="6"/>
  <c r="E1616" i="6"/>
  <c r="D1616" i="6"/>
  <c r="C1616" i="6"/>
  <c r="B1616" i="6"/>
  <c r="F1615" i="6"/>
  <c r="E1615" i="6"/>
  <c r="D1615" i="6"/>
  <c r="C1615" i="6"/>
  <c r="B1615" i="6"/>
  <c r="F1614" i="6"/>
  <c r="E1614" i="6"/>
  <c r="D1614" i="6"/>
  <c r="C1614" i="6"/>
  <c r="B1614" i="6"/>
  <c r="F1613" i="6"/>
  <c r="E1613" i="6"/>
  <c r="D1613" i="6"/>
  <c r="C1613" i="6"/>
  <c r="B1613" i="6"/>
  <c r="F1612" i="6"/>
  <c r="E1612" i="6"/>
  <c r="D1612" i="6"/>
  <c r="C1612" i="6"/>
  <c r="B1612" i="6"/>
  <c r="F1611" i="6"/>
  <c r="E1611" i="6"/>
  <c r="D1611" i="6"/>
  <c r="C1611" i="6"/>
  <c r="B1611" i="6"/>
  <c r="F1610" i="6"/>
  <c r="E1610" i="6"/>
  <c r="D1610" i="6"/>
  <c r="C1610" i="6"/>
  <c r="B1610" i="6"/>
  <c r="F1609" i="6"/>
  <c r="E1609" i="6"/>
  <c r="D1609" i="6"/>
  <c r="C1609" i="6"/>
  <c r="B1609" i="6"/>
  <c r="F1608" i="6"/>
  <c r="E1608" i="6"/>
  <c r="D1608" i="6"/>
  <c r="C1608" i="6"/>
  <c r="B1608" i="6"/>
  <c r="F1607" i="6"/>
  <c r="E1607" i="6"/>
  <c r="D1607" i="6"/>
  <c r="C1607" i="6"/>
  <c r="B1607" i="6"/>
  <c r="F1606" i="6"/>
  <c r="E1606" i="6"/>
  <c r="D1606" i="6"/>
  <c r="C1606" i="6"/>
  <c r="B1606" i="6"/>
  <c r="F1605" i="6"/>
  <c r="E1605" i="6"/>
  <c r="D1605" i="6"/>
  <c r="C1605" i="6"/>
  <c r="B1605" i="6"/>
  <c r="F1604" i="6"/>
  <c r="E1604" i="6"/>
  <c r="D1604" i="6"/>
  <c r="C1604" i="6"/>
  <c r="B1604" i="6"/>
  <c r="F1603" i="6"/>
  <c r="E1603" i="6"/>
  <c r="D1603" i="6"/>
  <c r="C1603" i="6"/>
  <c r="B1603" i="6"/>
  <c r="F1602" i="6"/>
  <c r="E1602" i="6"/>
  <c r="D1602" i="6"/>
  <c r="C1602" i="6"/>
  <c r="B1602" i="6"/>
  <c r="F1601" i="6"/>
  <c r="E1601" i="6"/>
  <c r="D1601" i="6"/>
  <c r="C1601" i="6"/>
  <c r="B1601" i="6"/>
  <c r="F1600" i="6"/>
  <c r="E1600" i="6"/>
  <c r="D1600" i="6"/>
  <c r="C1600" i="6"/>
  <c r="B1600" i="6"/>
  <c r="F1599" i="6"/>
  <c r="E1599" i="6"/>
  <c r="D1599" i="6"/>
  <c r="C1599" i="6"/>
  <c r="B1599" i="6"/>
  <c r="F1598" i="6"/>
  <c r="E1598" i="6"/>
  <c r="D1598" i="6"/>
  <c r="C1598" i="6"/>
  <c r="B1598" i="6"/>
  <c r="F1597" i="6"/>
  <c r="E1597" i="6"/>
  <c r="D1597" i="6"/>
  <c r="C1597" i="6"/>
  <c r="B1597" i="6"/>
  <c r="F1596" i="6"/>
  <c r="E1596" i="6"/>
  <c r="D1596" i="6"/>
  <c r="C1596" i="6"/>
  <c r="B1596" i="6"/>
  <c r="F1595" i="6"/>
  <c r="E1595" i="6"/>
  <c r="D1595" i="6"/>
  <c r="C1595" i="6"/>
  <c r="B1595" i="6"/>
  <c r="F1594" i="6"/>
  <c r="E1594" i="6"/>
  <c r="D1594" i="6"/>
  <c r="C1594" i="6"/>
  <c r="B1594" i="6"/>
  <c r="F1593" i="6"/>
  <c r="E1593" i="6"/>
  <c r="D1593" i="6"/>
  <c r="C1593" i="6"/>
  <c r="B1593" i="6"/>
  <c r="F1592" i="6"/>
  <c r="E1592" i="6"/>
  <c r="D1592" i="6"/>
  <c r="C1592" i="6"/>
  <c r="B1592" i="6"/>
  <c r="F1591" i="6"/>
  <c r="E1591" i="6"/>
  <c r="D1591" i="6"/>
  <c r="C1591" i="6"/>
  <c r="B1591" i="6"/>
  <c r="F1590" i="6"/>
  <c r="E1590" i="6"/>
  <c r="D1590" i="6"/>
  <c r="C1590" i="6"/>
  <c r="B1590" i="6"/>
  <c r="F1589" i="6"/>
  <c r="E1589" i="6"/>
  <c r="D1589" i="6"/>
  <c r="C1589" i="6"/>
  <c r="B1589" i="6"/>
  <c r="F1588" i="6"/>
  <c r="E1588" i="6"/>
  <c r="D1588" i="6"/>
  <c r="C1588" i="6"/>
  <c r="B1588" i="6"/>
  <c r="F1587" i="6"/>
  <c r="E1587" i="6"/>
  <c r="D1587" i="6"/>
  <c r="C1587" i="6"/>
  <c r="B1587" i="6"/>
  <c r="F1586" i="6"/>
  <c r="E1586" i="6"/>
  <c r="D1586" i="6"/>
  <c r="C1586" i="6"/>
  <c r="B1586" i="6"/>
  <c r="F1585" i="6"/>
  <c r="E1585" i="6"/>
  <c r="D1585" i="6"/>
  <c r="C1585" i="6"/>
  <c r="B1585" i="6"/>
  <c r="F1584" i="6"/>
  <c r="E1584" i="6"/>
  <c r="D1584" i="6"/>
  <c r="C1584" i="6"/>
  <c r="B1584" i="6"/>
  <c r="F1583" i="6"/>
  <c r="E1583" i="6"/>
  <c r="D1583" i="6"/>
  <c r="C1583" i="6"/>
  <c r="B1583" i="6"/>
  <c r="F1582" i="6"/>
  <c r="E1582" i="6"/>
  <c r="D1582" i="6"/>
  <c r="C1582" i="6"/>
  <c r="B1582" i="6"/>
  <c r="F1581" i="6"/>
  <c r="E1581" i="6"/>
  <c r="D1581" i="6"/>
  <c r="C1581" i="6"/>
  <c r="B1581" i="6"/>
  <c r="F1580" i="6"/>
  <c r="E1580" i="6"/>
  <c r="D1580" i="6"/>
  <c r="C1580" i="6"/>
  <c r="B1580" i="6"/>
  <c r="F1579" i="6"/>
  <c r="E1579" i="6"/>
  <c r="D1579" i="6"/>
  <c r="C1579" i="6"/>
  <c r="B1579" i="6"/>
  <c r="F1578" i="6"/>
  <c r="E1578" i="6"/>
  <c r="D1578" i="6"/>
  <c r="C1578" i="6"/>
  <c r="B1578" i="6"/>
  <c r="F1577" i="6"/>
  <c r="E1577" i="6"/>
  <c r="D1577" i="6"/>
  <c r="C1577" i="6"/>
  <c r="B1577" i="6"/>
  <c r="F1576" i="6"/>
  <c r="E1576" i="6"/>
  <c r="D1576" i="6"/>
  <c r="C1576" i="6"/>
  <c r="B1576" i="6"/>
  <c r="F1575" i="6"/>
  <c r="E1575" i="6"/>
  <c r="D1575" i="6"/>
  <c r="C1575" i="6"/>
  <c r="B1575" i="6"/>
  <c r="F1574" i="6"/>
  <c r="E1574" i="6"/>
  <c r="D1574" i="6"/>
  <c r="C1574" i="6"/>
  <c r="B1574" i="6"/>
  <c r="F1573" i="6"/>
  <c r="E1573" i="6"/>
  <c r="D1573" i="6"/>
  <c r="C1573" i="6"/>
  <c r="B1573" i="6"/>
  <c r="F1572" i="6"/>
  <c r="E1572" i="6"/>
  <c r="D1572" i="6"/>
  <c r="C1572" i="6"/>
  <c r="B1572" i="6"/>
  <c r="F1571" i="6"/>
  <c r="E1571" i="6"/>
  <c r="D1571" i="6"/>
  <c r="C1571" i="6"/>
  <c r="B1571" i="6"/>
  <c r="F1570" i="6"/>
  <c r="E1570" i="6"/>
  <c r="D1570" i="6"/>
  <c r="C1570" i="6"/>
  <c r="B1570" i="6"/>
  <c r="F1569" i="6"/>
  <c r="E1569" i="6"/>
  <c r="D1569" i="6"/>
  <c r="C1569" i="6"/>
  <c r="B1569" i="6"/>
  <c r="F1568" i="6"/>
  <c r="E1568" i="6"/>
  <c r="D1568" i="6"/>
  <c r="C1568" i="6"/>
  <c r="B1568" i="6"/>
  <c r="F1567" i="6"/>
  <c r="E1567" i="6"/>
  <c r="D1567" i="6"/>
  <c r="C1567" i="6"/>
  <c r="B1567" i="6"/>
  <c r="F1566" i="6"/>
  <c r="E1566" i="6"/>
  <c r="D1566" i="6"/>
  <c r="C1566" i="6"/>
  <c r="B1566" i="6"/>
  <c r="F1565" i="6"/>
  <c r="E1565" i="6"/>
  <c r="D1565" i="6"/>
  <c r="C1565" i="6"/>
  <c r="B1565" i="6"/>
  <c r="F1564" i="6"/>
  <c r="E1564" i="6"/>
  <c r="D1564" i="6"/>
  <c r="C1564" i="6"/>
  <c r="B1564" i="6"/>
  <c r="F1563" i="6"/>
  <c r="E1563" i="6"/>
  <c r="D1563" i="6"/>
  <c r="C1563" i="6"/>
  <c r="B1563" i="6"/>
  <c r="F1562" i="6"/>
  <c r="E1562" i="6"/>
  <c r="D1562" i="6"/>
  <c r="C1562" i="6"/>
  <c r="B1562" i="6"/>
  <c r="F1561" i="6"/>
  <c r="E1561" i="6"/>
  <c r="D1561" i="6"/>
  <c r="C1561" i="6"/>
  <c r="B1561" i="6"/>
  <c r="F1560" i="6"/>
  <c r="E1560" i="6"/>
  <c r="D1560" i="6"/>
  <c r="C1560" i="6"/>
  <c r="B1560" i="6"/>
  <c r="F1559" i="6"/>
  <c r="E1559" i="6"/>
  <c r="D1559" i="6"/>
  <c r="C1559" i="6"/>
  <c r="B1559" i="6"/>
  <c r="F1558" i="6"/>
  <c r="E1558" i="6"/>
  <c r="D1558" i="6"/>
  <c r="C1558" i="6"/>
  <c r="B1558" i="6"/>
  <c r="F1557" i="6"/>
  <c r="E1557" i="6"/>
  <c r="D1557" i="6"/>
  <c r="C1557" i="6"/>
  <c r="B1557" i="6"/>
  <c r="F1556" i="6"/>
  <c r="E1556" i="6"/>
  <c r="D1556" i="6"/>
  <c r="C1556" i="6"/>
  <c r="B1556" i="6"/>
  <c r="F1555" i="6"/>
  <c r="E1555" i="6"/>
  <c r="D1555" i="6"/>
  <c r="C1555" i="6"/>
  <c r="B1555" i="6"/>
  <c r="F1554" i="6"/>
  <c r="E1554" i="6"/>
  <c r="D1554" i="6"/>
  <c r="C1554" i="6"/>
  <c r="B1554" i="6"/>
  <c r="F1553" i="6"/>
  <c r="E1553" i="6"/>
  <c r="D1553" i="6"/>
  <c r="C1553" i="6"/>
  <c r="B1553" i="6"/>
  <c r="F1552" i="6"/>
  <c r="E1552" i="6"/>
  <c r="D1552" i="6"/>
  <c r="C1552" i="6"/>
  <c r="B1552" i="6"/>
  <c r="F1551" i="6"/>
  <c r="E1551" i="6"/>
  <c r="D1551" i="6"/>
  <c r="C1551" i="6"/>
  <c r="B1551" i="6"/>
  <c r="F1550" i="6"/>
  <c r="E1550" i="6"/>
  <c r="D1550" i="6"/>
  <c r="C1550" i="6"/>
  <c r="B1550" i="6"/>
  <c r="F1549" i="6"/>
  <c r="E1549" i="6"/>
  <c r="D1549" i="6"/>
  <c r="C1549" i="6"/>
  <c r="B1549" i="6"/>
  <c r="F1548" i="6"/>
  <c r="E1548" i="6"/>
  <c r="D1548" i="6"/>
  <c r="C1548" i="6"/>
  <c r="B1548" i="6"/>
  <c r="F1547" i="6"/>
  <c r="E1547" i="6"/>
  <c r="D1547" i="6"/>
  <c r="C1547" i="6"/>
  <c r="B1547" i="6"/>
  <c r="F1546" i="6"/>
  <c r="E1546" i="6"/>
  <c r="D1546" i="6"/>
  <c r="C1546" i="6"/>
  <c r="B1546" i="6"/>
  <c r="F1545" i="6"/>
  <c r="E1545" i="6"/>
  <c r="D1545" i="6"/>
  <c r="C1545" i="6"/>
  <c r="B1545" i="6"/>
  <c r="F1544" i="6"/>
  <c r="E1544" i="6"/>
  <c r="D1544" i="6"/>
  <c r="C1544" i="6"/>
  <c r="B1544" i="6"/>
  <c r="F1543" i="6"/>
  <c r="E1543" i="6"/>
  <c r="D1543" i="6"/>
  <c r="C1543" i="6"/>
  <c r="B1543" i="6"/>
  <c r="F1542" i="6"/>
  <c r="E1542" i="6"/>
  <c r="D1542" i="6"/>
  <c r="C1542" i="6"/>
  <c r="B1542" i="6"/>
  <c r="F1541" i="6"/>
  <c r="E1541" i="6"/>
  <c r="D1541" i="6"/>
  <c r="C1541" i="6"/>
  <c r="B1541" i="6"/>
  <c r="F1540" i="6"/>
  <c r="E1540" i="6"/>
  <c r="D1540" i="6"/>
  <c r="C1540" i="6"/>
  <c r="B1540" i="6"/>
  <c r="F1539" i="6"/>
  <c r="E1539" i="6"/>
  <c r="D1539" i="6"/>
  <c r="C1539" i="6"/>
  <c r="B1539" i="6"/>
  <c r="F1538" i="6"/>
  <c r="E1538" i="6"/>
  <c r="D1538" i="6"/>
  <c r="C1538" i="6"/>
  <c r="B1538" i="6"/>
  <c r="F1537" i="6"/>
  <c r="E1537" i="6"/>
  <c r="D1537" i="6"/>
  <c r="C1537" i="6"/>
  <c r="B1537" i="6"/>
  <c r="F1536" i="6"/>
  <c r="E1536" i="6"/>
  <c r="D1536" i="6"/>
  <c r="C1536" i="6"/>
  <c r="B1536" i="6"/>
  <c r="F1535" i="6"/>
  <c r="E1535" i="6"/>
  <c r="D1535" i="6"/>
  <c r="C1535" i="6"/>
  <c r="B1535" i="6"/>
  <c r="F1534" i="6"/>
  <c r="E1534" i="6"/>
  <c r="D1534" i="6"/>
  <c r="C1534" i="6"/>
  <c r="B1534" i="6"/>
  <c r="F1533" i="6"/>
  <c r="E1533" i="6"/>
  <c r="D1533" i="6"/>
  <c r="C1533" i="6"/>
  <c r="B1533" i="6"/>
  <c r="F1532" i="6"/>
  <c r="E1532" i="6"/>
  <c r="D1532" i="6"/>
  <c r="C1532" i="6"/>
  <c r="B1532" i="6"/>
  <c r="F1531" i="6"/>
  <c r="E1531" i="6"/>
  <c r="D1531" i="6"/>
  <c r="C1531" i="6"/>
  <c r="B1531" i="6"/>
  <c r="F1530" i="6"/>
  <c r="E1530" i="6"/>
  <c r="D1530" i="6"/>
  <c r="C1530" i="6"/>
  <c r="B1530" i="6"/>
  <c r="F1529" i="6"/>
  <c r="E1529" i="6"/>
  <c r="D1529" i="6"/>
  <c r="C1529" i="6"/>
  <c r="B1529" i="6"/>
  <c r="F1528" i="6"/>
  <c r="E1528" i="6"/>
  <c r="D1528" i="6"/>
  <c r="C1528" i="6"/>
  <c r="B1528" i="6"/>
  <c r="F1527" i="6"/>
  <c r="E1527" i="6"/>
  <c r="D1527" i="6"/>
  <c r="C1527" i="6"/>
  <c r="B1527" i="6"/>
  <c r="F1526" i="6"/>
  <c r="E1526" i="6"/>
  <c r="D1526" i="6"/>
  <c r="C1526" i="6"/>
  <c r="B1526" i="6"/>
  <c r="F1525" i="6"/>
  <c r="E1525" i="6"/>
  <c r="D1525" i="6"/>
  <c r="C1525" i="6"/>
  <c r="B1525" i="6"/>
  <c r="F1524" i="6"/>
  <c r="E1524" i="6"/>
  <c r="D1524" i="6"/>
  <c r="C1524" i="6"/>
  <c r="B1524" i="6"/>
  <c r="F1523" i="6"/>
  <c r="E1523" i="6"/>
  <c r="D1523" i="6"/>
  <c r="C1523" i="6"/>
  <c r="B1523" i="6"/>
  <c r="F1522" i="6"/>
  <c r="E1522" i="6"/>
  <c r="D1522" i="6"/>
  <c r="C1522" i="6"/>
  <c r="B1522" i="6"/>
  <c r="F1521" i="6"/>
  <c r="E1521" i="6"/>
  <c r="D1521" i="6"/>
  <c r="C1521" i="6"/>
  <c r="B1521" i="6"/>
  <c r="F1520" i="6"/>
  <c r="E1520" i="6"/>
  <c r="D1520" i="6"/>
  <c r="C1520" i="6"/>
  <c r="B1520" i="6"/>
  <c r="F1519" i="6"/>
  <c r="E1519" i="6"/>
  <c r="D1519" i="6"/>
  <c r="C1519" i="6"/>
  <c r="B1519" i="6"/>
  <c r="F1518" i="6"/>
  <c r="E1518" i="6"/>
  <c r="D1518" i="6"/>
  <c r="C1518" i="6"/>
  <c r="B1518" i="6"/>
  <c r="F1517" i="6"/>
  <c r="E1517" i="6"/>
  <c r="D1517" i="6"/>
  <c r="C1517" i="6"/>
  <c r="B1517" i="6"/>
  <c r="F1516" i="6"/>
  <c r="E1516" i="6"/>
  <c r="D1516" i="6"/>
  <c r="C1516" i="6"/>
  <c r="B1516" i="6"/>
  <c r="F1515" i="6"/>
  <c r="E1515" i="6"/>
  <c r="D1515" i="6"/>
  <c r="C1515" i="6"/>
  <c r="B1515" i="6"/>
  <c r="F1514" i="6"/>
  <c r="E1514" i="6"/>
  <c r="D1514" i="6"/>
  <c r="C1514" i="6"/>
  <c r="B1514" i="6"/>
  <c r="F1513" i="6"/>
  <c r="E1513" i="6"/>
  <c r="D1513" i="6"/>
  <c r="C1513" i="6"/>
  <c r="B1513" i="6"/>
  <c r="F1512" i="6"/>
  <c r="E1512" i="6"/>
  <c r="D1512" i="6"/>
  <c r="C1512" i="6"/>
  <c r="B1512" i="6"/>
  <c r="F1511" i="6"/>
  <c r="E1511" i="6"/>
  <c r="D1511" i="6"/>
  <c r="C1511" i="6"/>
  <c r="B1511" i="6"/>
  <c r="F1510" i="6"/>
  <c r="E1510" i="6"/>
  <c r="D1510" i="6"/>
  <c r="C1510" i="6"/>
  <c r="B1510" i="6"/>
  <c r="F1509" i="6"/>
  <c r="E1509" i="6"/>
  <c r="D1509" i="6"/>
  <c r="C1509" i="6"/>
  <c r="B1509" i="6"/>
  <c r="F1508" i="6"/>
  <c r="E1508" i="6"/>
  <c r="D1508" i="6"/>
  <c r="C1508" i="6"/>
  <c r="B1508" i="6"/>
  <c r="F1507" i="6"/>
  <c r="E1507" i="6"/>
  <c r="D1507" i="6"/>
  <c r="C1507" i="6"/>
  <c r="B1507" i="6"/>
  <c r="F1506" i="6"/>
  <c r="E1506" i="6"/>
  <c r="D1506" i="6"/>
  <c r="C1506" i="6"/>
  <c r="B1506" i="6"/>
  <c r="F1505" i="6"/>
  <c r="E1505" i="6"/>
  <c r="D1505" i="6"/>
  <c r="C1505" i="6"/>
  <c r="B1505" i="6"/>
  <c r="F1504" i="6"/>
  <c r="E1504" i="6"/>
  <c r="D1504" i="6"/>
  <c r="C1504" i="6"/>
  <c r="B1504" i="6"/>
  <c r="F1503" i="6"/>
  <c r="E1503" i="6"/>
  <c r="D1503" i="6"/>
  <c r="C1503" i="6"/>
  <c r="B1503" i="6"/>
  <c r="F1502" i="6"/>
  <c r="E1502" i="6"/>
  <c r="D1502" i="6"/>
  <c r="C1502" i="6"/>
  <c r="B1502" i="6"/>
  <c r="F1501" i="6"/>
  <c r="E1501" i="6"/>
  <c r="D1501" i="6"/>
  <c r="C1501" i="6"/>
  <c r="B1501" i="6"/>
  <c r="F1500" i="6"/>
  <c r="E1500" i="6"/>
  <c r="D1500" i="6"/>
  <c r="C1500" i="6"/>
  <c r="B1500" i="6"/>
  <c r="F1499" i="6"/>
  <c r="E1499" i="6"/>
  <c r="D1499" i="6"/>
  <c r="C1499" i="6"/>
  <c r="B1499" i="6"/>
  <c r="F1498" i="6"/>
  <c r="E1498" i="6"/>
  <c r="D1498" i="6"/>
  <c r="C1498" i="6"/>
  <c r="B1498" i="6"/>
  <c r="F1497" i="6"/>
  <c r="E1497" i="6"/>
  <c r="D1497" i="6"/>
  <c r="C1497" i="6"/>
  <c r="B1497" i="6"/>
  <c r="F1496" i="6"/>
  <c r="E1496" i="6"/>
  <c r="D1496" i="6"/>
  <c r="C1496" i="6"/>
  <c r="B1496" i="6"/>
  <c r="F1495" i="6"/>
  <c r="E1495" i="6"/>
  <c r="D1495" i="6"/>
  <c r="C1495" i="6"/>
  <c r="B1495" i="6"/>
  <c r="F1494" i="6"/>
  <c r="E1494" i="6"/>
  <c r="D1494" i="6"/>
  <c r="C1494" i="6"/>
  <c r="B1494" i="6"/>
  <c r="F1493" i="6"/>
  <c r="E1493" i="6"/>
  <c r="D1493" i="6"/>
  <c r="C1493" i="6"/>
  <c r="B1493" i="6"/>
  <c r="F1492" i="6"/>
  <c r="E1492" i="6"/>
  <c r="D1492" i="6"/>
  <c r="C1492" i="6"/>
  <c r="B1492" i="6"/>
  <c r="F1491" i="6"/>
  <c r="E1491" i="6"/>
  <c r="D1491" i="6"/>
  <c r="C1491" i="6"/>
  <c r="B1491" i="6"/>
  <c r="F1490" i="6"/>
  <c r="E1490" i="6"/>
  <c r="D1490" i="6"/>
  <c r="C1490" i="6"/>
  <c r="B1490" i="6"/>
  <c r="F1489" i="6"/>
  <c r="E1489" i="6"/>
  <c r="D1489" i="6"/>
  <c r="C1489" i="6"/>
  <c r="B1489" i="6"/>
  <c r="F1488" i="6"/>
  <c r="E1488" i="6"/>
  <c r="D1488" i="6"/>
  <c r="C1488" i="6"/>
  <c r="B1488" i="6"/>
  <c r="F1487" i="6"/>
  <c r="E1487" i="6"/>
  <c r="D1487" i="6"/>
  <c r="C1487" i="6"/>
  <c r="B1487" i="6"/>
  <c r="F1486" i="6"/>
  <c r="E1486" i="6"/>
  <c r="D1486" i="6"/>
  <c r="C1486" i="6"/>
  <c r="B1486" i="6"/>
  <c r="F1485" i="6"/>
  <c r="E1485" i="6"/>
  <c r="D1485" i="6"/>
  <c r="C1485" i="6"/>
  <c r="B1485" i="6"/>
  <c r="F1484" i="6"/>
  <c r="E1484" i="6"/>
  <c r="D1484" i="6"/>
  <c r="C1484" i="6"/>
  <c r="B1484" i="6"/>
  <c r="F1483" i="6"/>
  <c r="E1483" i="6"/>
  <c r="D1483" i="6"/>
  <c r="C1483" i="6"/>
  <c r="B1483" i="6"/>
  <c r="F1482" i="6"/>
  <c r="E1482" i="6"/>
  <c r="D1482" i="6"/>
  <c r="C1482" i="6"/>
  <c r="B1482" i="6"/>
  <c r="F1481" i="6"/>
  <c r="E1481" i="6"/>
  <c r="D1481" i="6"/>
  <c r="C1481" i="6"/>
  <c r="B1481" i="6"/>
  <c r="F1480" i="6"/>
  <c r="E1480" i="6"/>
  <c r="D1480" i="6"/>
  <c r="C1480" i="6"/>
  <c r="B1480" i="6"/>
  <c r="F1479" i="6"/>
  <c r="E1479" i="6"/>
  <c r="D1479" i="6"/>
  <c r="C1479" i="6"/>
  <c r="B1479" i="6"/>
  <c r="F1478" i="6"/>
  <c r="E1478" i="6"/>
  <c r="D1478" i="6"/>
  <c r="C1478" i="6"/>
  <c r="B1478" i="6"/>
  <c r="F1477" i="6"/>
  <c r="E1477" i="6"/>
  <c r="D1477" i="6"/>
  <c r="C1477" i="6"/>
  <c r="B1477" i="6"/>
  <c r="F1476" i="6"/>
  <c r="E1476" i="6"/>
  <c r="D1476" i="6"/>
  <c r="C1476" i="6"/>
  <c r="B1476" i="6"/>
  <c r="F1475" i="6"/>
  <c r="E1475" i="6"/>
  <c r="D1475" i="6"/>
  <c r="C1475" i="6"/>
  <c r="B1475" i="6"/>
  <c r="F1474" i="6"/>
  <c r="E1474" i="6"/>
  <c r="D1474" i="6"/>
  <c r="C1474" i="6"/>
  <c r="B1474" i="6"/>
  <c r="F1473" i="6"/>
  <c r="E1473" i="6"/>
  <c r="D1473" i="6"/>
  <c r="C1473" i="6"/>
  <c r="B1473" i="6"/>
  <c r="F1472" i="6"/>
  <c r="E1472" i="6"/>
  <c r="D1472" i="6"/>
  <c r="C1472" i="6"/>
  <c r="B1472" i="6"/>
  <c r="F1471" i="6"/>
  <c r="E1471" i="6"/>
  <c r="D1471" i="6"/>
  <c r="C1471" i="6"/>
  <c r="B1471" i="6"/>
  <c r="F1470" i="6"/>
  <c r="E1470" i="6"/>
  <c r="D1470" i="6"/>
  <c r="C1470" i="6"/>
  <c r="B1470" i="6"/>
  <c r="F1469" i="6"/>
  <c r="E1469" i="6"/>
  <c r="D1469" i="6"/>
  <c r="C1469" i="6"/>
  <c r="B1469" i="6"/>
  <c r="F1468" i="6"/>
  <c r="E1468" i="6"/>
  <c r="D1468" i="6"/>
  <c r="C1468" i="6"/>
  <c r="B1468" i="6"/>
  <c r="F1467" i="6"/>
  <c r="E1467" i="6"/>
  <c r="D1467" i="6"/>
  <c r="C1467" i="6"/>
  <c r="B1467" i="6"/>
  <c r="F1466" i="6"/>
  <c r="E1466" i="6"/>
  <c r="D1466" i="6"/>
  <c r="C1466" i="6"/>
  <c r="B1466" i="6"/>
  <c r="F1465" i="6"/>
  <c r="E1465" i="6"/>
  <c r="D1465" i="6"/>
  <c r="C1465" i="6"/>
  <c r="B1465" i="6"/>
  <c r="F1464" i="6"/>
  <c r="E1464" i="6"/>
  <c r="D1464" i="6"/>
  <c r="C1464" i="6"/>
  <c r="B1464" i="6"/>
  <c r="F1463" i="6"/>
  <c r="E1463" i="6"/>
  <c r="D1463" i="6"/>
  <c r="C1463" i="6"/>
  <c r="B1463" i="6"/>
  <c r="F1462" i="6"/>
  <c r="E1462" i="6"/>
  <c r="D1462" i="6"/>
  <c r="C1462" i="6"/>
  <c r="B1462" i="6"/>
  <c r="F1461" i="6"/>
  <c r="E1461" i="6"/>
  <c r="D1461" i="6"/>
  <c r="C1461" i="6"/>
  <c r="B1461" i="6"/>
  <c r="F1460" i="6"/>
  <c r="E1460" i="6"/>
  <c r="D1460" i="6"/>
  <c r="C1460" i="6"/>
  <c r="B1460" i="6"/>
  <c r="F1459" i="6"/>
  <c r="E1459" i="6"/>
  <c r="D1459" i="6"/>
  <c r="C1459" i="6"/>
  <c r="B1459" i="6"/>
  <c r="F1458" i="6"/>
  <c r="E1458" i="6"/>
  <c r="D1458" i="6"/>
  <c r="C1458" i="6"/>
  <c r="B1458" i="6"/>
  <c r="F1457" i="6"/>
  <c r="E1457" i="6"/>
  <c r="D1457" i="6"/>
  <c r="C1457" i="6"/>
  <c r="B1457" i="6"/>
  <c r="F1456" i="6"/>
  <c r="E1456" i="6"/>
  <c r="D1456" i="6"/>
  <c r="C1456" i="6"/>
  <c r="B1456" i="6"/>
  <c r="F1455" i="6"/>
  <c r="E1455" i="6"/>
  <c r="D1455" i="6"/>
  <c r="C1455" i="6"/>
  <c r="B1455" i="6"/>
  <c r="F1454" i="6"/>
  <c r="E1454" i="6"/>
  <c r="D1454" i="6"/>
  <c r="C1454" i="6"/>
  <c r="B1454" i="6"/>
  <c r="F1453" i="6"/>
  <c r="E1453" i="6"/>
  <c r="D1453" i="6"/>
  <c r="C1453" i="6"/>
  <c r="B1453" i="6"/>
  <c r="F1452" i="6"/>
  <c r="E1452" i="6"/>
  <c r="D1452" i="6"/>
  <c r="C1452" i="6"/>
  <c r="B1452" i="6"/>
  <c r="F1451" i="6"/>
  <c r="E1451" i="6"/>
  <c r="D1451" i="6"/>
  <c r="C1451" i="6"/>
  <c r="B1451" i="6"/>
  <c r="F1450" i="6"/>
  <c r="E1450" i="6"/>
  <c r="D1450" i="6"/>
  <c r="C1450" i="6"/>
  <c r="B1450" i="6"/>
  <c r="F1449" i="6"/>
  <c r="E1449" i="6"/>
  <c r="D1449" i="6"/>
  <c r="C1449" i="6"/>
  <c r="B1449" i="6"/>
  <c r="F1448" i="6"/>
  <c r="E1448" i="6"/>
  <c r="D1448" i="6"/>
  <c r="C1448" i="6"/>
  <c r="B1448" i="6"/>
  <c r="F1447" i="6"/>
  <c r="E1447" i="6"/>
  <c r="D1447" i="6"/>
  <c r="C1447" i="6"/>
  <c r="B1447" i="6"/>
  <c r="F1446" i="6"/>
  <c r="E1446" i="6"/>
  <c r="D1446" i="6"/>
  <c r="C1446" i="6"/>
  <c r="B1446" i="6"/>
  <c r="F1445" i="6"/>
  <c r="E1445" i="6"/>
  <c r="D1445" i="6"/>
  <c r="C1445" i="6"/>
  <c r="B1445" i="6"/>
  <c r="F1444" i="6"/>
  <c r="E1444" i="6"/>
  <c r="D1444" i="6"/>
  <c r="C1444" i="6"/>
  <c r="B1444" i="6"/>
  <c r="F1443" i="6"/>
  <c r="E1443" i="6"/>
  <c r="D1443" i="6"/>
  <c r="C1443" i="6"/>
  <c r="B1443" i="6"/>
  <c r="F1442" i="6"/>
  <c r="E1442" i="6"/>
  <c r="D1442" i="6"/>
  <c r="C1442" i="6"/>
  <c r="B1442" i="6"/>
  <c r="F1441" i="6"/>
  <c r="E1441" i="6"/>
  <c r="D1441" i="6"/>
  <c r="C1441" i="6"/>
  <c r="B1441" i="6"/>
  <c r="F1440" i="6"/>
  <c r="E1440" i="6"/>
  <c r="D1440" i="6"/>
  <c r="C1440" i="6"/>
  <c r="B1440" i="6"/>
  <c r="F1439" i="6"/>
  <c r="E1439" i="6"/>
  <c r="D1439" i="6"/>
  <c r="C1439" i="6"/>
  <c r="B1439" i="6"/>
  <c r="F1438" i="6"/>
  <c r="E1438" i="6"/>
  <c r="D1438" i="6"/>
  <c r="C1438" i="6"/>
  <c r="B1438" i="6"/>
  <c r="F1437" i="6"/>
  <c r="E1437" i="6"/>
  <c r="D1437" i="6"/>
  <c r="C1437" i="6"/>
  <c r="B1437" i="6"/>
  <c r="F1436" i="6"/>
  <c r="E1436" i="6"/>
  <c r="D1436" i="6"/>
  <c r="C1436" i="6"/>
  <c r="B1436" i="6"/>
  <c r="F1435" i="6"/>
  <c r="E1435" i="6"/>
  <c r="D1435" i="6"/>
  <c r="C1435" i="6"/>
  <c r="B1435" i="6"/>
  <c r="F1434" i="6"/>
  <c r="E1434" i="6"/>
  <c r="D1434" i="6"/>
  <c r="C1434" i="6"/>
  <c r="B1434" i="6"/>
  <c r="F1433" i="6"/>
  <c r="E1433" i="6"/>
  <c r="D1433" i="6"/>
  <c r="C1433" i="6"/>
  <c r="B1433" i="6"/>
  <c r="F1432" i="6"/>
  <c r="E1432" i="6"/>
  <c r="D1432" i="6"/>
  <c r="C1432" i="6"/>
  <c r="B1432" i="6"/>
  <c r="F1431" i="6"/>
  <c r="E1431" i="6"/>
  <c r="D1431" i="6"/>
  <c r="C1431" i="6"/>
  <c r="B1431" i="6"/>
  <c r="F1430" i="6"/>
  <c r="E1430" i="6"/>
  <c r="D1430" i="6"/>
  <c r="C1430" i="6"/>
  <c r="B1430" i="6"/>
  <c r="F1429" i="6"/>
  <c r="E1429" i="6"/>
  <c r="D1429" i="6"/>
  <c r="C1429" i="6"/>
  <c r="B1429" i="6"/>
  <c r="F1428" i="6"/>
  <c r="E1428" i="6"/>
  <c r="D1428" i="6"/>
  <c r="C1428" i="6"/>
  <c r="B1428" i="6"/>
  <c r="F1427" i="6"/>
  <c r="E1427" i="6"/>
  <c r="D1427" i="6"/>
  <c r="C1427" i="6"/>
  <c r="B1427" i="6"/>
  <c r="F1426" i="6"/>
  <c r="E1426" i="6"/>
  <c r="D1426" i="6"/>
  <c r="C1426" i="6"/>
  <c r="B1426" i="6"/>
  <c r="F1425" i="6"/>
  <c r="E1425" i="6"/>
  <c r="D1425" i="6"/>
  <c r="C1425" i="6"/>
  <c r="B1425" i="6"/>
  <c r="F1424" i="6"/>
  <c r="E1424" i="6"/>
  <c r="D1424" i="6"/>
  <c r="C1424" i="6"/>
  <c r="B1424" i="6"/>
  <c r="F1423" i="6"/>
  <c r="E1423" i="6"/>
  <c r="D1423" i="6"/>
  <c r="C1423" i="6"/>
  <c r="B1423" i="6"/>
  <c r="F1422" i="6"/>
  <c r="E1422" i="6"/>
  <c r="D1422" i="6"/>
  <c r="C1422" i="6"/>
  <c r="B1422" i="6"/>
  <c r="F1421" i="6"/>
  <c r="E1421" i="6"/>
  <c r="D1421" i="6"/>
  <c r="C1421" i="6"/>
  <c r="B1421" i="6"/>
  <c r="F1420" i="6"/>
  <c r="E1420" i="6"/>
  <c r="D1420" i="6"/>
  <c r="C1420" i="6"/>
  <c r="B1420" i="6"/>
  <c r="F1419" i="6"/>
  <c r="E1419" i="6"/>
  <c r="D1419" i="6"/>
  <c r="C1419" i="6"/>
  <c r="B1419" i="6"/>
  <c r="F1418" i="6"/>
  <c r="E1418" i="6"/>
  <c r="D1418" i="6"/>
  <c r="C1418" i="6"/>
  <c r="B1418" i="6"/>
  <c r="F1417" i="6"/>
  <c r="E1417" i="6"/>
  <c r="D1417" i="6"/>
  <c r="C1417" i="6"/>
  <c r="B1417" i="6"/>
  <c r="F1416" i="6"/>
  <c r="E1416" i="6"/>
  <c r="D1416" i="6"/>
  <c r="C1416" i="6"/>
  <c r="B1416" i="6"/>
  <c r="F1415" i="6"/>
  <c r="E1415" i="6"/>
  <c r="D1415" i="6"/>
  <c r="C1415" i="6"/>
  <c r="B1415" i="6"/>
  <c r="F1414" i="6"/>
  <c r="E1414" i="6"/>
  <c r="D1414" i="6"/>
  <c r="C1414" i="6"/>
  <c r="B1414" i="6"/>
  <c r="F1413" i="6"/>
  <c r="E1413" i="6"/>
  <c r="D1413" i="6"/>
  <c r="C1413" i="6"/>
  <c r="B1413" i="6"/>
  <c r="F1412" i="6"/>
  <c r="E1412" i="6"/>
  <c r="D1412" i="6"/>
  <c r="C1412" i="6"/>
  <c r="B1412" i="6"/>
  <c r="F1411" i="6"/>
  <c r="E1411" i="6"/>
  <c r="D1411" i="6"/>
  <c r="C1411" i="6"/>
  <c r="B1411" i="6"/>
  <c r="F1410" i="6"/>
  <c r="E1410" i="6"/>
  <c r="D1410" i="6"/>
  <c r="C1410" i="6"/>
  <c r="B1410" i="6"/>
  <c r="F1409" i="6"/>
  <c r="E1409" i="6"/>
  <c r="D1409" i="6"/>
  <c r="C1409" i="6"/>
  <c r="B1409" i="6"/>
  <c r="F1408" i="6"/>
  <c r="E1408" i="6"/>
  <c r="D1408" i="6"/>
  <c r="C1408" i="6"/>
  <c r="B1408" i="6"/>
  <c r="F1407" i="6"/>
  <c r="E1407" i="6"/>
  <c r="D1407" i="6"/>
  <c r="C1407" i="6"/>
  <c r="B1407" i="6"/>
  <c r="F1406" i="6"/>
  <c r="E1406" i="6"/>
  <c r="D1406" i="6"/>
  <c r="C1406" i="6"/>
  <c r="B1406" i="6"/>
  <c r="F1405" i="6"/>
  <c r="E1405" i="6"/>
  <c r="D1405" i="6"/>
  <c r="C1405" i="6"/>
  <c r="B1405" i="6"/>
  <c r="F1404" i="6"/>
  <c r="E1404" i="6"/>
  <c r="D1404" i="6"/>
  <c r="C1404" i="6"/>
  <c r="B1404" i="6"/>
  <c r="F1403" i="6"/>
  <c r="E1403" i="6"/>
  <c r="D1403" i="6"/>
  <c r="C1403" i="6"/>
  <c r="B1403" i="6"/>
  <c r="F1402" i="6"/>
  <c r="E1402" i="6"/>
  <c r="D1402" i="6"/>
  <c r="C1402" i="6"/>
  <c r="B1402" i="6"/>
  <c r="F1401" i="6"/>
  <c r="E1401" i="6"/>
  <c r="D1401" i="6"/>
  <c r="C1401" i="6"/>
  <c r="B1401" i="6"/>
  <c r="F1400" i="6"/>
  <c r="E1400" i="6"/>
  <c r="D1400" i="6"/>
  <c r="C1400" i="6"/>
  <c r="B1400" i="6"/>
  <c r="F1399" i="6"/>
  <c r="E1399" i="6"/>
  <c r="D1399" i="6"/>
  <c r="C1399" i="6"/>
  <c r="B1399" i="6"/>
  <c r="F1398" i="6"/>
  <c r="E1398" i="6"/>
  <c r="D1398" i="6"/>
  <c r="C1398" i="6"/>
  <c r="B1398" i="6"/>
  <c r="F1397" i="6"/>
  <c r="E1397" i="6"/>
  <c r="D1397" i="6"/>
  <c r="C1397" i="6"/>
  <c r="B1397" i="6"/>
  <c r="F1396" i="6"/>
  <c r="E1396" i="6"/>
  <c r="D1396" i="6"/>
  <c r="C1396" i="6"/>
  <c r="B1396" i="6"/>
  <c r="F1395" i="6"/>
  <c r="E1395" i="6"/>
  <c r="D1395" i="6"/>
  <c r="C1395" i="6"/>
  <c r="B1395" i="6"/>
  <c r="F1394" i="6"/>
  <c r="E1394" i="6"/>
  <c r="D1394" i="6"/>
  <c r="C1394" i="6"/>
  <c r="B1394" i="6"/>
  <c r="F1393" i="6"/>
  <c r="E1393" i="6"/>
  <c r="D1393" i="6"/>
  <c r="C1393" i="6"/>
  <c r="B1393" i="6"/>
  <c r="F1392" i="6"/>
  <c r="E1392" i="6"/>
  <c r="D1392" i="6"/>
  <c r="C1392" i="6"/>
  <c r="B1392" i="6"/>
  <c r="F1391" i="6"/>
  <c r="E1391" i="6"/>
  <c r="D1391" i="6"/>
  <c r="C1391" i="6"/>
  <c r="B1391" i="6"/>
  <c r="F1390" i="6"/>
  <c r="E1390" i="6"/>
  <c r="D1390" i="6"/>
  <c r="C1390" i="6"/>
  <c r="B1390" i="6"/>
  <c r="F1389" i="6"/>
  <c r="E1389" i="6"/>
  <c r="D1389" i="6"/>
  <c r="C1389" i="6"/>
  <c r="B1389" i="6"/>
  <c r="F1388" i="6"/>
  <c r="E1388" i="6"/>
  <c r="D1388" i="6"/>
  <c r="C1388" i="6"/>
  <c r="B1388" i="6"/>
  <c r="F1387" i="6"/>
  <c r="E1387" i="6"/>
  <c r="D1387" i="6"/>
  <c r="C1387" i="6"/>
  <c r="B1387" i="6"/>
  <c r="F1386" i="6"/>
  <c r="E1386" i="6"/>
  <c r="D1386" i="6"/>
  <c r="C1386" i="6"/>
  <c r="B1386" i="6"/>
  <c r="F1385" i="6"/>
  <c r="E1385" i="6"/>
  <c r="D1385" i="6"/>
  <c r="C1385" i="6"/>
  <c r="B1385" i="6"/>
  <c r="F1384" i="6"/>
  <c r="E1384" i="6"/>
  <c r="D1384" i="6"/>
  <c r="C1384" i="6"/>
  <c r="B1384" i="6"/>
  <c r="F1383" i="6"/>
  <c r="E1383" i="6"/>
  <c r="D1383" i="6"/>
  <c r="C1383" i="6"/>
  <c r="B1383" i="6"/>
  <c r="F1382" i="6"/>
  <c r="E1382" i="6"/>
  <c r="D1382" i="6"/>
  <c r="C1382" i="6"/>
  <c r="B1382" i="6"/>
  <c r="F1381" i="6"/>
  <c r="E1381" i="6"/>
  <c r="D1381" i="6"/>
  <c r="C1381" i="6"/>
  <c r="B1381" i="6"/>
  <c r="F1380" i="6"/>
  <c r="E1380" i="6"/>
  <c r="D1380" i="6"/>
  <c r="C1380" i="6"/>
  <c r="B1380" i="6"/>
  <c r="F1379" i="6"/>
  <c r="E1379" i="6"/>
  <c r="D1379" i="6"/>
  <c r="C1379" i="6"/>
  <c r="B1379" i="6"/>
  <c r="F1378" i="6"/>
  <c r="E1378" i="6"/>
  <c r="D1378" i="6"/>
  <c r="C1378" i="6"/>
  <c r="B1378" i="6"/>
  <c r="F1377" i="6"/>
  <c r="E1377" i="6"/>
  <c r="D1377" i="6"/>
  <c r="C1377" i="6"/>
  <c r="B1377" i="6"/>
  <c r="F1376" i="6"/>
  <c r="E1376" i="6"/>
  <c r="D1376" i="6"/>
  <c r="C1376" i="6"/>
  <c r="B1376" i="6"/>
  <c r="F1375" i="6"/>
  <c r="E1375" i="6"/>
  <c r="D1375" i="6"/>
  <c r="C1375" i="6"/>
  <c r="B1375" i="6"/>
  <c r="F1374" i="6"/>
  <c r="E1374" i="6"/>
  <c r="D1374" i="6"/>
  <c r="C1374" i="6"/>
  <c r="B1374" i="6"/>
  <c r="F1373" i="6"/>
  <c r="E1373" i="6"/>
  <c r="D1373" i="6"/>
  <c r="C1373" i="6"/>
  <c r="B1373" i="6"/>
  <c r="F1372" i="6"/>
  <c r="E1372" i="6"/>
  <c r="D1372" i="6"/>
  <c r="C1372" i="6"/>
  <c r="B1372" i="6"/>
  <c r="F1371" i="6"/>
  <c r="E1371" i="6"/>
  <c r="D1371" i="6"/>
  <c r="C1371" i="6"/>
  <c r="B1371" i="6"/>
  <c r="F1370" i="6"/>
  <c r="E1370" i="6"/>
  <c r="D1370" i="6"/>
  <c r="C1370" i="6"/>
  <c r="B1370" i="6"/>
  <c r="F1369" i="6"/>
  <c r="E1369" i="6"/>
  <c r="D1369" i="6"/>
  <c r="C1369" i="6"/>
  <c r="B1369" i="6"/>
  <c r="F1368" i="6"/>
  <c r="E1368" i="6"/>
  <c r="D1368" i="6"/>
  <c r="C1368" i="6"/>
  <c r="B1368" i="6"/>
  <c r="F1367" i="6"/>
  <c r="E1367" i="6"/>
  <c r="D1367" i="6"/>
  <c r="C1367" i="6"/>
  <c r="B1367" i="6"/>
  <c r="F1366" i="6"/>
  <c r="E1366" i="6"/>
  <c r="D1366" i="6"/>
  <c r="C1366" i="6"/>
  <c r="B1366" i="6"/>
  <c r="F1365" i="6"/>
  <c r="E1365" i="6"/>
  <c r="D1365" i="6"/>
  <c r="C1365" i="6"/>
  <c r="B1365" i="6"/>
  <c r="F1364" i="6"/>
  <c r="E1364" i="6"/>
  <c r="D1364" i="6"/>
  <c r="C1364" i="6"/>
  <c r="B1364" i="6"/>
  <c r="F1363" i="6"/>
  <c r="E1363" i="6"/>
  <c r="D1363" i="6"/>
  <c r="C1363" i="6"/>
  <c r="B1363" i="6"/>
  <c r="F1362" i="6"/>
  <c r="E1362" i="6"/>
  <c r="D1362" i="6"/>
  <c r="C1362" i="6"/>
  <c r="B1362" i="6"/>
  <c r="F1361" i="6"/>
  <c r="E1361" i="6"/>
  <c r="D1361" i="6"/>
  <c r="C1361" i="6"/>
  <c r="B1361" i="6"/>
  <c r="F1360" i="6"/>
  <c r="E1360" i="6"/>
  <c r="D1360" i="6"/>
  <c r="C1360" i="6"/>
  <c r="B1360" i="6"/>
  <c r="F1359" i="6"/>
  <c r="E1359" i="6"/>
  <c r="D1359" i="6"/>
  <c r="C1359" i="6"/>
  <c r="B1359" i="6"/>
  <c r="F1358" i="6"/>
  <c r="E1358" i="6"/>
  <c r="D1358" i="6"/>
  <c r="C1358" i="6"/>
  <c r="B1358" i="6"/>
  <c r="F1357" i="6"/>
  <c r="E1357" i="6"/>
  <c r="D1357" i="6"/>
  <c r="C1357" i="6"/>
  <c r="B1357" i="6"/>
  <c r="F1356" i="6"/>
  <c r="E1356" i="6"/>
  <c r="D1356" i="6"/>
  <c r="C1356" i="6"/>
  <c r="B1356" i="6"/>
  <c r="F1355" i="6"/>
  <c r="E1355" i="6"/>
  <c r="D1355" i="6"/>
  <c r="C1355" i="6"/>
  <c r="B1355" i="6"/>
  <c r="F1354" i="6"/>
  <c r="E1354" i="6"/>
  <c r="D1354" i="6"/>
  <c r="C1354" i="6"/>
  <c r="B1354" i="6"/>
  <c r="F1353" i="6"/>
  <c r="E1353" i="6"/>
  <c r="D1353" i="6"/>
  <c r="C1353" i="6"/>
  <c r="B1353" i="6"/>
  <c r="F1352" i="6"/>
  <c r="E1352" i="6"/>
  <c r="D1352" i="6"/>
  <c r="C1352" i="6"/>
  <c r="B1352" i="6"/>
  <c r="F1351" i="6"/>
  <c r="E1351" i="6"/>
  <c r="D1351" i="6"/>
  <c r="C1351" i="6"/>
  <c r="B1351" i="6"/>
  <c r="F1350" i="6"/>
  <c r="E1350" i="6"/>
  <c r="D1350" i="6"/>
  <c r="C1350" i="6"/>
  <c r="B1350" i="6"/>
  <c r="F1349" i="6"/>
  <c r="E1349" i="6"/>
  <c r="D1349" i="6"/>
  <c r="C1349" i="6"/>
  <c r="B1349" i="6"/>
  <c r="F1348" i="6"/>
  <c r="E1348" i="6"/>
  <c r="D1348" i="6"/>
  <c r="C1348" i="6"/>
  <c r="B1348" i="6"/>
  <c r="F1347" i="6"/>
  <c r="E1347" i="6"/>
  <c r="D1347" i="6"/>
  <c r="C1347" i="6"/>
  <c r="B1347" i="6"/>
  <c r="F1346" i="6"/>
  <c r="E1346" i="6"/>
  <c r="D1346" i="6"/>
  <c r="C1346" i="6"/>
  <c r="B1346" i="6"/>
  <c r="F1345" i="6"/>
  <c r="E1345" i="6"/>
  <c r="D1345" i="6"/>
  <c r="C1345" i="6"/>
  <c r="B1345" i="6"/>
  <c r="F1344" i="6"/>
  <c r="E1344" i="6"/>
  <c r="D1344" i="6"/>
  <c r="C1344" i="6"/>
  <c r="B1344" i="6"/>
  <c r="F1343" i="6"/>
  <c r="E1343" i="6"/>
  <c r="D1343" i="6"/>
  <c r="C1343" i="6"/>
  <c r="B1343" i="6"/>
  <c r="F1342" i="6"/>
  <c r="E1342" i="6"/>
  <c r="D1342" i="6"/>
  <c r="C1342" i="6"/>
  <c r="B1342" i="6"/>
  <c r="F1341" i="6"/>
  <c r="E1341" i="6"/>
  <c r="D1341" i="6"/>
  <c r="C1341" i="6"/>
  <c r="B1341" i="6"/>
  <c r="F1340" i="6"/>
  <c r="E1340" i="6"/>
  <c r="D1340" i="6"/>
  <c r="C1340" i="6"/>
  <c r="B1340" i="6"/>
  <c r="F1339" i="6"/>
  <c r="E1339" i="6"/>
  <c r="D1339" i="6"/>
  <c r="C1339" i="6"/>
  <c r="B1339" i="6"/>
  <c r="F1338" i="6"/>
  <c r="E1338" i="6"/>
  <c r="D1338" i="6"/>
  <c r="C1338" i="6"/>
  <c r="B1338" i="6"/>
  <c r="F1337" i="6"/>
  <c r="E1337" i="6"/>
  <c r="D1337" i="6"/>
  <c r="C1337" i="6"/>
  <c r="B1337" i="6"/>
  <c r="F1336" i="6"/>
  <c r="E1336" i="6"/>
  <c r="D1336" i="6"/>
  <c r="C1336" i="6"/>
  <c r="B1336" i="6"/>
  <c r="F1335" i="6"/>
  <c r="E1335" i="6"/>
  <c r="D1335" i="6"/>
  <c r="C1335" i="6"/>
  <c r="B1335" i="6"/>
  <c r="F1334" i="6"/>
  <c r="E1334" i="6"/>
  <c r="D1334" i="6"/>
  <c r="C1334" i="6"/>
  <c r="B1334" i="6"/>
  <c r="F1333" i="6"/>
  <c r="E1333" i="6"/>
  <c r="D1333" i="6"/>
  <c r="C1333" i="6"/>
  <c r="B1333" i="6"/>
  <c r="F1332" i="6"/>
  <c r="E1332" i="6"/>
  <c r="D1332" i="6"/>
  <c r="C1332" i="6"/>
  <c r="B1332" i="6"/>
  <c r="F1331" i="6"/>
  <c r="E1331" i="6"/>
  <c r="D1331" i="6"/>
  <c r="C1331" i="6"/>
  <c r="B1331" i="6"/>
  <c r="F1330" i="6"/>
  <c r="E1330" i="6"/>
  <c r="D1330" i="6"/>
  <c r="C1330" i="6"/>
  <c r="B1330" i="6"/>
  <c r="F1329" i="6"/>
  <c r="E1329" i="6"/>
  <c r="D1329" i="6"/>
  <c r="C1329" i="6"/>
  <c r="B1329" i="6"/>
  <c r="F1328" i="6"/>
  <c r="E1328" i="6"/>
  <c r="D1328" i="6"/>
  <c r="C1328" i="6"/>
  <c r="B1328" i="6"/>
  <c r="F1327" i="6"/>
  <c r="E1327" i="6"/>
  <c r="D1327" i="6"/>
  <c r="C1327" i="6"/>
  <c r="B1327" i="6"/>
  <c r="F1326" i="6"/>
  <c r="E1326" i="6"/>
  <c r="D1326" i="6"/>
  <c r="C1326" i="6"/>
  <c r="B1326" i="6"/>
  <c r="F1325" i="6"/>
  <c r="E1325" i="6"/>
  <c r="D1325" i="6"/>
  <c r="C1325" i="6"/>
  <c r="B1325" i="6"/>
  <c r="F1324" i="6"/>
  <c r="E1324" i="6"/>
  <c r="D1324" i="6"/>
  <c r="C1324" i="6"/>
  <c r="B1324" i="6"/>
  <c r="F1323" i="6"/>
  <c r="E1323" i="6"/>
  <c r="D1323" i="6"/>
  <c r="C1323" i="6"/>
  <c r="B1323" i="6"/>
  <c r="F1322" i="6"/>
  <c r="E1322" i="6"/>
  <c r="D1322" i="6"/>
  <c r="C1322" i="6"/>
  <c r="B1322" i="6"/>
  <c r="F1321" i="6"/>
  <c r="E1321" i="6"/>
  <c r="D1321" i="6"/>
  <c r="C1321" i="6"/>
  <c r="B1321" i="6"/>
  <c r="F1320" i="6"/>
  <c r="E1320" i="6"/>
  <c r="D1320" i="6"/>
  <c r="C1320" i="6"/>
  <c r="B1320" i="6"/>
  <c r="F1319" i="6"/>
  <c r="E1319" i="6"/>
  <c r="D1319" i="6"/>
  <c r="C1319" i="6"/>
  <c r="B1319" i="6"/>
  <c r="F1318" i="6"/>
  <c r="E1318" i="6"/>
  <c r="D1318" i="6"/>
  <c r="C1318" i="6"/>
  <c r="B1318" i="6"/>
  <c r="F1317" i="6"/>
  <c r="E1317" i="6"/>
  <c r="D1317" i="6"/>
  <c r="C1317" i="6"/>
  <c r="B1317" i="6"/>
  <c r="F1316" i="6"/>
  <c r="E1316" i="6"/>
  <c r="D1316" i="6"/>
  <c r="C1316" i="6"/>
  <c r="B1316" i="6"/>
  <c r="F1315" i="6"/>
  <c r="E1315" i="6"/>
  <c r="D1315" i="6"/>
  <c r="C1315" i="6"/>
  <c r="B1315" i="6"/>
  <c r="F1314" i="6"/>
  <c r="E1314" i="6"/>
  <c r="D1314" i="6"/>
  <c r="C1314" i="6"/>
  <c r="B1314" i="6"/>
  <c r="F1313" i="6"/>
  <c r="E1313" i="6"/>
  <c r="D1313" i="6"/>
  <c r="C1313" i="6"/>
  <c r="B1313" i="6"/>
  <c r="F1312" i="6"/>
  <c r="E1312" i="6"/>
  <c r="D1312" i="6"/>
  <c r="C1312" i="6"/>
  <c r="B1312" i="6"/>
  <c r="F1311" i="6"/>
  <c r="E1311" i="6"/>
  <c r="D1311" i="6"/>
  <c r="C1311" i="6"/>
  <c r="B1311" i="6"/>
  <c r="F1310" i="6"/>
  <c r="E1310" i="6"/>
  <c r="D1310" i="6"/>
  <c r="C1310" i="6"/>
  <c r="B1310" i="6"/>
  <c r="F1309" i="6"/>
  <c r="E1309" i="6"/>
  <c r="D1309" i="6"/>
  <c r="C1309" i="6"/>
  <c r="B1309" i="6"/>
  <c r="F1308" i="6"/>
  <c r="E1308" i="6"/>
  <c r="D1308" i="6"/>
  <c r="C1308" i="6"/>
  <c r="B1308" i="6"/>
  <c r="F1307" i="6"/>
  <c r="E1307" i="6"/>
  <c r="D1307" i="6"/>
  <c r="C1307" i="6"/>
  <c r="B1307" i="6"/>
  <c r="F1306" i="6"/>
  <c r="E1306" i="6"/>
  <c r="D1306" i="6"/>
  <c r="C1306" i="6"/>
  <c r="B1306" i="6"/>
  <c r="F1305" i="6"/>
  <c r="E1305" i="6"/>
  <c r="D1305" i="6"/>
  <c r="C1305" i="6"/>
  <c r="B1305" i="6"/>
  <c r="F1304" i="6"/>
  <c r="E1304" i="6"/>
  <c r="D1304" i="6"/>
  <c r="C1304" i="6"/>
  <c r="B1304" i="6"/>
  <c r="F1303" i="6"/>
  <c r="E1303" i="6"/>
  <c r="D1303" i="6"/>
  <c r="C1303" i="6"/>
  <c r="B1303" i="6"/>
  <c r="F1302" i="6"/>
  <c r="E1302" i="6"/>
  <c r="D1302" i="6"/>
  <c r="C1302" i="6"/>
  <c r="B1302" i="6"/>
  <c r="F1301" i="6"/>
  <c r="E1301" i="6"/>
  <c r="D1301" i="6"/>
  <c r="C1301" i="6"/>
  <c r="B1301" i="6"/>
  <c r="F1300" i="6"/>
  <c r="E1300" i="6"/>
  <c r="D1300" i="6"/>
  <c r="C1300" i="6"/>
  <c r="B1300" i="6"/>
  <c r="F1299" i="6"/>
  <c r="E1299" i="6"/>
  <c r="D1299" i="6"/>
  <c r="C1299" i="6"/>
  <c r="B1299" i="6"/>
  <c r="F1298" i="6"/>
  <c r="E1298" i="6"/>
  <c r="D1298" i="6"/>
  <c r="C1298" i="6"/>
  <c r="B1298" i="6"/>
  <c r="F1297" i="6"/>
  <c r="E1297" i="6"/>
  <c r="D1297" i="6"/>
  <c r="C1297" i="6"/>
  <c r="B1297" i="6"/>
  <c r="F1296" i="6"/>
  <c r="E1296" i="6"/>
  <c r="D1296" i="6"/>
  <c r="C1296" i="6"/>
  <c r="B1296" i="6"/>
  <c r="F1295" i="6"/>
  <c r="E1295" i="6"/>
  <c r="D1295" i="6"/>
  <c r="C1295" i="6"/>
  <c r="B1295" i="6"/>
  <c r="F1294" i="6"/>
  <c r="E1294" i="6"/>
  <c r="D1294" i="6"/>
  <c r="C1294" i="6"/>
  <c r="B1294" i="6"/>
  <c r="F1293" i="6"/>
  <c r="E1293" i="6"/>
  <c r="D1293" i="6"/>
  <c r="C1293" i="6"/>
  <c r="B1293" i="6"/>
  <c r="F1292" i="6"/>
  <c r="E1292" i="6"/>
  <c r="D1292" i="6"/>
  <c r="C1292" i="6"/>
  <c r="B1292" i="6"/>
  <c r="F1291" i="6"/>
  <c r="E1291" i="6"/>
  <c r="D1291" i="6"/>
  <c r="C1291" i="6"/>
  <c r="B1291" i="6"/>
  <c r="F1290" i="6"/>
  <c r="E1290" i="6"/>
  <c r="D1290" i="6"/>
  <c r="C1290" i="6"/>
  <c r="B1290" i="6"/>
  <c r="F1289" i="6"/>
  <c r="E1289" i="6"/>
  <c r="D1289" i="6"/>
  <c r="C1289" i="6"/>
  <c r="B1289" i="6"/>
  <c r="F1288" i="6"/>
  <c r="E1288" i="6"/>
  <c r="D1288" i="6"/>
  <c r="C1288" i="6"/>
  <c r="B1288" i="6"/>
  <c r="F1287" i="6"/>
  <c r="E1287" i="6"/>
  <c r="D1287" i="6"/>
  <c r="C1287" i="6"/>
  <c r="B1287" i="6"/>
  <c r="F1286" i="6"/>
  <c r="E1286" i="6"/>
  <c r="D1286" i="6"/>
  <c r="C1286" i="6"/>
  <c r="B1286" i="6"/>
  <c r="F1285" i="6"/>
  <c r="E1285" i="6"/>
  <c r="D1285" i="6"/>
  <c r="C1285" i="6"/>
  <c r="B1285" i="6"/>
  <c r="F1284" i="6"/>
  <c r="E1284" i="6"/>
  <c r="D1284" i="6"/>
  <c r="C1284" i="6"/>
  <c r="B1284" i="6"/>
  <c r="F1283" i="6"/>
  <c r="E1283" i="6"/>
  <c r="D1283" i="6"/>
  <c r="C1283" i="6"/>
  <c r="B1283" i="6"/>
  <c r="F1282" i="6"/>
  <c r="E1282" i="6"/>
  <c r="D1282" i="6"/>
  <c r="C1282" i="6"/>
  <c r="B1282" i="6"/>
  <c r="F1281" i="6"/>
  <c r="E1281" i="6"/>
  <c r="D1281" i="6"/>
  <c r="C1281" i="6"/>
  <c r="B1281" i="6"/>
  <c r="F1280" i="6"/>
  <c r="E1280" i="6"/>
  <c r="D1280" i="6"/>
  <c r="C1280" i="6"/>
  <c r="B1280" i="6"/>
  <c r="F1279" i="6"/>
  <c r="E1279" i="6"/>
  <c r="D1279" i="6"/>
  <c r="C1279" i="6"/>
  <c r="B1279" i="6"/>
  <c r="F1278" i="6"/>
  <c r="E1278" i="6"/>
  <c r="D1278" i="6"/>
  <c r="C1278" i="6"/>
  <c r="B1278" i="6"/>
  <c r="F1277" i="6"/>
  <c r="E1277" i="6"/>
  <c r="D1277" i="6"/>
  <c r="C1277" i="6"/>
  <c r="B1277" i="6"/>
  <c r="F1276" i="6"/>
  <c r="E1276" i="6"/>
  <c r="D1276" i="6"/>
  <c r="C1276" i="6"/>
  <c r="B1276" i="6"/>
  <c r="F1275" i="6"/>
  <c r="E1275" i="6"/>
  <c r="D1275" i="6"/>
  <c r="C1275" i="6"/>
  <c r="B1275" i="6"/>
  <c r="F1274" i="6"/>
  <c r="E1274" i="6"/>
  <c r="D1274" i="6"/>
  <c r="C1274" i="6"/>
  <c r="B1274" i="6"/>
  <c r="F1273" i="6"/>
  <c r="E1273" i="6"/>
  <c r="D1273" i="6"/>
  <c r="C1273" i="6"/>
  <c r="B1273" i="6"/>
  <c r="F1272" i="6"/>
  <c r="E1272" i="6"/>
  <c r="D1272" i="6"/>
  <c r="C1272" i="6"/>
  <c r="B1272" i="6"/>
  <c r="F1271" i="6"/>
  <c r="E1271" i="6"/>
  <c r="D1271" i="6"/>
  <c r="C1271" i="6"/>
  <c r="B1271" i="6"/>
  <c r="F1270" i="6"/>
  <c r="E1270" i="6"/>
  <c r="D1270" i="6"/>
  <c r="C1270" i="6"/>
  <c r="B1270" i="6"/>
  <c r="F1269" i="6"/>
  <c r="E1269" i="6"/>
  <c r="D1269" i="6"/>
  <c r="C1269" i="6"/>
  <c r="B1269" i="6"/>
  <c r="F1268" i="6"/>
  <c r="E1268" i="6"/>
  <c r="D1268" i="6"/>
  <c r="C1268" i="6"/>
  <c r="B1268" i="6"/>
  <c r="F1267" i="6"/>
  <c r="E1267" i="6"/>
  <c r="D1267" i="6"/>
  <c r="C1267" i="6"/>
  <c r="B1267" i="6"/>
  <c r="F1266" i="6"/>
  <c r="E1266" i="6"/>
  <c r="D1266" i="6"/>
  <c r="C1266" i="6"/>
  <c r="B1266" i="6"/>
  <c r="F1265" i="6"/>
  <c r="E1265" i="6"/>
  <c r="D1265" i="6"/>
  <c r="C1265" i="6"/>
  <c r="B1265" i="6"/>
  <c r="F1264" i="6"/>
  <c r="E1264" i="6"/>
  <c r="D1264" i="6"/>
  <c r="C1264" i="6"/>
  <c r="B1264" i="6"/>
  <c r="F1263" i="6"/>
  <c r="E1263" i="6"/>
  <c r="D1263" i="6"/>
  <c r="C1263" i="6"/>
  <c r="B1263" i="6"/>
  <c r="F1262" i="6"/>
  <c r="E1262" i="6"/>
  <c r="D1262" i="6"/>
  <c r="C1262" i="6"/>
  <c r="B1262" i="6"/>
  <c r="F1261" i="6"/>
  <c r="E1261" i="6"/>
  <c r="D1261" i="6"/>
  <c r="C1261" i="6"/>
  <c r="B1261" i="6"/>
  <c r="F1260" i="6"/>
  <c r="E1260" i="6"/>
  <c r="D1260" i="6"/>
  <c r="C1260" i="6"/>
  <c r="B1260" i="6"/>
  <c r="F1259" i="6"/>
  <c r="E1259" i="6"/>
  <c r="D1259" i="6"/>
  <c r="C1259" i="6"/>
  <c r="B1259" i="6"/>
  <c r="F1258" i="6"/>
  <c r="E1258" i="6"/>
  <c r="D1258" i="6"/>
  <c r="C1258" i="6"/>
  <c r="B1258" i="6"/>
  <c r="F1257" i="6"/>
  <c r="E1257" i="6"/>
  <c r="D1257" i="6"/>
  <c r="C1257" i="6"/>
  <c r="B1257" i="6"/>
  <c r="F1256" i="6"/>
  <c r="E1256" i="6"/>
  <c r="D1256" i="6"/>
  <c r="C1256" i="6"/>
  <c r="B1256" i="6"/>
  <c r="F1255" i="6"/>
  <c r="E1255" i="6"/>
  <c r="D1255" i="6"/>
  <c r="C1255" i="6"/>
  <c r="B1255" i="6"/>
  <c r="F1254" i="6"/>
  <c r="E1254" i="6"/>
  <c r="D1254" i="6"/>
  <c r="C1254" i="6"/>
  <c r="B1254" i="6"/>
  <c r="F1253" i="6"/>
  <c r="E1253" i="6"/>
  <c r="D1253" i="6"/>
  <c r="C1253" i="6"/>
  <c r="B1253" i="6"/>
  <c r="F1252" i="6"/>
  <c r="E1252" i="6"/>
  <c r="D1252" i="6"/>
  <c r="C1252" i="6"/>
  <c r="B1252" i="6"/>
  <c r="F1251" i="6"/>
  <c r="E1251" i="6"/>
  <c r="C1251" i="6"/>
  <c r="B1251" i="6"/>
  <c r="F1250" i="6"/>
  <c r="E1250" i="6"/>
  <c r="D1250" i="6"/>
  <c r="C1250" i="6"/>
  <c r="B1250" i="6"/>
  <c r="F1249" i="6"/>
  <c r="E1249" i="6"/>
  <c r="D1249" i="6"/>
  <c r="C1249" i="6"/>
  <c r="B1249" i="6"/>
  <c r="F1248" i="6"/>
  <c r="E1248" i="6"/>
  <c r="D1248" i="6"/>
  <c r="C1248" i="6"/>
  <c r="B1248" i="6"/>
  <c r="F1247" i="6"/>
  <c r="C1247" i="6"/>
  <c r="D1247" i="6"/>
  <c r="E1247" i="6"/>
  <c r="B1247" i="6"/>
  <c r="B2491" i="6" s="1"/>
  <c r="B2492" i="6" s="1"/>
  <c r="C2518" i="6" s="1"/>
  <c r="C20" i="9" s="1"/>
  <c r="E27" i="9"/>
  <c r="D27" i="9"/>
  <c r="C27" i="9"/>
  <c r="B27" i="9"/>
  <c r="I15" i="9"/>
  <c r="I14" i="9"/>
  <c r="I13" i="9"/>
  <c r="I12" i="9"/>
  <c r="C8" i="9"/>
  <c r="C7" i="9"/>
  <c r="C6" i="9"/>
  <c r="C5" i="9"/>
  <c r="B2531" i="6"/>
  <c r="B32" i="9" s="1"/>
  <c r="B2526" i="6"/>
  <c r="B28" i="9" s="1"/>
  <c r="A2485" i="6"/>
  <c r="A2484" i="6"/>
  <c r="A2483" i="6"/>
  <c r="A2482" i="6"/>
  <c r="A2481" i="6"/>
  <c r="A2480" i="6"/>
  <c r="A2479" i="6"/>
  <c r="A2478" i="6"/>
  <c r="A2477" i="6"/>
  <c r="A2476" i="6"/>
  <c r="A2475" i="6"/>
  <c r="A2474" i="6"/>
  <c r="A2473" i="6"/>
  <c r="A2472" i="6"/>
  <c r="A2471" i="6"/>
  <c r="A2470" i="6"/>
  <c r="A2469" i="6"/>
  <c r="A2468" i="6"/>
  <c r="A2467" i="6"/>
  <c r="A2466" i="6"/>
  <c r="A2465" i="6"/>
  <c r="A2464" i="6"/>
  <c r="A2463" i="6"/>
  <c r="A2462" i="6"/>
  <c r="A2461" i="6"/>
  <c r="A2460" i="6"/>
  <c r="A2459" i="6"/>
  <c r="A2458" i="6"/>
  <c r="A2457" i="6"/>
  <c r="A2456" i="6"/>
  <c r="A2455" i="6"/>
  <c r="A2454" i="6"/>
  <c r="A2453" i="6"/>
  <c r="A2452" i="6"/>
  <c r="A2451" i="6"/>
  <c r="A2450" i="6"/>
  <c r="A2449" i="6"/>
  <c r="A2448" i="6"/>
  <c r="A2447" i="6"/>
  <c r="A2446" i="6"/>
  <c r="A2445" i="6"/>
  <c r="A2444" i="6"/>
  <c r="A2443" i="6"/>
  <c r="A2442" i="6"/>
  <c r="A2441" i="6"/>
  <c r="A2440" i="6"/>
  <c r="A2439" i="6"/>
  <c r="A2438" i="6"/>
  <c r="A2437" i="6"/>
  <c r="A2436" i="6"/>
  <c r="A2435" i="6"/>
  <c r="A2434" i="6"/>
  <c r="A2433" i="6"/>
  <c r="A2432" i="6"/>
  <c r="A2431" i="6"/>
  <c r="A2430" i="6"/>
  <c r="A2429" i="6"/>
  <c r="A2428" i="6"/>
  <c r="A2427" i="6"/>
  <c r="A2426" i="6"/>
  <c r="A2425" i="6"/>
  <c r="A2424" i="6"/>
  <c r="A2423" i="6"/>
  <c r="A2422" i="6"/>
  <c r="A2421" i="6"/>
  <c r="A2420" i="6"/>
  <c r="A2419" i="6"/>
  <c r="A2418" i="6"/>
  <c r="A2417" i="6"/>
  <c r="A2416" i="6"/>
  <c r="A2415" i="6"/>
  <c r="A2414" i="6"/>
  <c r="A2413" i="6"/>
  <c r="A2412" i="6"/>
  <c r="A2411" i="6"/>
  <c r="A2410" i="6"/>
  <c r="A2409" i="6"/>
  <c r="A2408" i="6"/>
  <c r="A2407" i="6"/>
  <c r="A2406" i="6"/>
  <c r="A2405" i="6"/>
  <c r="A2404" i="6"/>
  <c r="A2403" i="6"/>
  <c r="A2402" i="6"/>
  <c r="A2401" i="6"/>
  <c r="A2400" i="6"/>
  <c r="A2399" i="6"/>
  <c r="A2398" i="6"/>
  <c r="A2397" i="6"/>
  <c r="A2396" i="6"/>
  <c r="A2395" i="6"/>
  <c r="A2394" i="6"/>
  <c r="A2393" i="6"/>
  <c r="A2392" i="6"/>
  <c r="A2391" i="6"/>
  <c r="A2390" i="6"/>
  <c r="A2389" i="6"/>
  <c r="A2388" i="6"/>
  <c r="A2387" i="6"/>
  <c r="A2386" i="6"/>
  <c r="A2385" i="6"/>
  <c r="A2384" i="6"/>
  <c r="A2383" i="6"/>
  <c r="A2382" i="6"/>
  <c r="A2381" i="6"/>
  <c r="A2380" i="6"/>
  <c r="A2379" i="6"/>
  <c r="A2378" i="6"/>
  <c r="A2377" i="6"/>
  <c r="A2376" i="6"/>
  <c r="A2375" i="6"/>
  <c r="A2374" i="6"/>
  <c r="A2373" i="6"/>
  <c r="A2372" i="6"/>
  <c r="A2371" i="6"/>
  <c r="A2370" i="6"/>
  <c r="A2369" i="6"/>
  <c r="A2368" i="6"/>
  <c r="A2367" i="6"/>
  <c r="A2366" i="6"/>
  <c r="A2365" i="6"/>
  <c r="A2364" i="6"/>
  <c r="A2363" i="6"/>
  <c r="A2362" i="6"/>
  <c r="A2361" i="6"/>
  <c r="A2360" i="6"/>
  <c r="A2359" i="6"/>
  <c r="A2358" i="6"/>
  <c r="A2357" i="6"/>
  <c r="A2356" i="6"/>
  <c r="A2355" i="6"/>
  <c r="A2354" i="6"/>
  <c r="A2353" i="6"/>
  <c r="A2352" i="6"/>
  <c r="A2351" i="6"/>
  <c r="A2350" i="6"/>
  <c r="A2349" i="6"/>
  <c r="A2348" i="6"/>
  <c r="A2347" i="6"/>
  <c r="A2346" i="6"/>
  <c r="A2345" i="6"/>
  <c r="A2344" i="6"/>
  <c r="A2343" i="6"/>
  <c r="A2342" i="6"/>
  <c r="A2341" i="6"/>
  <c r="A2340" i="6"/>
  <c r="A2339" i="6"/>
  <c r="A2338" i="6"/>
  <c r="A2337" i="6"/>
  <c r="A2336" i="6"/>
  <c r="A2335" i="6"/>
  <c r="A2334" i="6"/>
  <c r="A2333" i="6"/>
  <c r="A2332" i="6"/>
  <c r="A2331" i="6"/>
  <c r="A2330" i="6"/>
  <c r="A2329" i="6"/>
  <c r="A2328" i="6"/>
  <c r="A2327" i="6"/>
  <c r="A2326" i="6"/>
  <c r="A2325" i="6"/>
  <c r="A2324" i="6"/>
  <c r="A2323" i="6"/>
  <c r="A2322" i="6"/>
  <c r="A2321" i="6"/>
  <c r="A2320" i="6"/>
  <c r="A2319" i="6"/>
  <c r="A2318" i="6"/>
  <c r="A2317" i="6"/>
  <c r="A2316" i="6"/>
  <c r="A2315" i="6"/>
  <c r="A2314" i="6"/>
  <c r="A2313" i="6"/>
  <c r="A2312" i="6"/>
  <c r="A2311" i="6"/>
  <c r="A2310" i="6"/>
  <c r="A2309" i="6"/>
  <c r="A2308" i="6"/>
  <c r="A2307" i="6"/>
  <c r="A2306" i="6"/>
  <c r="A2305" i="6"/>
  <c r="A2304" i="6"/>
  <c r="A2303" i="6"/>
  <c r="A2302" i="6"/>
  <c r="A2301" i="6"/>
  <c r="A2300" i="6"/>
  <c r="A2299" i="6"/>
  <c r="A2298" i="6"/>
  <c r="A2297" i="6"/>
  <c r="A2296" i="6"/>
  <c r="A2295" i="6"/>
  <c r="A2294" i="6"/>
  <c r="A2293" i="6"/>
  <c r="A2292" i="6"/>
  <c r="A2291" i="6"/>
  <c r="A2290" i="6"/>
  <c r="A2289" i="6"/>
  <c r="A2288" i="6"/>
  <c r="A2287" i="6"/>
  <c r="A2286" i="6"/>
  <c r="A2285" i="6"/>
  <c r="A2284" i="6"/>
  <c r="A2283" i="6"/>
  <c r="A2282" i="6"/>
  <c r="A2281" i="6"/>
  <c r="A2280" i="6"/>
  <c r="A2279" i="6"/>
  <c r="A2278" i="6"/>
  <c r="A2277" i="6"/>
  <c r="A2276" i="6"/>
  <c r="A2275" i="6"/>
  <c r="A2274" i="6"/>
  <c r="A2273" i="6"/>
  <c r="A2272" i="6"/>
  <c r="A2271" i="6"/>
  <c r="A2270" i="6"/>
  <c r="A2269" i="6"/>
  <c r="A2268" i="6"/>
  <c r="A2267" i="6"/>
  <c r="A2266" i="6"/>
  <c r="A2265" i="6"/>
  <c r="A2264" i="6"/>
  <c r="A2263" i="6"/>
  <c r="A2262" i="6"/>
  <c r="A2261" i="6"/>
  <c r="A2260" i="6"/>
  <c r="A2259" i="6"/>
  <c r="A2258" i="6"/>
  <c r="A2257" i="6"/>
  <c r="A2256" i="6"/>
  <c r="A2255" i="6"/>
  <c r="A2254" i="6"/>
  <c r="A2253" i="6"/>
  <c r="A2252" i="6"/>
  <c r="A2251" i="6"/>
  <c r="A2250" i="6"/>
  <c r="A2249" i="6"/>
  <c r="A2248" i="6"/>
  <c r="A2247" i="6"/>
  <c r="A2246" i="6"/>
  <c r="A2245" i="6"/>
  <c r="A2244" i="6"/>
  <c r="A2243" i="6"/>
  <c r="A2242" i="6"/>
  <c r="A2241" i="6"/>
  <c r="A2240" i="6"/>
  <c r="A2239" i="6"/>
  <c r="A2238" i="6"/>
  <c r="A2237" i="6"/>
  <c r="A2236" i="6"/>
  <c r="A2235" i="6"/>
  <c r="A2234" i="6"/>
  <c r="A2233" i="6"/>
  <c r="A2232" i="6"/>
  <c r="A2231" i="6"/>
  <c r="A2230" i="6"/>
  <c r="A2229" i="6"/>
  <c r="A2228" i="6"/>
  <c r="A2227" i="6"/>
  <c r="A2226" i="6"/>
  <c r="A2225" i="6"/>
  <c r="A2224" i="6"/>
  <c r="A2223" i="6"/>
  <c r="A2222" i="6"/>
  <c r="A2221" i="6"/>
  <c r="A2220" i="6"/>
  <c r="A2219" i="6"/>
  <c r="A2218" i="6"/>
  <c r="A2217" i="6"/>
  <c r="A2216" i="6"/>
  <c r="A2215" i="6"/>
  <c r="A2214" i="6"/>
  <c r="A2213" i="6"/>
  <c r="A2212" i="6"/>
  <c r="A2211" i="6"/>
  <c r="A2210" i="6"/>
  <c r="A2209" i="6"/>
  <c r="A2208" i="6"/>
  <c r="A2207" i="6"/>
  <c r="A2206" i="6"/>
  <c r="A2205" i="6"/>
  <c r="A2204" i="6"/>
  <c r="A2203" i="6"/>
  <c r="A2202" i="6"/>
  <c r="A2201" i="6"/>
  <c r="A2200" i="6"/>
  <c r="A2199" i="6"/>
  <c r="A2198" i="6"/>
  <c r="A2197" i="6"/>
  <c r="A2196" i="6"/>
  <c r="A2195" i="6"/>
  <c r="A2194" i="6"/>
  <c r="A2193" i="6"/>
  <c r="A2192" i="6"/>
  <c r="A2191" i="6"/>
  <c r="A2190" i="6"/>
  <c r="A2189" i="6"/>
  <c r="A2188" i="6"/>
  <c r="A2187" i="6"/>
  <c r="A2186" i="6"/>
  <c r="A2185" i="6"/>
  <c r="A2184" i="6"/>
  <c r="A2183" i="6"/>
  <c r="A2182" i="6"/>
  <c r="A2181" i="6"/>
  <c r="A2180" i="6"/>
  <c r="A2179" i="6"/>
  <c r="A2178" i="6"/>
  <c r="A2177" i="6"/>
  <c r="A2176" i="6"/>
  <c r="A2175" i="6"/>
  <c r="A2174" i="6"/>
  <c r="A2173" i="6"/>
  <c r="A2172" i="6"/>
  <c r="A2171" i="6"/>
  <c r="A2170" i="6"/>
  <c r="A2169" i="6"/>
  <c r="A2168" i="6"/>
  <c r="A2167" i="6"/>
  <c r="A2166" i="6"/>
  <c r="A2165" i="6"/>
  <c r="A2164" i="6"/>
  <c r="A2163" i="6"/>
  <c r="A2162" i="6"/>
  <c r="A2161" i="6"/>
  <c r="A2160" i="6"/>
  <c r="A2159" i="6"/>
  <c r="A2158" i="6"/>
  <c r="A2157" i="6"/>
  <c r="A2156" i="6"/>
  <c r="A2155" i="6"/>
  <c r="A2154" i="6"/>
  <c r="A2153" i="6"/>
  <c r="A2152" i="6"/>
  <c r="A2151" i="6"/>
  <c r="A2150" i="6"/>
  <c r="A2149" i="6"/>
  <c r="A2148" i="6"/>
  <c r="A2147" i="6"/>
  <c r="A2146" i="6"/>
  <c r="A2145" i="6"/>
  <c r="A2144" i="6"/>
  <c r="A2143" i="6"/>
  <c r="A2142" i="6"/>
  <c r="A2141" i="6"/>
  <c r="A2140" i="6"/>
  <c r="A2139" i="6"/>
  <c r="A2138" i="6"/>
  <c r="A2137" i="6"/>
  <c r="A2136" i="6"/>
  <c r="A2135" i="6"/>
  <c r="A2134" i="6"/>
  <c r="A2133" i="6"/>
  <c r="A2132" i="6"/>
  <c r="A2131" i="6"/>
  <c r="A2130" i="6"/>
  <c r="A2129" i="6"/>
  <c r="A2128" i="6"/>
  <c r="A2127" i="6"/>
  <c r="A2126" i="6"/>
  <c r="A2125" i="6"/>
  <c r="A2124" i="6"/>
  <c r="A2123" i="6"/>
  <c r="A2122" i="6"/>
  <c r="A2121" i="6"/>
  <c r="A2120" i="6"/>
  <c r="A2119" i="6"/>
  <c r="A2118" i="6"/>
  <c r="A2117" i="6"/>
  <c r="A2116" i="6"/>
  <c r="A2115" i="6"/>
  <c r="A2114" i="6"/>
  <c r="A2113" i="6"/>
  <c r="A2112" i="6"/>
  <c r="A2111" i="6"/>
  <c r="A2110" i="6"/>
  <c r="A2109" i="6"/>
  <c r="A2108" i="6"/>
  <c r="A2107" i="6"/>
  <c r="A2106" i="6"/>
  <c r="A2105" i="6"/>
  <c r="A2104" i="6"/>
  <c r="A2103" i="6"/>
  <c r="A2102" i="6"/>
  <c r="A2101" i="6"/>
  <c r="A2100" i="6"/>
  <c r="A2099" i="6"/>
  <c r="A2098" i="6"/>
  <c r="A2097" i="6"/>
  <c r="A2096" i="6"/>
  <c r="A2095" i="6"/>
  <c r="A2094" i="6"/>
  <c r="A2093" i="6"/>
  <c r="A2092" i="6"/>
  <c r="A2091" i="6"/>
  <c r="A2090" i="6"/>
  <c r="A2089" i="6"/>
  <c r="A2088" i="6"/>
  <c r="A2087" i="6"/>
  <c r="A2086" i="6"/>
  <c r="A2085" i="6"/>
  <c r="A2084" i="6"/>
  <c r="A2083" i="6"/>
  <c r="A2082" i="6"/>
  <c r="A2081" i="6"/>
  <c r="A2080" i="6"/>
  <c r="A2079" i="6"/>
  <c r="A2078" i="6"/>
  <c r="A2077" i="6"/>
  <c r="A2076" i="6"/>
  <c r="A2075" i="6"/>
  <c r="A2074" i="6"/>
  <c r="A2073" i="6"/>
  <c r="A2072" i="6"/>
  <c r="A2071" i="6"/>
  <c r="A2070" i="6"/>
  <c r="A2069" i="6"/>
  <c r="A2068" i="6"/>
  <c r="A2067" i="6"/>
  <c r="A2066" i="6"/>
  <c r="A2065" i="6"/>
  <c r="A2064" i="6"/>
  <c r="A2063" i="6"/>
  <c r="A2062" i="6"/>
  <c r="A2061" i="6"/>
  <c r="A2060" i="6"/>
  <c r="A2059" i="6"/>
  <c r="A2058" i="6"/>
  <c r="A2057" i="6"/>
  <c r="A2056" i="6"/>
  <c r="A2055" i="6"/>
  <c r="A2054" i="6"/>
  <c r="A2053" i="6"/>
  <c r="A2052" i="6"/>
  <c r="A2051" i="6"/>
  <c r="A2050" i="6"/>
  <c r="A2049" i="6"/>
  <c r="A2048" i="6"/>
  <c r="A2047" i="6"/>
  <c r="A2046" i="6"/>
  <c r="A2045" i="6"/>
  <c r="A2044" i="6"/>
  <c r="A2043" i="6"/>
  <c r="A2042" i="6"/>
  <c r="A2041" i="6"/>
  <c r="A2040" i="6"/>
  <c r="A2039" i="6"/>
  <c r="A2038" i="6"/>
  <c r="A2037" i="6"/>
  <c r="A2036" i="6"/>
  <c r="A2035" i="6"/>
  <c r="A2034" i="6"/>
  <c r="A2033" i="6"/>
  <c r="A2032" i="6"/>
  <c r="A2031" i="6"/>
  <c r="A2030" i="6"/>
  <c r="A2029" i="6"/>
  <c r="A2028" i="6"/>
  <c r="A2027" i="6"/>
  <c r="A2026" i="6"/>
  <c r="A2025" i="6"/>
  <c r="A2024" i="6"/>
  <c r="A2023" i="6"/>
  <c r="A2022" i="6"/>
  <c r="A2021" i="6"/>
  <c r="A2020" i="6"/>
  <c r="A2019" i="6"/>
  <c r="A2018" i="6"/>
  <c r="A2017" i="6"/>
  <c r="A2016" i="6"/>
  <c r="A2015" i="6"/>
  <c r="A2014" i="6"/>
  <c r="A2013" i="6"/>
  <c r="A2012" i="6"/>
  <c r="A2011" i="6"/>
  <c r="A2010" i="6"/>
  <c r="A2009" i="6"/>
  <c r="A2008" i="6"/>
  <c r="A2007" i="6"/>
  <c r="A2006" i="6"/>
  <c r="A2005" i="6"/>
  <c r="A2004" i="6"/>
  <c r="A2003" i="6"/>
  <c r="A2002" i="6"/>
  <c r="A2001" i="6"/>
  <c r="A2000" i="6"/>
  <c r="A1999" i="6"/>
  <c r="A1998" i="6"/>
  <c r="A1997" i="6"/>
  <c r="A1996" i="6"/>
  <c r="A1995" i="6"/>
  <c r="A1994" i="6"/>
  <c r="A1993" i="6"/>
  <c r="A1992" i="6"/>
  <c r="A1991" i="6"/>
  <c r="A1990" i="6"/>
  <c r="A1989" i="6"/>
  <c r="A1988" i="6"/>
  <c r="A1987" i="6"/>
  <c r="A1986" i="6"/>
  <c r="A1985" i="6"/>
  <c r="A1984" i="6"/>
  <c r="A1983" i="6"/>
  <c r="A1982" i="6"/>
  <c r="A1981" i="6"/>
  <c r="A1980" i="6"/>
  <c r="A1979" i="6"/>
  <c r="A1978" i="6"/>
  <c r="A1977" i="6"/>
  <c r="A1976" i="6"/>
  <c r="A1975" i="6"/>
  <c r="A1974" i="6"/>
  <c r="A1973" i="6"/>
  <c r="A1972" i="6"/>
  <c r="A1971" i="6"/>
  <c r="A1970" i="6"/>
  <c r="A1969" i="6"/>
  <c r="A1968" i="6"/>
  <c r="A1967" i="6"/>
  <c r="A1966" i="6"/>
  <c r="A1965" i="6"/>
  <c r="A1964" i="6"/>
  <c r="A1963" i="6"/>
  <c r="A1962" i="6"/>
  <c r="A1961" i="6"/>
  <c r="A1960" i="6"/>
  <c r="A1959" i="6"/>
  <c r="A1958" i="6"/>
  <c r="A1957" i="6"/>
  <c r="A1956" i="6"/>
  <c r="A1955" i="6"/>
  <c r="A1954" i="6"/>
  <c r="A1953" i="6"/>
  <c r="A1952" i="6"/>
  <c r="A1951" i="6"/>
  <c r="A1950" i="6"/>
  <c r="A1949" i="6"/>
  <c r="A1948" i="6"/>
  <c r="A1947" i="6"/>
  <c r="A1946" i="6"/>
  <c r="A1945" i="6"/>
  <c r="A1944" i="6"/>
  <c r="A1943" i="6"/>
  <c r="A1942" i="6"/>
  <c r="A1941" i="6"/>
  <c r="A1940" i="6"/>
  <c r="A1939" i="6"/>
  <c r="A1938" i="6"/>
  <c r="A1937" i="6"/>
  <c r="A1936" i="6"/>
  <c r="A1935" i="6"/>
  <c r="A1934" i="6"/>
  <c r="A1933" i="6"/>
  <c r="A1932" i="6"/>
  <c r="A1931" i="6"/>
  <c r="A1930" i="6"/>
  <c r="A1929" i="6"/>
  <c r="A1928" i="6"/>
  <c r="A1927" i="6"/>
  <c r="A1926" i="6"/>
  <c r="A1925" i="6"/>
  <c r="A1924" i="6"/>
  <c r="A1923" i="6"/>
  <c r="A1922" i="6"/>
  <c r="A1921" i="6"/>
  <c r="A1920" i="6"/>
  <c r="A1919" i="6"/>
  <c r="A1918" i="6"/>
  <c r="A1917" i="6"/>
  <c r="A1916" i="6"/>
  <c r="A1915" i="6"/>
  <c r="A1914" i="6"/>
  <c r="A1913" i="6"/>
  <c r="A1912" i="6"/>
  <c r="A1911" i="6"/>
  <c r="A1910" i="6"/>
  <c r="A1909" i="6"/>
  <c r="A1908" i="6"/>
  <c r="A1907" i="6"/>
  <c r="A1906" i="6"/>
  <c r="A1905" i="6"/>
  <c r="A1904" i="6"/>
  <c r="A1903" i="6"/>
  <c r="A1902" i="6"/>
  <c r="A1901" i="6"/>
  <c r="A1900" i="6"/>
  <c r="A1899" i="6"/>
  <c r="A1898" i="6"/>
  <c r="A1897" i="6"/>
  <c r="A1896" i="6"/>
  <c r="A1895" i="6"/>
  <c r="A1894" i="6"/>
  <c r="A1893" i="6"/>
  <c r="A1892" i="6"/>
  <c r="A1891" i="6"/>
  <c r="A1890" i="6"/>
  <c r="A1889" i="6"/>
  <c r="A1888" i="6"/>
  <c r="A1887" i="6"/>
  <c r="A1886" i="6"/>
  <c r="A1885" i="6"/>
  <c r="A1884" i="6"/>
  <c r="A1883" i="6"/>
  <c r="A1882" i="6"/>
  <c r="A1881" i="6"/>
  <c r="A1880" i="6"/>
  <c r="A1879" i="6"/>
  <c r="A1878" i="6"/>
  <c r="A1877" i="6"/>
  <c r="A1876" i="6"/>
  <c r="A1875" i="6"/>
  <c r="A1874" i="6"/>
  <c r="A1873" i="6"/>
  <c r="A1872" i="6"/>
  <c r="A1871" i="6"/>
  <c r="A1870" i="6"/>
  <c r="A1869" i="6"/>
  <c r="A1868" i="6"/>
  <c r="A1867" i="6"/>
  <c r="A1866" i="6"/>
  <c r="A1865" i="6"/>
  <c r="A1864" i="6"/>
  <c r="A1863" i="6"/>
  <c r="A1862" i="6"/>
  <c r="A1861" i="6"/>
  <c r="A1860" i="6"/>
  <c r="A1859" i="6"/>
  <c r="A1858" i="6"/>
  <c r="A1857" i="6"/>
  <c r="A1856" i="6"/>
  <c r="A1855" i="6"/>
  <c r="A1854" i="6"/>
  <c r="A1853" i="6"/>
  <c r="A1852" i="6"/>
  <c r="A1851" i="6"/>
  <c r="A1850" i="6"/>
  <c r="A1849" i="6"/>
  <c r="A1848" i="6"/>
  <c r="A1847" i="6"/>
  <c r="A1846" i="6"/>
  <c r="A1845" i="6"/>
  <c r="A1844" i="6"/>
  <c r="A1843" i="6"/>
  <c r="A1842" i="6"/>
  <c r="A1841" i="6"/>
  <c r="A1840" i="6"/>
  <c r="A1839" i="6"/>
  <c r="A1838" i="6"/>
  <c r="A1837" i="6"/>
  <c r="A1836" i="6"/>
  <c r="A1835" i="6"/>
  <c r="A1834" i="6"/>
  <c r="A1833" i="6"/>
  <c r="A1832" i="6"/>
  <c r="A1831" i="6"/>
  <c r="A1830" i="6"/>
  <c r="A1829" i="6"/>
  <c r="A1828" i="6"/>
  <c r="A1827" i="6"/>
  <c r="A1826" i="6"/>
  <c r="A1825" i="6"/>
  <c r="A1824" i="6"/>
  <c r="A1823" i="6"/>
  <c r="A1822" i="6"/>
  <c r="A1821" i="6"/>
  <c r="A1820" i="6"/>
  <c r="A1819" i="6"/>
  <c r="A1818" i="6"/>
  <c r="A1817" i="6"/>
  <c r="A1816" i="6"/>
  <c r="A1815" i="6"/>
  <c r="A1814" i="6"/>
  <c r="A1813" i="6"/>
  <c r="A1812" i="6"/>
  <c r="A1811" i="6"/>
  <c r="A1810" i="6"/>
  <c r="A1809" i="6"/>
  <c r="A1808" i="6"/>
  <c r="A1807" i="6"/>
  <c r="A1806" i="6"/>
  <c r="A1805" i="6"/>
  <c r="A1804" i="6"/>
  <c r="A1803" i="6"/>
  <c r="A1802" i="6"/>
  <c r="A1801" i="6"/>
  <c r="A1800" i="6"/>
  <c r="A1799" i="6"/>
  <c r="A1798" i="6"/>
  <c r="A1797" i="6"/>
  <c r="A1796" i="6"/>
  <c r="A1795" i="6"/>
  <c r="A1794" i="6"/>
  <c r="A1793" i="6"/>
  <c r="A1792" i="6"/>
  <c r="A1791" i="6"/>
  <c r="A1790" i="6"/>
  <c r="A1789" i="6"/>
  <c r="A1788" i="6"/>
  <c r="A1787" i="6"/>
  <c r="A1786" i="6"/>
  <c r="A1785" i="6"/>
  <c r="A1784" i="6"/>
  <c r="A1783" i="6"/>
  <c r="A1782" i="6"/>
  <c r="A1781" i="6"/>
  <c r="A1780" i="6"/>
  <c r="A1779" i="6"/>
  <c r="A1778" i="6"/>
  <c r="A1777" i="6"/>
  <c r="A1776" i="6"/>
  <c r="A1775" i="6"/>
  <c r="A1774" i="6"/>
  <c r="A1773" i="6"/>
  <c r="A1772" i="6"/>
  <c r="A1771" i="6"/>
  <c r="A1770" i="6"/>
  <c r="A1769" i="6"/>
  <c r="A1768" i="6"/>
  <c r="A1767" i="6"/>
  <c r="A1766" i="6"/>
  <c r="A1765" i="6"/>
  <c r="A1764" i="6"/>
  <c r="A1763" i="6"/>
  <c r="A1762" i="6"/>
  <c r="A1761" i="6"/>
  <c r="A1760" i="6"/>
  <c r="A1759" i="6"/>
  <c r="A1758" i="6"/>
  <c r="A1757" i="6"/>
  <c r="A1756" i="6"/>
  <c r="A1755" i="6"/>
  <c r="A1754" i="6"/>
  <c r="A1753" i="6"/>
  <c r="A1752" i="6"/>
  <c r="A1751" i="6"/>
  <c r="A1750" i="6"/>
  <c r="A1749" i="6"/>
  <c r="A1748" i="6"/>
  <c r="A1747" i="6"/>
  <c r="A1746" i="6"/>
  <c r="A1745" i="6"/>
  <c r="A1744" i="6"/>
  <c r="A1743" i="6"/>
  <c r="A1742" i="6"/>
  <c r="A1741" i="6"/>
  <c r="A1740" i="6"/>
  <c r="A1739" i="6"/>
  <c r="A1738" i="6"/>
  <c r="A1737" i="6"/>
  <c r="A1736" i="6"/>
  <c r="A1735" i="6"/>
  <c r="A1734" i="6"/>
  <c r="A1733" i="6"/>
  <c r="A1732" i="6"/>
  <c r="A1731" i="6"/>
  <c r="A1730" i="6"/>
  <c r="A1729" i="6"/>
  <c r="A1728" i="6"/>
  <c r="A1727" i="6"/>
  <c r="A1726" i="6"/>
  <c r="A1725" i="6"/>
  <c r="A1724" i="6"/>
  <c r="A1723" i="6"/>
  <c r="A1722" i="6"/>
  <c r="A1721" i="6"/>
  <c r="A1720" i="6"/>
  <c r="A1719" i="6"/>
  <c r="A1718" i="6"/>
  <c r="A1717" i="6"/>
  <c r="A1716" i="6"/>
  <c r="A1715" i="6"/>
  <c r="A1714" i="6"/>
  <c r="A1713" i="6"/>
  <c r="A1712" i="6"/>
  <c r="A1711" i="6"/>
  <c r="A1710" i="6"/>
  <c r="A1709" i="6"/>
  <c r="A1708" i="6"/>
  <c r="A1707" i="6"/>
  <c r="A1706" i="6"/>
  <c r="A1705" i="6"/>
  <c r="A1704" i="6"/>
  <c r="A1703" i="6"/>
  <c r="A1702" i="6"/>
  <c r="A1701" i="6"/>
  <c r="A1700" i="6"/>
  <c r="A1699" i="6"/>
  <c r="A1698" i="6"/>
  <c r="A1697" i="6"/>
  <c r="A1696" i="6"/>
  <c r="A1695" i="6"/>
  <c r="A1694" i="6"/>
  <c r="A1693" i="6"/>
  <c r="A1692" i="6"/>
  <c r="A1691" i="6"/>
  <c r="A1690" i="6"/>
  <c r="A1689" i="6"/>
  <c r="A1688" i="6"/>
  <c r="A1687" i="6"/>
  <c r="A1686" i="6"/>
  <c r="A1685" i="6"/>
  <c r="A1684" i="6"/>
  <c r="A1683" i="6"/>
  <c r="A1682" i="6"/>
  <c r="A1681" i="6"/>
  <c r="A1680" i="6"/>
  <c r="A1679" i="6"/>
  <c r="A1678" i="6"/>
  <c r="A1677" i="6"/>
  <c r="A1676" i="6"/>
  <c r="A1675" i="6"/>
  <c r="A1674" i="6"/>
  <c r="A1673" i="6"/>
  <c r="A1672" i="6"/>
  <c r="A1671" i="6"/>
  <c r="A1670" i="6"/>
  <c r="A1669" i="6"/>
  <c r="A1668" i="6"/>
  <c r="A1667" i="6"/>
  <c r="A1666" i="6"/>
  <c r="A1665" i="6"/>
  <c r="A1664" i="6"/>
  <c r="A1663" i="6"/>
  <c r="A1662" i="6"/>
  <c r="A1661" i="6"/>
  <c r="A1660" i="6"/>
  <c r="A1659" i="6"/>
  <c r="A1658" i="6"/>
  <c r="A1657" i="6"/>
  <c r="A1656" i="6"/>
  <c r="A1655" i="6"/>
  <c r="A1654" i="6"/>
  <c r="A1653" i="6"/>
  <c r="A1652" i="6"/>
  <c r="A1651" i="6"/>
  <c r="A1650" i="6"/>
  <c r="A1649" i="6"/>
  <c r="A1648" i="6"/>
  <c r="A1647" i="6"/>
  <c r="A1646" i="6"/>
  <c r="A1645" i="6"/>
  <c r="A1644" i="6"/>
  <c r="A1643" i="6"/>
  <c r="A1642" i="6"/>
  <c r="A1641" i="6"/>
  <c r="A1640" i="6"/>
  <c r="A1639" i="6"/>
  <c r="A1638" i="6"/>
  <c r="A1637" i="6"/>
  <c r="A1636" i="6"/>
  <c r="A1635" i="6"/>
  <c r="A1634" i="6"/>
  <c r="A1633" i="6"/>
  <c r="A1632" i="6"/>
  <c r="A1631" i="6"/>
  <c r="A1630" i="6"/>
  <c r="A1629" i="6"/>
  <c r="A1628" i="6"/>
  <c r="A1627" i="6"/>
  <c r="A1626" i="6"/>
  <c r="A1625" i="6"/>
  <c r="A1624" i="6"/>
  <c r="A1623" i="6"/>
  <c r="A1622" i="6"/>
  <c r="A1621" i="6"/>
  <c r="A1620" i="6"/>
  <c r="A1619" i="6"/>
  <c r="A1618" i="6"/>
  <c r="A1617" i="6"/>
  <c r="A1616" i="6"/>
  <c r="A1615" i="6"/>
  <c r="A1614" i="6"/>
  <c r="A1613" i="6"/>
  <c r="A1612" i="6"/>
  <c r="A1611" i="6"/>
  <c r="A1610" i="6"/>
  <c r="A1609" i="6"/>
  <c r="A1608" i="6"/>
  <c r="A1607" i="6"/>
  <c r="A1606" i="6"/>
  <c r="A1605" i="6"/>
  <c r="A1604" i="6"/>
  <c r="A1603" i="6"/>
  <c r="A1602" i="6"/>
  <c r="A1601" i="6"/>
  <c r="A1600" i="6"/>
  <c r="A1599" i="6"/>
  <c r="A1598" i="6"/>
  <c r="A1597" i="6"/>
  <c r="A1596" i="6"/>
  <c r="A1595" i="6"/>
  <c r="A1594" i="6"/>
  <c r="A1593" i="6"/>
  <c r="A1592" i="6"/>
  <c r="A1591" i="6"/>
  <c r="A1590" i="6"/>
  <c r="A1589" i="6"/>
  <c r="A1588" i="6"/>
  <c r="A1587" i="6"/>
  <c r="A1586" i="6"/>
  <c r="A1585" i="6"/>
  <c r="A1584" i="6"/>
  <c r="A1583" i="6"/>
  <c r="A1582" i="6"/>
  <c r="A1581" i="6"/>
  <c r="A1580" i="6"/>
  <c r="A1579" i="6"/>
  <c r="A1578" i="6"/>
  <c r="A1577" i="6"/>
  <c r="A1576" i="6"/>
  <c r="A1575" i="6"/>
  <c r="A1574" i="6"/>
  <c r="A1573" i="6"/>
  <c r="A1572" i="6"/>
  <c r="A1571" i="6"/>
  <c r="A1570" i="6"/>
  <c r="A1569" i="6"/>
  <c r="A1568" i="6"/>
  <c r="A1567" i="6"/>
  <c r="A1566" i="6"/>
  <c r="A1565" i="6"/>
  <c r="A1564" i="6"/>
  <c r="A1563" i="6"/>
  <c r="A1562" i="6"/>
  <c r="A1561" i="6"/>
  <c r="A1560" i="6"/>
  <c r="A1559" i="6"/>
  <c r="A1558" i="6"/>
  <c r="A1557" i="6"/>
  <c r="A1556" i="6"/>
  <c r="A1555" i="6"/>
  <c r="A1554" i="6"/>
  <c r="A1553" i="6"/>
  <c r="A1552" i="6"/>
  <c r="A1551" i="6"/>
  <c r="A1550" i="6"/>
  <c r="A1549" i="6"/>
  <c r="A1548" i="6"/>
  <c r="A1547" i="6"/>
  <c r="A1546" i="6"/>
  <c r="A1545" i="6"/>
  <c r="A1544" i="6"/>
  <c r="A1543" i="6"/>
  <c r="A1542" i="6"/>
  <c r="A1541" i="6"/>
  <c r="A1540" i="6"/>
  <c r="A1539" i="6"/>
  <c r="A1538" i="6"/>
  <c r="A1537" i="6"/>
  <c r="A1536" i="6"/>
  <c r="A1535" i="6"/>
  <c r="A1534" i="6"/>
  <c r="A1533" i="6"/>
  <c r="A1532" i="6"/>
  <c r="A1531" i="6"/>
  <c r="A1530" i="6"/>
  <c r="A1529" i="6"/>
  <c r="A1528" i="6"/>
  <c r="A1527" i="6"/>
  <c r="A1526" i="6"/>
  <c r="A1525" i="6"/>
  <c r="A1524" i="6"/>
  <c r="A1523" i="6"/>
  <c r="A1522" i="6"/>
  <c r="A1521" i="6"/>
  <c r="A1520" i="6"/>
  <c r="A1519" i="6"/>
  <c r="A1518" i="6"/>
  <c r="A1517" i="6"/>
  <c r="A1516" i="6"/>
  <c r="A1515" i="6"/>
  <c r="A1514" i="6"/>
  <c r="A1513" i="6"/>
  <c r="A1512" i="6"/>
  <c r="A1511" i="6"/>
  <c r="A1510" i="6"/>
  <c r="A1509" i="6"/>
  <c r="A1508" i="6"/>
  <c r="A1507" i="6"/>
  <c r="A1506" i="6"/>
  <c r="A1505" i="6"/>
  <c r="A1504" i="6"/>
  <c r="A1503" i="6"/>
  <c r="A1502" i="6"/>
  <c r="A1501" i="6"/>
  <c r="A1500" i="6"/>
  <c r="A1499" i="6"/>
  <c r="A1498" i="6"/>
  <c r="A1497" i="6"/>
  <c r="A1496" i="6"/>
  <c r="A1495" i="6"/>
  <c r="A1494" i="6"/>
  <c r="A1493" i="6"/>
  <c r="A1492" i="6"/>
  <c r="A1491" i="6"/>
  <c r="A1490" i="6"/>
  <c r="A1489" i="6"/>
  <c r="A1488" i="6"/>
  <c r="A1487" i="6"/>
  <c r="A1486" i="6"/>
  <c r="A1485" i="6"/>
  <c r="A1484" i="6"/>
  <c r="A1483" i="6"/>
  <c r="A1482" i="6"/>
  <c r="A1481" i="6"/>
  <c r="A1480" i="6"/>
  <c r="A1479" i="6"/>
  <c r="A1478" i="6"/>
  <c r="A1477" i="6"/>
  <c r="A1476" i="6"/>
  <c r="A1475" i="6"/>
  <c r="A1474" i="6"/>
  <c r="A1473" i="6"/>
  <c r="A1472" i="6"/>
  <c r="A1471" i="6"/>
  <c r="A1470" i="6"/>
  <c r="A1469" i="6"/>
  <c r="A1468" i="6"/>
  <c r="A1467" i="6"/>
  <c r="A1466" i="6"/>
  <c r="A1465" i="6"/>
  <c r="A1464" i="6"/>
  <c r="A1463" i="6"/>
  <c r="A1462" i="6"/>
  <c r="A1461" i="6"/>
  <c r="A1460" i="6"/>
  <c r="A1459" i="6"/>
  <c r="A1458" i="6"/>
  <c r="A1457" i="6"/>
  <c r="A1456" i="6"/>
  <c r="A1455" i="6"/>
  <c r="A1454" i="6"/>
  <c r="A1453" i="6"/>
  <c r="A1452" i="6"/>
  <c r="A1451" i="6"/>
  <c r="A1450" i="6"/>
  <c r="A1449" i="6"/>
  <c r="A1448" i="6"/>
  <c r="A1447" i="6"/>
  <c r="A1446" i="6"/>
  <c r="A1445" i="6"/>
  <c r="A1444" i="6"/>
  <c r="A1443" i="6"/>
  <c r="A1442" i="6"/>
  <c r="A1441" i="6"/>
  <c r="A1440" i="6"/>
  <c r="A1439" i="6"/>
  <c r="A1438" i="6"/>
  <c r="A1437" i="6"/>
  <c r="A1436" i="6"/>
  <c r="A1435" i="6"/>
  <c r="A1434" i="6"/>
  <c r="A1433" i="6"/>
  <c r="A1432" i="6"/>
  <c r="A1431" i="6"/>
  <c r="A1430" i="6"/>
  <c r="A1429" i="6"/>
  <c r="A1428" i="6"/>
  <c r="A1427" i="6"/>
  <c r="A1426" i="6"/>
  <c r="A1425" i="6"/>
  <c r="A1424" i="6"/>
  <c r="A1423" i="6"/>
  <c r="A1422" i="6"/>
  <c r="A1421" i="6"/>
  <c r="A1420" i="6"/>
  <c r="A1419" i="6"/>
  <c r="A1418" i="6"/>
  <c r="A1417" i="6"/>
  <c r="A1416" i="6"/>
  <c r="A1415" i="6"/>
  <c r="A1414" i="6"/>
  <c r="A1413" i="6"/>
  <c r="A1412" i="6"/>
  <c r="A1411" i="6"/>
  <c r="A1410" i="6"/>
  <c r="A1409" i="6"/>
  <c r="A1408" i="6"/>
  <c r="A1407" i="6"/>
  <c r="A1406" i="6"/>
  <c r="A1405" i="6"/>
  <c r="A1404" i="6"/>
  <c r="A1403" i="6"/>
  <c r="A1402" i="6"/>
  <c r="A1401" i="6"/>
  <c r="A1400" i="6"/>
  <c r="A1399" i="6"/>
  <c r="A1398" i="6"/>
  <c r="A1397" i="6"/>
  <c r="A1396" i="6"/>
  <c r="A1395" i="6"/>
  <c r="A1394" i="6"/>
  <c r="A1393" i="6"/>
  <c r="A1392" i="6"/>
  <c r="A1391" i="6"/>
  <c r="A1390" i="6"/>
  <c r="A1389" i="6"/>
  <c r="A1388" i="6"/>
  <c r="A1387" i="6"/>
  <c r="A1386" i="6"/>
  <c r="A1385" i="6"/>
  <c r="A1384" i="6"/>
  <c r="A1383" i="6"/>
  <c r="A1382" i="6"/>
  <c r="A1381" i="6"/>
  <c r="A1380" i="6"/>
  <c r="A1379" i="6"/>
  <c r="A1378" i="6"/>
  <c r="A1377" i="6"/>
  <c r="A1376" i="6"/>
  <c r="A1375" i="6"/>
  <c r="A1374" i="6"/>
  <c r="A1373" i="6"/>
  <c r="A1372" i="6"/>
  <c r="A1371" i="6"/>
  <c r="A1370" i="6"/>
  <c r="A1369" i="6"/>
  <c r="A1368" i="6"/>
  <c r="A1367" i="6"/>
  <c r="A1366" i="6"/>
  <c r="A1365" i="6"/>
  <c r="A1364" i="6"/>
  <c r="A1363" i="6"/>
  <c r="A1362" i="6"/>
  <c r="A1361" i="6"/>
  <c r="A1360" i="6"/>
  <c r="A1359" i="6"/>
  <c r="A1358" i="6"/>
  <c r="A1357" i="6"/>
  <c r="A1356" i="6"/>
  <c r="A1355" i="6"/>
  <c r="A1354" i="6"/>
  <c r="A1353" i="6"/>
  <c r="A1352" i="6"/>
  <c r="A1351" i="6"/>
  <c r="A1350" i="6"/>
  <c r="A1349" i="6"/>
  <c r="A1348" i="6"/>
  <c r="A1347" i="6"/>
  <c r="A1346" i="6"/>
  <c r="A1345" i="6"/>
  <c r="A1344" i="6"/>
  <c r="A1343" i="6"/>
  <c r="A1342" i="6"/>
  <c r="A1341" i="6"/>
  <c r="A1340" i="6"/>
  <c r="A1339" i="6"/>
  <c r="A1338" i="6"/>
  <c r="A1337" i="6"/>
  <c r="A1336" i="6"/>
  <c r="A1335" i="6"/>
  <c r="A1334" i="6"/>
  <c r="A1333" i="6"/>
  <c r="A1332" i="6"/>
  <c r="A1331" i="6"/>
  <c r="A1330" i="6"/>
  <c r="A1329" i="6"/>
  <c r="A1328" i="6"/>
  <c r="A1327" i="6"/>
  <c r="A1326" i="6"/>
  <c r="A1325" i="6"/>
  <c r="A1324" i="6"/>
  <c r="A1323" i="6"/>
  <c r="A1322" i="6"/>
  <c r="A1321" i="6"/>
  <c r="A1320" i="6"/>
  <c r="A1319" i="6"/>
  <c r="A1318" i="6"/>
  <c r="A1317" i="6"/>
  <c r="A1316" i="6"/>
  <c r="A1315" i="6"/>
  <c r="A1314" i="6"/>
  <c r="A1313" i="6"/>
  <c r="A1312" i="6"/>
  <c r="A1311" i="6"/>
  <c r="A1310" i="6"/>
  <c r="A1309" i="6"/>
  <c r="A1308" i="6"/>
  <c r="A1307" i="6"/>
  <c r="A1306" i="6"/>
  <c r="A1305" i="6"/>
  <c r="A1304" i="6"/>
  <c r="A1303" i="6"/>
  <c r="A1302" i="6"/>
  <c r="A1301" i="6"/>
  <c r="A1300" i="6"/>
  <c r="A1299" i="6"/>
  <c r="A1298" i="6"/>
  <c r="A1297" i="6"/>
  <c r="A1296" i="6"/>
  <c r="A1295" i="6"/>
  <c r="A1294" i="6"/>
  <c r="A1293" i="6"/>
  <c r="A1292" i="6"/>
  <c r="A1291" i="6"/>
  <c r="A1290" i="6"/>
  <c r="A1289" i="6"/>
  <c r="A1288" i="6"/>
  <c r="A1287" i="6"/>
  <c r="A1286" i="6"/>
  <c r="A1285" i="6"/>
  <c r="A1284" i="6"/>
  <c r="A1283" i="6"/>
  <c r="A1282" i="6"/>
  <c r="A1281" i="6"/>
  <c r="A1280" i="6"/>
  <c r="A1279" i="6"/>
  <c r="A1278" i="6"/>
  <c r="A1277" i="6"/>
  <c r="A1276" i="6"/>
  <c r="A1275" i="6"/>
  <c r="A1274" i="6"/>
  <c r="A1273" i="6"/>
  <c r="A1272" i="6"/>
  <c r="A1271" i="6"/>
  <c r="A1270" i="6"/>
  <c r="A1269" i="6"/>
  <c r="A1268" i="6"/>
  <c r="A1267" i="6"/>
  <c r="A1266" i="6"/>
  <c r="A1265" i="6"/>
  <c r="A1264" i="6"/>
  <c r="A1263" i="6"/>
  <c r="A1262" i="6"/>
  <c r="A1261" i="6"/>
  <c r="A1260" i="6"/>
  <c r="A1259" i="6"/>
  <c r="A1258" i="6"/>
  <c r="A1257" i="6"/>
  <c r="A1256" i="6"/>
  <c r="A1255" i="6"/>
  <c r="A1254" i="6"/>
  <c r="A1253" i="6"/>
  <c r="A1252" i="6"/>
  <c r="A1251" i="6"/>
  <c r="A1250" i="6"/>
  <c r="A1249" i="6"/>
  <c r="A1248" i="6"/>
  <c r="A1247" i="6"/>
  <c r="B105" i="5"/>
  <c r="G15" i="9" s="1"/>
  <c r="B93" i="5"/>
  <c r="C98" i="5" s="1"/>
  <c r="B92" i="5"/>
  <c r="C97" i="5" s="1"/>
  <c r="B91" i="5"/>
  <c r="C96" i="5" s="1"/>
  <c r="D88" i="5"/>
  <c r="C88" i="5"/>
  <c r="B88" i="5"/>
  <c r="D87" i="5"/>
  <c r="C87" i="5"/>
  <c r="B87" i="5"/>
  <c r="D86" i="5"/>
  <c r="C86" i="5"/>
  <c r="B86" i="5"/>
  <c r="D85" i="5"/>
  <c r="C85" i="5"/>
  <c r="C89" i="5" s="1"/>
  <c r="B97" i="5" s="1"/>
  <c r="D97" i="5" s="1"/>
  <c r="B85" i="5"/>
  <c r="B89" i="5" s="1"/>
  <c r="B96" i="5" s="1"/>
  <c r="D96" i="5" s="1"/>
  <c r="B79" i="5"/>
  <c r="B77" i="5"/>
  <c r="B76" i="5"/>
  <c r="B55" i="5"/>
  <c r="C55" i="5" s="1"/>
  <c r="B50" i="5"/>
  <c r="B46" i="5"/>
  <c r="B45" i="5"/>
  <c r="B47" i="5" s="1"/>
  <c r="B43" i="5"/>
  <c r="B42" i="5"/>
  <c r="B44" i="5" s="1"/>
  <c r="B38" i="5"/>
  <c r="F30" i="5"/>
  <c r="F31" i="5" s="1"/>
  <c r="E30" i="5"/>
  <c r="E31" i="5" s="1"/>
  <c r="D30" i="5"/>
  <c r="D31" i="5" s="1"/>
  <c r="C30" i="5"/>
  <c r="C31" i="5" s="1"/>
  <c r="B64" i="5" s="1"/>
  <c r="F26" i="5"/>
  <c r="E26" i="5"/>
  <c r="D26" i="5"/>
  <c r="C26" i="5"/>
  <c r="B26" i="5"/>
  <c r="F24" i="5"/>
  <c r="E24" i="5"/>
  <c r="D24" i="5"/>
  <c r="C24" i="5"/>
  <c r="B24" i="5"/>
  <c r="B62" i="5" s="1"/>
  <c r="F21" i="5"/>
  <c r="E21" i="5"/>
  <c r="D21" i="5"/>
  <c r="C21" i="5"/>
  <c r="B21" i="5"/>
  <c r="F19" i="5"/>
  <c r="E19" i="5"/>
  <c r="D19" i="5"/>
  <c r="C19" i="5"/>
  <c r="B19" i="5"/>
  <c r="F17" i="5"/>
  <c r="E17" i="5"/>
  <c r="D17" i="5"/>
  <c r="C17" i="5"/>
  <c r="B17" i="5"/>
  <c r="F15" i="5"/>
  <c r="E15" i="5"/>
  <c r="D15" i="5"/>
  <c r="C15" i="5"/>
  <c r="B106" i="4"/>
  <c r="G14" i="9" s="1"/>
  <c r="B94" i="4"/>
  <c r="C99" i="4" s="1"/>
  <c r="B93" i="4"/>
  <c r="C98" i="4" s="1"/>
  <c r="B92" i="4"/>
  <c r="C97" i="4" s="1"/>
  <c r="D88" i="4"/>
  <c r="C88" i="4"/>
  <c r="B88" i="4"/>
  <c r="D87" i="4"/>
  <c r="C87" i="4"/>
  <c r="B87" i="4"/>
  <c r="D86" i="4"/>
  <c r="C86" i="4"/>
  <c r="B86" i="4"/>
  <c r="D85" i="4"/>
  <c r="C85" i="4"/>
  <c r="B85" i="4"/>
  <c r="B89" i="4" s="1"/>
  <c r="B97" i="4" s="1"/>
  <c r="D97" i="4" s="1"/>
  <c r="B79" i="4"/>
  <c r="B77" i="4"/>
  <c r="B76" i="4"/>
  <c r="B55" i="4"/>
  <c r="B50" i="4"/>
  <c r="B46" i="4"/>
  <c r="B45" i="4"/>
  <c r="B47" i="4" s="1"/>
  <c r="B43" i="4"/>
  <c r="B42" i="4"/>
  <c r="B38" i="4"/>
  <c r="F30" i="4"/>
  <c r="F31" i="4" s="1"/>
  <c r="E30" i="4"/>
  <c r="E31" i="4" s="1"/>
  <c r="D30" i="4"/>
  <c r="D31" i="4" s="1"/>
  <c r="C30" i="4"/>
  <c r="C31" i="4" s="1"/>
  <c r="F26" i="4"/>
  <c r="E26" i="4"/>
  <c r="D26" i="4"/>
  <c r="C26" i="4"/>
  <c r="B26" i="4"/>
  <c r="B60" i="4" s="1"/>
  <c r="F24" i="4"/>
  <c r="E24" i="4"/>
  <c r="D24" i="4"/>
  <c r="C24" i="4"/>
  <c r="B24" i="4"/>
  <c r="F21" i="4"/>
  <c r="E21" i="4"/>
  <c r="D21" i="4"/>
  <c r="C21" i="4"/>
  <c r="B21" i="4"/>
  <c r="F19" i="4"/>
  <c r="E19" i="4"/>
  <c r="D19" i="4"/>
  <c r="C19" i="4"/>
  <c r="B19" i="4"/>
  <c r="F17" i="4"/>
  <c r="E17" i="4"/>
  <c r="D17" i="4"/>
  <c r="C17" i="4"/>
  <c r="B17" i="4"/>
  <c r="F15" i="4"/>
  <c r="E15" i="4"/>
  <c r="D15" i="4"/>
  <c r="C15" i="4"/>
  <c r="B106" i="3"/>
  <c r="G13" i="9" s="1"/>
  <c r="B94" i="3"/>
  <c r="C99" i="3" s="1"/>
  <c r="B93" i="3"/>
  <c r="C98" i="3" s="1"/>
  <c r="B92" i="3"/>
  <c r="C97" i="3" s="1"/>
  <c r="D88" i="3"/>
  <c r="C88" i="3"/>
  <c r="B88" i="3"/>
  <c r="D87" i="3"/>
  <c r="C87" i="3"/>
  <c r="B87" i="3"/>
  <c r="D86" i="3"/>
  <c r="C86" i="3"/>
  <c r="B86" i="3"/>
  <c r="D85" i="3"/>
  <c r="C85" i="3"/>
  <c r="B85" i="3"/>
  <c r="B89" i="3" s="1"/>
  <c r="B97" i="3" s="1"/>
  <c r="D97" i="3" s="1"/>
  <c r="B79" i="3"/>
  <c r="B77" i="3"/>
  <c r="B76" i="3"/>
  <c r="B55" i="3"/>
  <c r="B50" i="3"/>
  <c r="B46" i="3"/>
  <c r="B45" i="3"/>
  <c r="B43" i="3"/>
  <c r="B42" i="3"/>
  <c r="B44" i="3" s="1"/>
  <c r="B38" i="3"/>
  <c r="F30" i="3"/>
  <c r="F31" i="3" s="1"/>
  <c r="E30" i="3"/>
  <c r="E31" i="3" s="1"/>
  <c r="D30" i="3"/>
  <c r="D31" i="3" s="1"/>
  <c r="C30" i="3"/>
  <c r="C31" i="3" s="1"/>
  <c r="B64" i="3" s="1"/>
  <c r="F26" i="3"/>
  <c r="E26" i="3"/>
  <c r="D26" i="3"/>
  <c r="C26" i="3"/>
  <c r="B26" i="3"/>
  <c r="B60" i="3" s="1"/>
  <c r="D60" i="3" s="1"/>
  <c r="F24" i="3"/>
  <c r="E24" i="3"/>
  <c r="D24" i="3"/>
  <c r="C24" i="3"/>
  <c r="B24" i="3"/>
  <c r="F21" i="3"/>
  <c r="E21" i="3"/>
  <c r="D21" i="3"/>
  <c r="C21" i="3"/>
  <c r="B21" i="3"/>
  <c r="F19" i="3"/>
  <c r="E19" i="3"/>
  <c r="D19" i="3"/>
  <c r="C19" i="3"/>
  <c r="B19" i="3"/>
  <c r="F17" i="3"/>
  <c r="E17" i="3"/>
  <c r="D17" i="3"/>
  <c r="C17" i="3"/>
  <c r="B17" i="3"/>
  <c r="F15" i="3"/>
  <c r="E15" i="3"/>
  <c r="D15" i="3"/>
  <c r="C15" i="3"/>
  <c r="B106" i="2"/>
  <c r="G12" i="9" s="1"/>
  <c r="B94" i="2"/>
  <c r="C99" i="2" s="1"/>
  <c r="B93" i="2"/>
  <c r="C98" i="2" s="1"/>
  <c r="B92" i="2"/>
  <c r="C97" i="2" s="1"/>
  <c r="D88" i="2"/>
  <c r="C88" i="2"/>
  <c r="B88" i="2"/>
  <c r="D87" i="2"/>
  <c r="C87" i="2"/>
  <c r="B87" i="2"/>
  <c r="D86" i="2"/>
  <c r="C86" i="2"/>
  <c r="B86" i="2"/>
  <c r="D85" i="2"/>
  <c r="D89" i="2" s="1"/>
  <c r="B99" i="2" s="1"/>
  <c r="C85" i="2"/>
  <c r="C89" i="2" s="1"/>
  <c r="B98" i="2" s="1"/>
  <c r="D98" i="2" s="1"/>
  <c r="B85" i="2"/>
  <c r="B89" i="2" s="1"/>
  <c r="B97" i="2" s="1"/>
  <c r="D97" i="2" s="1"/>
  <c r="B79" i="2"/>
  <c r="B77" i="2"/>
  <c r="B76" i="2"/>
  <c r="F64" i="2"/>
  <c r="E64" i="2"/>
  <c r="D64" i="2"/>
  <c r="C64" i="2"/>
  <c r="B55" i="2"/>
  <c r="B50" i="2"/>
  <c r="B46" i="2"/>
  <c r="B45" i="2"/>
  <c r="B47" i="2" s="1"/>
  <c r="B43" i="2"/>
  <c r="B42" i="2"/>
  <c r="B44" i="2" s="1"/>
  <c r="B38" i="2"/>
  <c r="F30" i="2"/>
  <c r="F31" i="2" s="1"/>
  <c r="E30" i="2"/>
  <c r="E31" i="2" s="1"/>
  <c r="D30" i="2"/>
  <c r="D31" i="2" s="1"/>
  <c r="C30" i="2"/>
  <c r="C31" i="2" s="1"/>
  <c r="F26" i="2"/>
  <c r="E26" i="2"/>
  <c r="D26" i="2"/>
  <c r="C26" i="2"/>
  <c r="B26" i="2"/>
  <c r="F24" i="2"/>
  <c r="E24" i="2"/>
  <c r="D24" i="2"/>
  <c r="C24" i="2"/>
  <c r="B24" i="2"/>
  <c r="B62" i="2" s="1"/>
  <c r="D62" i="2" s="1"/>
  <c r="F21" i="2"/>
  <c r="E21" i="2"/>
  <c r="D21" i="2"/>
  <c r="C21" i="2"/>
  <c r="B21" i="2"/>
  <c r="F19" i="2"/>
  <c r="E19" i="2"/>
  <c r="D19" i="2"/>
  <c r="C19" i="2"/>
  <c r="B19" i="2"/>
  <c r="F17" i="2"/>
  <c r="E17" i="2"/>
  <c r="D17" i="2"/>
  <c r="C17" i="2"/>
  <c r="B17" i="2"/>
  <c r="F15" i="2"/>
  <c r="E15" i="2"/>
  <c r="D15" i="2"/>
  <c r="C15" i="2"/>
  <c r="B7" i="1"/>
  <c r="B40" i="5" l="1"/>
  <c r="B40" i="2"/>
  <c r="B56" i="2"/>
  <c r="B60" i="2"/>
  <c r="F60" i="2" s="1"/>
  <c r="B48" i="2"/>
  <c r="B65" i="2"/>
  <c r="C55" i="2"/>
  <c r="B56" i="3"/>
  <c r="B62" i="3"/>
  <c r="C89" i="3"/>
  <c r="B98" i="3" s="1"/>
  <c r="D98" i="3" s="1"/>
  <c r="D89" i="3"/>
  <c r="B99" i="3" s="1"/>
  <c r="D99" i="3" s="1"/>
  <c r="B56" i="4"/>
  <c r="E56" i="4" s="1"/>
  <c r="B62" i="4"/>
  <c r="B48" i="4"/>
  <c r="B63" i="4"/>
  <c r="C89" i="4"/>
  <c r="B98" i="4" s="1"/>
  <c r="B56" i="5"/>
  <c r="B60" i="5"/>
  <c r="F60" i="5" s="1"/>
  <c r="B48" i="5"/>
  <c r="C2513" i="6"/>
  <c r="F2489" i="6"/>
  <c r="F2490" i="6" s="1"/>
  <c r="B2534" i="6" s="1"/>
  <c r="B35" i="9" s="1"/>
  <c r="F2491" i="6"/>
  <c r="F2492" i="6" s="1"/>
  <c r="D2498" i="6"/>
  <c r="D2489" i="6"/>
  <c r="D2490" i="6" s="1"/>
  <c r="B2520" i="6" s="1"/>
  <c r="B2489" i="6"/>
  <c r="B2490" i="6" s="1"/>
  <c r="D2496" i="6"/>
  <c r="B57" i="2"/>
  <c r="E56" i="2"/>
  <c r="D56" i="2"/>
  <c r="C56" i="2"/>
  <c r="C57" i="2" s="1"/>
  <c r="F56" i="2"/>
  <c r="F62" i="3"/>
  <c r="E62" i="3"/>
  <c r="D62" i="3"/>
  <c r="C62" i="3"/>
  <c r="B57" i="5"/>
  <c r="F56" i="5"/>
  <c r="E56" i="5"/>
  <c r="D56" i="5"/>
  <c r="C56" i="5"/>
  <c r="B63" i="2"/>
  <c r="E60" i="4"/>
  <c r="F60" i="4"/>
  <c r="D60" i="4"/>
  <c r="C60" i="4"/>
  <c r="B63" i="5"/>
  <c r="B40" i="4"/>
  <c r="B40" i="3"/>
  <c r="C65" i="2"/>
  <c r="D55" i="2"/>
  <c r="D99" i="2"/>
  <c r="D100" i="2" s="1"/>
  <c r="B104" i="2" s="1"/>
  <c r="E12" i="9" s="1"/>
  <c r="C60" i="3"/>
  <c r="F60" i="3"/>
  <c r="E60" i="3"/>
  <c r="B65" i="3"/>
  <c r="D89" i="5"/>
  <c r="B98" i="5" s="1"/>
  <c r="D98" i="5" s="1"/>
  <c r="D89" i="4"/>
  <c r="B99" i="4" s="1"/>
  <c r="D99" i="4" s="1"/>
  <c r="B61" i="4"/>
  <c r="B57" i="4"/>
  <c r="C55" i="4"/>
  <c r="D2504" i="6"/>
  <c r="B44" i="4"/>
  <c r="D98" i="4"/>
  <c r="D100" i="4" s="1"/>
  <c r="B104" i="4" s="1"/>
  <c r="E14" i="9" s="1"/>
  <c r="B2518" i="6"/>
  <c r="D2518" i="6" s="1"/>
  <c r="C62" i="2"/>
  <c r="C63" i="2" s="1"/>
  <c r="F62" i="2"/>
  <c r="E62" i="2"/>
  <c r="E60" i="2"/>
  <c r="D60" i="2"/>
  <c r="C60" i="2"/>
  <c r="C61" i="2" s="1"/>
  <c r="F62" i="4"/>
  <c r="E62" i="4"/>
  <c r="D62" i="4"/>
  <c r="C62" i="4"/>
  <c r="B64" i="4"/>
  <c r="C2504" i="6"/>
  <c r="F56" i="3"/>
  <c r="D56" i="3"/>
  <c r="E56" i="3"/>
  <c r="C56" i="3"/>
  <c r="F64" i="3"/>
  <c r="E64" i="3"/>
  <c r="D64" i="3"/>
  <c r="C64" i="3"/>
  <c r="D56" i="4"/>
  <c r="C56" i="4"/>
  <c r="F56" i="4"/>
  <c r="C62" i="5"/>
  <c r="F62" i="5"/>
  <c r="E62" i="5"/>
  <c r="E60" i="5"/>
  <c r="D60" i="5"/>
  <c r="C60" i="5"/>
  <c r="D62" i="5"/>
  <c r="B48" i="3"/>
  <c r="B47" i="3"/>
  <c r="B65" i="5"/>
  <c r="F64" i="5"/>
  <c r="E64" i="5"/>
  <c r="D64" i="5"/>
  <c r="C64" i="5"/>
  <c r="C65" i="5" s="1"/>
  <c r="D99" i="5"/>
  <c r="B103" i="5" s="1"/>
  <c r="E15" i="9" s="1"/>
  <c r="B2514" i="6"/>
  <c r="C2506" i="6"/>
  <c r="C2499" i="6"/>
  <c r="B2506" i="6"/>
  <c r="B2499" i="6"/>
  <c r="E2491" i="6"/>
  <c r="E2492" i="6" s="1"/>
  <c r="C2521" i="6" s="1"/>
  <c r="C23" i="9" s="1"/>
  <c r="D2499" i="6"/>
  <c r="C2514" i="6"/>
  <c r="E2506" i="6"/>
  <c r="E2499" i="6"/>
  <c r="E2489" i="6"/>
  <c r="E2490" i="6" s="1"/>
  <c r="B2521" i="6" s="1"/>
  <c r="D2521" i="6" s="1"/>
  <c r="D2506" i="6"/>
  <c r="D2497" i="6"/>
  <c r="B61" i="2"/>
  <c r="B61" i="5"/>
  <c r="C2491" i="6"/>
  <c r="C2492" i="6" s="1"/>
  <c r="C2519" i="6" s="1"/>
  <c r="C21" i="9" s="1"/>
  <c r="E2497" i="6"/>
  <c r="E2504" i="6"/>
  <c r="C61" i="5"/>
  <c r="D2491" i="6"/>
  <c r="D2492" i="6" s="1"/>
  <c r="C2520" i="6" s="1"/>
  <c r="C22" i="9" s="1"/>
  <c r="B2496" i="6"/>
  <c r="B2498" i="6"/>
  <c r="B2503" i="6"/>
  <c r="B2505" i="6"/>
  <c r="B2511" i="6"/>
  <c r="B61" i="3"/>
  <c r="C2496" i="6"/>
  <c r="C2498" i="6"/>
  <c r="C2503" i="6"/>
  <c r="C2505" i="6"/>
  <c r="C2511" i="6"/>
  <c r="D2503" i="6"/>
  <c r="D2505" i="6"/>
  <c r="B2512" i="6"/>
  <c r="B63" i="3"/>
  <c r="D55" i="5"/>
  <c r="E2496" i="6"/>
  <c r="E2498" i="6"/>
  <c r="E2503" i="6"/>
  <c r="E2505" i="6"/>
  <c r="C2512" i="6"/>
  <c r="C63" i="5"/>
  <c r="C55" i="3"/>
  <c r="C57" i="5"/>
  <c r="B2497" i="6"/>
  <c r="B2504" i="6"/>
  <c r="B2513" i="6"/>
  <c r="B57" i="3"/>
  <c r="C2489" i="6"/>
  <c r="C2490" i="6" s="1"/>
  <c r="B2519" i="6" s="1"/>
  <c r="D2519" i="6" s="1"/>
  <c r="C2497" i="6"/>
  <c r="B22" i="9" l="1"/>
  <c r="D2520" i="6"/>
  <c r="D100" i="3"/>
  <c r="B104" i="3" s="1"/>
  <c r="E13" i="9" s="1"/>
  <c r="C58" i="2"/>
  <c r="C59" i="2"/>
  <c r="C66" i="2" s="1"/>
  <c r="D21" i="9"/>
  <c r="B39" i="3"/>
  <c r="B39" i="2"/>
  <c r="D20" i="9"/>
  <c r="B2533" i="6"/>
  <c r="B34" i="9" s="1"/>
  <c r="B39" i="5"/>
  <c r="D23" i="9"/>
  <c r="D64" i="4"/>
  <c r="C64" i="4"/>
  <c r="F64" i="4"/>
  <c r="E64" i="4"/>
  <c r="B58" i="3"/>
  <c r="B59" i="3"/>
  <c r="B66" i="3" s="1"/>
  <c r="B23" i="9"/>
  <c r="E23" i="9"/>
  <c r="B21" i="9"/>
  <c r="E21" i="9"/>
  <c r="C61" i="4"/>
  <c r="C65" i="4"/>
  <c r="C57" i="4"/>
  <c r="D55" i="4"/>
  <c r="C63" i="4"/>
  <c r="D57" i="2"/>
  <c r="D65" i="2"/>
  <c r="E55" i="2"/>
  <c r="D63" i="2"/>
  <c r="D61" i="2"/>
  <c r="D22" i="9"/>
  <c r="B39" i="4"/>
  <c r="B2529" i="6"/>
  <c r="B2530" i="6" s="1"/>
  <c r="B31" i="9" s="1"/>
  <c r="B20" i="9"/>
  <c r="E20" i="9"/>
  <c r="B58" i="4"/>
  <c r="B59" i="4" s="1"/>
  <c r="B58" i="5"/>
  <c r="B59" i="5" s="1"/>
  <c r="B66" i="5" s="1"/>
  <c r="D55" i="3"/>
  <c r="C63" i="3"/>
  <c r="C61" i="3"/>
  <c r="C57" i="3"/>
  <c r="C65" i="3"/>
  <c r="C58" i="5"/>
  <c r="C59" i="5"/>
  <c r="C66" i="5" s="1"/>
  <c r="D65" i="5"/>
  <c r="D57" i="5"/>
  <c r="E55" i="5"/>
  <c r="D63" i="5"/>
  <c r="D61" i="5"/>
  <c r="E22" i="9"/>
  <c r="B2528" i="6"/>
  <c r="B65" i="4"/>
  <c r="B58" i="2"/>
  <c r="B59" i="2" s="1"/>
  <c r="B66" i="2" s="1"/>
  <c r="B66" i="4" l="1"/>
  <c r="C58" i="4"/>
  <c r="C59" i="4" s="1"/>
  <c r="C66" i="4" s="1"/>
  <c r="D58" i="5"/>
  <c r="D59" i="5"/>
  <c r="D66" i="5" s="1"/>
  <c r="C14" i="9"/>
  <c r="B41" i="4"/>
  <c r="B49" i="4" s="1"/>
  <c r="C15" i="9"/>
  <c r="B41" i="5"/>
  <c r="B49" i="5" s="1"/>
  <c r="D63" i="3"/>
  <c r="D61" i="3"/>
  <c r="D65" i="3"/>
  <c r="D57" i="3"/>
  <c r="E55" i="3"/>
  <c r="D65" i="4"/>
  <c r="D57" i="4"/>
  <c r="E55" i="4"/>
  <c r="D63" i="4"/>
  <c r="D61" i="4"/>
  <c r="B2536" i="6"/>
  <c r="B37" i="9" s="1"/>
  <c r="B2535" i="6"/>
  <c r="B36" i="9" s="1"/>
  <c r="B2532" i="6"/>
  <c r="B33" i="9" s="1"/>
  <c r="B30" i="9"/>
  <c r="C12" i="9"/>
  <c r="B41" i="2"/>
  <c r="B49" i="2" s="1"/>
  <c r="E65" i="2"/>
  <c r="F55" i="2"/>
  <c r="E63" i="2"/>
  <c r="E61" i="2"/>
  <c r="E57" i="2"/>
  <c r="C13" i="9"/>
  <c r="B41" i="3"/>
  <c r="B49" i="3" s="1"/>
  <c r="D58" i="2"/>
  <c r="D59" i="2" s="1"/>
  <c r="D66" i="2" s="1"/>
  <c r="C58" i="3"/>
  <c r="C59" i="3"/>
  <c r="C66" i="3" s="1"/>
  <c r="F55" i="5"/>
  <c r="E63" i="5"/>
  <c r="E61" i="5"/>
  <c r="E57" i="5"/>
  <c r="E65" i="5"/>
  <c r="F63" i="2" l="1"/>
  <c r="F61" i="2"/>
  <c r="F57" i="2"/>
  <c r="F65" i="2"/>
  <c r="E58" i="5"/>
  <c r="E59" i="5"/>
  <c r="E66" i="5" s="1"/>
  <c r="E68" i="3"/>
  <c r="F68" i="3"/>
  <c r="B13" i="9"/>
  <c r="D68" i="3"/>
  <c r="C68" i="3"/>
  <c r="C69" i="3" s="1"/>
  <c r="B68" i="3"/>
  <c r="B69" i="3" s="1"/>
  <c r="C68" i="2"/>
  <c r="C69" i="2" s="1"/>
  <c r="B68" i="2"/>
  <c r="B69" i="2" s="1"/>
  <c r="B12" i="9"/>
  <c r="F68" i="2"/>
  <c r="E68" i="2"/>
  <c r="D68" i="2"/>
  <c r="D69" i="2" s="1"/>
  <c r="F55" i="4"/>
  <c r="E65" i="4"/>
  <c r="E57" i="4"/>
  <c r="E63" i="4"/>
  <c r="E61" i="4"/>
  <c r="B68" i="5"/>
  <c r="B69" i="5" s="1"/>
  <c r="B15" i="9"/>
  <c r="F68" i="5"/>
  <c r="E68" i="5"/>
  <c r="D68" i="5"/>
  <c r="C68" i="5"/>
  <c r="C69" i="5" s="1"/>
  <c r="D69" i="5"/>
  <c r="F63" i="5"/>
  <c r="F61" i="5"/>
  <c r="F65" i="5"/>
  <c r="F57" i="5"/>
  <c r="E58" i="2"/>
  <c r="E59" i="2"/>
  <c r="E66" i="2" s="1"/>
  <c r="D58" i="3"/>
  <c r="D59" i="3" s="1"/>
  <c r="D66" i="3" s="1"/>
  <c r="D58" i="4"/>
  <c r="D59" i="4" s="1"/>
  <c r="D66" i="4" s="1"/>
  <c r="E61" i="3"/>
  <c r="E65" i="3"/>
  <c r="E57" i="3"/>
  <c r="F55" i="3"/>
  <c r="E63" i="3"/>
  <c r="E68" i="4"/>
  <c r="D68" i="4"/>
  <c r="B68" i="4"/>
  <c r="B69" i="4" s="1"/>
  <c r="C68" i="4"/>
  <c r="C69" i="4" s="1"/>
  <c r="B14" i="9"/>
  <c r="F68" i="4"/>
  <c r="D69" i="3" l="1"/>
  <c r="E69" i="5"/>
  <c r="E69" i="2"/>
  <c r="F65" i="4"/>
  <c r="F57" i="4"/>
  <c r="F63" i="4"/>
  <c r="F61" i="4"/>
  <c r="F58" i="2"/>
  <c r="F59" i="2"/>
  <c r="F66" i="2" s="1"/>
  <c r="F58" i="5"/>
  <c r="F59" i="5" s="1"/>
  <c r="F66" i="5" s="1"/>
  <c r="F61" i="3"/>
  <c r="F65" i="3"/>
  <c r="F57" i="3"/>
  <c r="F63" i="3"/>
  <c r="E58" i="4"/>
  <c r="E59" i="4" s="1"/>
  <c r="E66" i="4" s="1"/>
  <c r="E69" i="4" s="1"/>
  <c r="D69" i="4"/>
  <c r="E58" i="3"/>
  <c r="E59" i="3"/>
  <c r="E66" i="3" s="1"/>
  <c r="E69" i="3" s="1"/>
  <c r="F71" i="5" l="1"/>
  <c r="F72" i="5" s="1"/>
  <c r="B74" i="5" s="1"/>
  <c r="F69" i="5"/>
  <c r="B73" i="5" s="1"/>
  <c r="F69" i="2"/>
  <c r="B73" i="2" s="1"/>
  <c r="F71" i="2"/>
  <c r="F72" i="2" s="1"/>
  <c r="B74" i="2" s="1"/>
  <c r="F58" i="3"/>
  <c r="F59" i="3" s="1"/>
  <c r="F66" i="3" s="1"/>
  <c r="F58" i="4"/>
  <c r="F59" i="4"/>
  <c r="F66" i="4" s="1"/>
  <c r="B75" i="5" l="1"/>
  <c r="B78" i="5" s="1"/>
  <c r="B80" i="5" s="1"/>
  <c r="B102" i="5" s="1"/>
  <c r="D15" i="9" s="1"/>
  <c r="F71" i="3"/>
  <c r="F72" i="3" s="1"/>
  <c r="B74" i="3" s="1"/>
  <c r="F69" i="3"/>
  <c r="B73" i="3" s="1"/>
  <c r="B75" i="2"/>
  <c r="B78" i="2" s="1"/>
  <c r="B80" i="2" s="1"/>
  <c r="B103" i="2" s="1"/>
  <c r="F71" i="4"/>
  <c r="F72" i="4" s="1"/>
  <c r="B74" i="4" s="1"/>
  <c r="F69" i="4"/>
  <c r="B73" i="4" s="1"/>
  <c r="B104" i="5" l="1"/>
  <c r="B106" i="5" s="1"/>
  <c r="H15" i="9" s="1"/>
  <c r="B75" i="4"/>
  <c r="B78" i="4" s="1"/>
  <c r="B80" i="4" s="1"/>
  <c r="B103" i="4" s="1"/>
  <c r="B105" i="4" s="1"/>
  <c r="D12" i="9"/>
  <c r="B105" i="2"/>
  <c r="B75" i="3"/>
  <c r="B78" i="3" s="1"/>
  <c r="B80" i="3" s="1"/>
  <c r="B103" i="3" s="1"/>
  <c r="D14" i="9" l="1"/>
  <c r="F15" i="9"/>
  <c r="D13" i="9"/>
  <c r="B105" i="3"/>
  <c r="F12" i="9"/>
  <c r="B107" i="2"/>
  <c r="H12" i="9" s="1"/>
  <c r="F14" i="9"/>
  <c r="B107" i="4"/>
  <c r="H14" i="9" s="1"/>
  <c r="F13" i="9" l="1"/>
  <c r="B107" i="3"/>
  <c r="H13" i="9" s="1"/>
</calcChain>
</file>

<file path=xl/sharedStrings.xml><?xml version="1.0" encoding="utf-8"?>
<sst xmlns="http://schemas.openxmlformats.org/spreadsheetml/2006/main" count="811" uniqueCount="346">
  <si>
    <t>Economic &amp; Industry Inputs</t>
  </si>
  <si>
    <t xml:space="preserve">1. Macroeconomic Assumptions </t>
  </si>
  <si>
    <t>Parameter</t>
  </si>
  <si>
    <t>Value</t>
  </si>
  <si>
    <t xml:space="preserve">Source </t>
  </si>
  <si>
    <t>Risk-Free Rate (India 10Y G-Sec yield)</t>
  </si>
  <si>
    <t>https://www.worldgovernmentbonds.com</t>
  </si>
  <si>
    <t>Expected Market Return (Nifty 50, long-run)</t>
  </si>
  <si>
    <t>http://niftyindices.com/market-data/return-profile</t>
  </si>
  <si>
    <t>Equity Risk Premium (ERP)</t>
  </si>
  <si>
    <t>Corporate Tax Rate (domestic co., concessional 115BAA + cess)</t>
  </si>
  <si>
    <t xml:space="preserve">25.17% concessional corporate tax rate for Indian domestic companies opting u/s 115BAA, </t>
  </si>
  <si>
    <t>CPI Inflation (YoY, latest)</t>
  </si>
  <si>
    <t xml:space="preserve">All-India CPI inflation, July 2026 = 4.45% </t>
  </si>
  <si>
    <t>Long-Term Nominal GDP Growth (proxy for terminal growth 'g')</t>
  </si>
  <si>
    <t>Conservative, FY 2025-26 is estimated at 7.6%</t>
  </si>
  <si>
    <t>RBI Repo Rate</t>
  </si>
  <si>
    <t>RBI policy repo rate, Aug 2026 review = 5.25%.</t>
  </si>
  <si>
    <t xml:space="preserve">2. Economy &amp; Industry Analysis </t>
  </si>
  <si>
    <t>Sector</t>
  </si>
  <si>
    <t>Analysis Category</t>
  </si>
  <si>
    <t>Factors</t>
  </si>
  <si>
    <t>Automobile (M&amp;M)</t>
  </si>
  <si>
    <t>Macroeconomic Factors</t>
  </si>
  <si>
    <t>GDP growth outlook, interest rate cycle, rural income &amp; monsoon (affects tractor demand), fuel prices, consumer sentiment.</t>
  </si>
  <si>
    <t>Industry-Specific Dynamics</t>
  </si>
  <si>
    <t>domestic PV/SUV/tractor demand outlook, EV transition &amp; charging infrastructure, competitive intensity, export markets, input costs (steel/commodities).</t>
  </si>
  <si>
    <t>Regulatory &amp; Competitive Landscape</t>
  </si>
  <si>
    <t>emission norms (BS-VII/CAFE), EV policy &amp; PLI incentives, import duties, safety regulations (Bharat NCAP), key competitors' market share moves.</t>
  </si>
  <si>
    <t>IT Services (Coforge)</t>
  </si>
  <si>
    <t>US/Europe GDP growth &amp; recession risk, USD/INR currency movement, global IT/BPM spending cycle.</t>
  </si>
  <si>
    <t>deal pipeline &amp; TCV wins, GenAI disruption to services pricing, attrition &amp; wage inflation, vertical mix (BFSI, travel, insurance, manufacturing).</t>
  </si>
  <si>
    <t>US H-1B visa policy &amp; immigration rules, data privacy regulations (GDPR), outsourcing/onshoring policy shifts, competitor pricing pressure.</t>
  </si>
  <si>
    <t>Pharmaceuticals (Dr. Reddy's)</t>
  </si>
  <si>
    <t>US healthcare policy direction, USD/INR currency, global generic drug pricing trends.</t>
  </si>
  <si>
    <t>US generics pricing pressure &amp; Para IV pipeline, biosimilars launches, domestic formulations growth, R&amp;D pipeline &amp; new launches.</t>
  </si>
  <si>
    <t>USFDA plant inspections/warning letters, patent cliffs &amp; exclusivity windows, India drug pricing controls (NPPA/DPCO).</t>
  </si>
  <si>
    <t>FMCG (Britannia)</t>
  </si>
  <si>
    <t>rural vs urban demand recovery, CPI/input cost inflation, consumer disposable income trends.</t>
  </si>
  <si>
    <t>premiumisation trend, rural distribution reach, private-label competition, e-commerce/quick-commerce channel shift, input costs (wheat/palm oil/sugar).</t>
  </si>
  <si>
    <t>GST rate changes on packaged food, FSSAI labeling norms, agri-commodity price regulation, competitor pricing moves.</t>
  </si>
  <si>
    <t>Mahindra &amp; Mahindra Ltd. (Automobile) - Fundamental Analysis &amp; Valuation</t>
  </si>
  <si>
    <t>1. Company Background</t>
  </si>
  <si>
    <t>Sector / Industry</t>
  </si>
  <si>
    <t xml:space="preserve">Automobile - Passenger Vehicles, SUVs, Commercial Vehicles, Tractors &amp; Farm Equipment </t>
  </si>
  <si>
    <t xml:space="preserve">Business Description </t>
  </si>
  <si>
    <t>Mahindra &amp; Mahindra Limited operates in nine segments. The automotive segment includes sales of automobiles, spare parts and related services. Farm equipment segment includes sales of tractors, spare parts and related services; information technology (IT) services, which consists of services rendered for IT and telecom; financial services includes services relating to financing, leasing and hire purchase of automobiles and tractors; steel trading and processing includes trading and processing of steel; infrastructure includes operating of commercial complexes, project management and development; hospitality segment includes sale of timeshare; Systech segment includes automotive components and other related products and services, and its others segment includes logistics, after-market, two wheelers and investment.</t>
  </si>
  <si>
    <t>Year of Incorporation</t>
  </si>
  <si>
    <t>1945 (incorporated as Mahindra &amp; Mohammed; renamed Mahindra &amp; Mahindra in 1948)</t>
  </si>
  <si>
    <t>Stock Exchange / Ticker (NSE/BSE)</t>
  </si>
  <si>
    <t>NSE: M&amp;M | BSE: 500520</t>
  </si>
  <si>
    <t>Key Business Segments / Products</t>
  </si>
  <si>
    <t>Automotive (SUVs, LCVs, EVs), Farm Equipment (tractors), Financial Services (Mahindra Finance), IT Services (Tech Mahindra), plus Growth Gems (real estate, hospitality, logistics, aerospace)</t>
  </si>
  <si>
    <t>Promoter Holding % (latest)</t>
  </si>
  <si>
    <t>18.4% (as of Jun 2026)</t>
  </si>
  <si>
    <t>2. Historical Financial Analysis  (₹ in Crore, unless noted)</t>
  </si>
  <si>
    <t>Particulars</t>
  </si>
  <si>
    <t>FY22</t>
  </si>
  <si>
    <t>FY23</t>
  </si>
  <si>
    <t>FY24</t>
  </si>
  <si>
    <t>FY25</t>
  </si>
  <si>
    <t>FY26</t>
  </si>
  <si>
    <t>Net Revenue / Sales</t>
  </si>
  <si>
    <t>Revenue Growth % (YoY)</t>
  </si>
  <si>
    <t>EBITDA</t>
  </si>
  <si>
    <t>EBITDA Margin %</t>
  </si>
  <si>
    <t>EBIT / Operating Profit</t>
  </si>
  <si>
    <t>EBIT Margin %</t>
  </si>
  <si>
    <t>Net Profit / PAT</t>
  </si>
  <si>
    <t>Net Profit Margin %</t>
  </si>
  <si>
    <t>EPS (₹)</t>
  </si>
  <si>
    <t>CapEx</t>
  </si>
  <si>
    <t>CapEx as a % of Revenue</t>
  </si>
  <si>
    <t>Depreciation &amp; Amortisation</t>
  </si>
  <si>
    <t>Depreciation as a % of Revenue</t>
  </si>
  <si>
    <t>Finance Cost</t>
  </si>
  <si>
    <t>Total Debt</t>
  </si>
  <si>
    <t>Net Working Capital</t>
  </si>
  <si>
    <t>Δ NWC</t>
  </si>
  <si>
    <t>Δ NWC as % of Revenue</t>
  </si>
  <si>
    <t>Cash &amp; Cash Equivalents</t>
  </si>
  <si>
    <t>Net Worth / Shareholders' Equity</t>
  </si>
  <si>
    <t>Shares Outstanding (Crore)</t>
  </si>
  <si>
    <t>Market Price per Share (31-Aug-2026)</t>
  </si>
  <si>
    <t>3. Valuation Assumptions (WACC build-up)</t>
  </si>
  <si>
    <t>Risk-Free Rate (Rf)</t>
  </si>
  <si>
    <t>Beta (5Y)</t>
  </si>
  <si>
    <t xml:space="preserve">Cost of Equity </t>
  </si>
  <si>
    <t>Pre-tax Cost of Debt (Kd)</t>
  </si>
  <si>
    <t>Tax Rate (t)</t>
  </si>
  <si>
    <t>After-tax Cost of Debt</t>
  </si>
  <si>
    <t xml:space="preserve">Market Value of Equity (E) </t>
  </si>
  <si>
    <t xml:space="preserve">Market Value of Debt (D) </t>
  </si>
  <si>
    <t>Weight of Equity (We)</t>
  </si>
  <si>
    <t>Weight of Debt (Wd)</t>
  </si>
  <si>
    <t>WACC</t>
  </si>
  <si>
    <t>Terminal Growth Rate (g)</t>
  </si>
  <si>
    <t>4. DCF Valuation - Free Cash Flow to Firm (FCFF) Method  (₹ in Crore)</t>
  </si>
  <si>
    <t>FY27E</t>
  </si>
  <si>
    <t>FY28E</t>
  </si>
  <si>
    <t>FY29E</t>
  </si>
  <si>
    <t>FY30E</t>
  </si>
  <si>
    <t>FY31E</t>
  </si>
  <si>
    <t>Assumptions</t>
  </si>
  <si>
    <t xml:space="preserve">Revenue Growth % </t>
  </si>
  <si>
    <t>15% in line with earnings call, conservative to the average of 22%</t>
  </si>
  <si>
    <t>Revenue</t>
  </si>
  <si>
    <t>EBIT Margin % (assumption)</t>
  </si>
  <si>
    <t>average</t>
  </si>
  <si>
    <t>EBIT</t>
  </si>
  <si>
    <t>Less: Tax on EBIT @ t</t>
  </si>
  <si>
    <t>NOPAT</t>
  </si>
  <si>
    <t xml:space="preserve">Add: D&amp;A as % of Revenue </t>
  </si>
  <si>
    <t xml:space="preserve">D&amp;A </t>
  </si>
  <si>
    <t xml:space="preserve">Less: CapEx as % of Revenue </t>
  </si>
  <si>
    <t>CapEx (value)</t>
  </si>
  <si>
    <t xml:space="preserve">Less: Δ Net Working Capital as % of Revenue </t>
  </si>
  <si>
    <t>2% (typical auto/manufacturing working-capital intensity) instead of the historical 5yr average (~13.6%), because M&amp;M's consolidated Net Working Capital proxy is inflated by the Mahindra Finance NBFC subsidiary's loan book growth, which is not core Auto/Farm working capital.</t>
  </si>
  <si>
    <t>Δ NWC (value)</t>
  </si>
  <si>
    <t xml:space="preserve">FCFF </t>
  </si>
  <si>
    <t>Discount Period (n)</t>
  </si>
  <si>
    <t>Discount Factor</t>
  </si>
  <si>
    <t>PV of FCFF</t>
  </si>
  <si>
    <t xml:space="preserve">Terminal Value </t>
  </si>
  <si>
    <t>PV of Terminal Value</t>
  </si>
  <si>
    <t>Sum of PV of FCFF</t>
  </si>
  <si>
    <t>Add: PV of Terminal Value</t>
  </si>
  <si>
    <t>Enterprise Value (EV)</t>
  </si>
  <si>
    <t xml:space="preserve">Less: Total Debt </t>
  </si>
  <si>
    <t xml:space="preserve">Add: Cash &amp; Cash Equivalents </t>
  </si>
  <si>
    <t>Equity Value</t>
  </si>
  <si>
    <t>DCF Value per Share (₹)</t>
  </si>
  <si>
    <t>5. Relative Valuation — Comparable Company Multiples</t>
  </si>
  <si>
    <t>Peer Company</t>
  </si>
  <si>
    <t>P/E (x)</t>
  </si>
  <si>
    <t>EV/EBITDA (x)</t>
  </si>
  <si>
    <t>P/B (x)</t>
  </si>
  <si>
    <t>CMP (₹)</t>
  </si>
  <si>
    <t>Book Value (₹)</t>
  </si>
  <si>
    <t>Market Cap (₹Cr)</t>
  </si>
  <si>
    <t>EBITDA (₹Cr)</t>
  </si>
  <si>
    <t>Total Debt (₹Cr)</t>
  </si>
  <si>
    <t>Cash (₹Cr)</t>
  </si>
  <si>
    <t>Tata Motors Passenger Vehicles Ltd</t>
  </si>
  <si>
    <t>Maruti Suzuki India Ltd</t>
  </si>
  <si>
    <t>Bajaj Auto Ltd</t>
  </si>
  <si>
    <t>Eicher Motors Ltd</t>
  </si>
  <si>
    <t>Average Peer Multiple</t>
  </si>
  <si>
    <t xml:space="preserve">Company Metric </t>
  </si>
  <si>
    <t xml:space="preserve">Book Value per Share (₹) </t>
  </si>
  <si>
    <t>Method</t>
  </si>
  <si>
    <t>Peer Avg. Multiple</t>
  </si>
  <si>
    <t>Company Base</t>
  </si>
  <si>
    <t>Implied Value / Share (₹)</t>
  </si>
  <si>
    <t>P/E Method</t>
  </si>
  <si>
    <t>EV/EBITDA Method</t>
  </si>
  <si>
    <t>P/B Method</t>
  </si>
  <si>
    <t>Average Relative Value per Share (₹)</t>
  </si>
  <si>
    <t>6. Valuation Summary &amp; Recommendation</t>
  </si>
  <si>
    <t>Relative Valuation - Value per Share (₹)</t>
  </si>
  <si>
    <t>Blended Average Fair Value per Share (₹)</t>
  </si>
  <si>
    <t xml:space="preserve">Current Market Price </t>
  </si>
  <si>
    <t>Upside / (Downside) vs CMP</t>
  </si>
  <si>
    <t>Recommendation (BUY / HOLD / SELL)</t>
  </si>
  <si>
    <t>HOLD</t>
  </si>
  <si>
    <t>Source: Money Control, Capitaline</t>
  </si>
  <si>
    <t>Coforge Ltd. (IT Services) - Fundamental Analysis &amp; Valuation</t>
  </si>
  <si>
    <t>IT Services - Digital Transformation, Cloud, Cybersecurity, Analytics, Enterprise Applications</t>
  </si>
  <si>
    <t>Coforge (NIIT Technologies Limited) is an information technology (IT) solutions organization engaged in application development and maintenance, managed services, cloud computing and business process outsourcing to organizations in the financial services, insurance, travel, transportation and logistics, manufacturing and distribution and government sectors. The Company delivers services across continents directly and through its network of subsidiaries. It is servicing customers in North &amp; South America, Europe, the Middle East, Asia and Australia. The Companys service offerings include application development and management, package implementation, managed services, platform based services, business process outsourcing and cloud computing.</t>
  </si>
  <si>
    <t>1992 (as NIIT Technologies; renamed Coforge in 2020)</t>
  </si>
  <si>
    <t>NSE: COFORGE | BSE: 532541</t>
  </si>
  <si>
    <t>Banking &amp; Financial Services (BFS), Insurance, Travel, Retail &amp; Logistics - cloud, digital engineering, cybersecurity, analytics</t>
  </si>
  <si>
    <t>No promoter holding (widely held; largest shareholders are institutional - DIIs ~56%, FIIs ~24% as of Jun 2026; the company has had no classified 'promoter' since a 2024 shareholding reclassification)</t>
  </si>
  <si>
    <t>20% - moderated from TTM 36% (Cigniti/Encora-boosted) toward Coforge's 5yr CAGR of ~29%, reflecting normalisation as recent acquisitions anniversary</t>
  </si>
  <si>
    <t>Persistent Systems Ltd</t>
  </si>
  <si>
    <t>LTIMindtree Ltd</t>
  </si>
  <si>
    <t>Mphasis Ltd</t>
  </si>
  <si>
    <t>Tata Elxsi Ltd</t>
  </si>
  <si>
    <t>Company Metric (latest FY, FY26)</t>
  </si>
  <si>
    <t>SELL</t>
  </si>
  <si>
    <t>Dr. Reddy's Laboratories Ltd. (Pharmaceuticals) - Fundamental Analysis &amp; Valuation</t>
  </si>
  <si>
    <t>Pharmaceuticals - Generics, Active Pharmaceutical Ingredients (APIs), Biosimilars, Custom Pharmaceutical Services (CPS), Differentiated Formulations</t>
  </si>
  <si>
    <t>Dr Reddy`s Laboratories has been cateringto the needs ofthe pharmaceutical sector for over two decades. Active Pharmaceutical Ingredients (API) are their core strength, having a wide range of portfolio.The company also manufactures generic medicines with business spread across India, Russia, US and Germany as well as Proprietary Products which inlcudes NCE research, biologics business and differentiated formulations conducted in the US. Under this the company has launched Grafeel(Filgrastim) and Reditux(Rituximab).</t>
  </si>
  <si>
    <t>1984</t>
  </si>
  <si>
    <t>NSE: DRREDDY | BSE: 500124</t>
  </si>
  <si>
    <t>Global Generics (US, India, Emerging Markets, Europe), Pharmaceutical Services &amp; Active Ingredients (PSAI), Biosimilars</t>
  </si>
  <si>
    <t>26.6% (as of Jun 2026)</t>
  </si>
  <si>
    <t>6% - well below 5yr CAGR of 12%, reflecting FY26's TTM sales decline (-1%) amid US pricing pressure and margin compression; conservative until margins stabilise</t>
  </si>
  <si>
    <t>Cipla Ltd</t>
  </si>
  <si>
    <t>Lupin Ltd</t>
  </si>
  <si>
    <t>Sun Pharmaceutical Industries Ltd</t>
  </si>
  <si>
    <t>Zydus Lifesciences Ltd</t>
  </si>
  <si>
    <t>Company Metric</t>
  </si>
  <si>
    <t>Relative Valuation — Value per Share (₹)</t>
  </si>
  <si>
    <t>Current Market Price — CMP (₹)</t>
  </si>
  <si>
    <t>Britannia Industries Ltd. (FMCG) - Fundamental Analysis &amp; Valuation</t>
  </si>
  <si>
    <t>FMCG - Packaged Foods (Biscuits, Bread, Cakes, Rusk, Dairy)</t>
  </si>
  <si>
    <t>Britannia Industries, part of the Wadia Group, is one of India's leading food companies with a 100-year legacy and annual revenues in excess of Rs.16,000cr. Iconic brands include Good Day, Tiger, NutriChoice, Milk Bikis, and Marie Gold. Product range spans biscuits, bread, cakes, rusk, and dairy (cheese, beverages, milk, yoghurt).</t>
  </si>
  <si>
    <t>1918 (as Britannia Biscuit Company)</t>
  </si>
  <si>
    <t>NSE: BRITANNIA | BSE: 500825</t>
  </si>
  <si>
    <t>Biscuits (core), Bread &amp; Cakes, Rusk, Dairy (Cheese, Beverages, Milk, Yoghurt), adjacencies (Croissants, Cakes)</t>
  </si>
  <si>
    <t>50.55% (as of Jun 2026, Wadia Group)</t>
  </si>
  <si>
    <t>8% - close to 5yr CAGR of 8%, since Britannia's TTM growth (7%) and premiumisation trend support continuity near its historical average</t>
  </si>
  <si>
    <t>Godrej Consumer Products Ltd</t>
  </si>
  <si>
    <t>Dabur India Ltd</t>
  </si>
  <si>
    <t>Marico Ltd</t>
  </si>
  <si>
    <t>Tata Consumer Products Ltd</t>
  </si>
  <si>
    <t>Optimal Portfolio Construction (Markowitz Mean-Variance)</t>
  </si>
  <si>
    <t xml:space="preserve">1. Daily Closing Price Data </t>
  </si>
  <si>
    <t>Date</t>
  </si>
  <si>
    <t>M&amp;M</t>
  </si>
  <si>
    <t>Coforge</t>
  </si>
  <si>
    <t>Dr Reddy</t>
  </si>
  <si>
    <t>Britannia</t>
  </si>
  <si>
    <t>NIFTY 50</t>
  </si>
  <si>
    <t xml:space="preserve">2. Daily Returns </t>
  </si>
  <si>
    <t>3. Risk-Return Summary</t>
  </si>
  <si>
    <t>Metric</t>
  </si>
  <si>
    <t>Average Daily Return</t>
  </si>
  <si>
    <t>Annualised Expected Return</t>
  </si>
  <si>
    <t>Daily Std. Deviation</t>
  </si>
  <si>
    <t>Annualised Std. Deviation (Risk)</t>
  </si>
  <si>
    <t>4. Covariance Matrix (annualised)</t>
  </si>
  <si>
    <t>5. Correlation Matrix</t>
  </si>
  <si>
    <t xml:space="preserve">6. Beta vs Nifty 50 </t>
  </si>
  <si>
    <t>Stock</t>
  </si>
  <si>
    <t xml:space="preserve">Beta </t>
  </si>
  <si>
    <t>Correlation with Market</t>
  </si>
  <si>
    <t>7. Individual Stock Sharpe Ratios</t>
  </si>
  <si>
    <t>Annualised Return</t>
  </si>
  <si>
    <t>Annualised Std. Dev</t>
  </si>
  <si>
    <t>Sharpe Ratio</t>
  </si>
  <si>
    <t>8. Optimal Portfolio Weights (use Excel Solver to Maximise Sharpe Ratio)</t>
  </si>
  <si>
    <t>Total</t>
  </si>
  <si>
    <t>Portfolio Weight</t>
  </si>
  <si>
    <t>Min</t>
  </si>
  <si>
    <t>Sum of Weights</t>
  </si>
  <si>
    <t>Max</t>
  </si>
  <si>
    <t>Portfolio Expected Return</t>
  </si>
  <si>
    <t>Portfolio Variance = Σwᵢ²σᵢ² + 2ΣΣwᵢwⱼCovᵢⱼ</t>
  </si>
  <si>
    <t>Portfolio Std. Deviation (Risk)</t>
  </si>
  <si>
    <t>Risk-Free Rate</t>
  </si>
  <si>
    <t xml:space="preserve">Portfolio Sharpe Ratio </t>
  </si>
  <si>
    <t xml:space="preserve">Portfolio Beta </t>
  </si>
  <si>
    <t>Market Return (Nifty 50, annualised)</t>
  </si>
  <si>
    <t xml:space="preserve">Treynor Ratio </t>
  </si>
  <si>
    <t xml:space="preserve">Jensen's Alpha </t>
  </si>
  <si>
    <t>Source: Capitaline</t>
  </si>
  <si>
    <t>AI-Assisted Investment Recommendation</t>
  </si>
  <si>
    <t>1. AI Prompt(s) Used</t>
  </si>
  <si>
    <t>Prompt 1 (typed into ChatGPT)</t>
  </si>
  <si>
    <t>You are a financial analyst. Based on this data for four listed Indian companies - Mahindra &amp; Mahindra (Auto), Coforge (IT Services), Dr. Reddy's Laboratories (Pharma), Britannia Industries (FMCG): 5-year revenue/EBITDA/PAT growth and margins, WACC, Beta, DCF value per share, and Relative valuation (P/E, EV/EBITDA, P/B against 4 peers each) versus CMP - give a Buy/Hold/Sell view for each with a one-paragraph rationale.</t>
  </si>
  <si>
    <t>AI Response 1</t>
  </si>
  <si>
    <t>Based on the data you've shared, here's my read on each company:
M&amp;M - HOLD. Your blended fair value of Rs.3,078 is close to the current price of Rs.3,282 (about 6% below), so this one is roughly fairly valued rather than a clear Buy or Sell. One thing worth flagging: your DCF alone (Rs.2,952) and Relative valuation (Rs.3,205) tell a slightly different story, and the Relative number looks like it's being pulled down by Tata Motors Passenger Vehicles - that peer's P/E (1.3x) and EV/EBITDA (1.5x) are unusually low, most likely because of a one-off gain in its reported earnings rather than the market genuinely pricing it that cheap. I'd treat M&amp;M's relative valuation with some caution because of that.
Coforge - SELL. Both your DCF (Rs.230) and Relative valuation (Rs.1,353) sit well below the current price of Rs.1,985. The stock also appears to trade at a real premium versus its IT peers (Persistent, LTIMindtree, Mphasis, Tata Elxsi), so this isn't just a modelling quirk - the market does seem to be paying up for it.
Dr. Reddy's - SELL. Fair value comes to about Rs.919 against a CMP of Rs.1,154, roughly 20% downside. This lines up with the margin compression you're showing in FY26, so both the numbers and the underlying business trend point the same way.
Britannia - SELL. Blended value of Rs.3,693 versus CMP Rs.5,250 is about 30% downside. Britannia has historically traded at a high Price/Book, so there isn't much cushion left if growth slows further.</t>
  </si>
  <si>
    <t>Prompt 2 (typed into ChatGPT)</t>
  </si>
  <si>
    <t>Using the four companies' corrected annualised simple returns, annualised volatility, risk-free rate and the annualised covariance/correlation matrix calculated from their daily returns, suggest a portfolio allocation for a moderate-risk investor. Impose a minimum weight of 5% and maximum weight of 40% for each stock and maximise the portfolio Sharpe ratio. Provide the exact weights and explain the role of return, volatility and diversification/correlation in the allocation.</t>
  </si>
  <si>
    <t>AI Response 2</t>
  </si>
  <si>
    <t>Given only M&amp;M is close to fair value and the other three screen as Sells on fundamentals, a purely valuation-driven allocation would concentrate almost entirely in M&amp;M with little else. But you asked for the Sharpe-maximising allocation based on risk and return, which is a different question - that one depends on each stock's historical volatility and how they move together (correlation), not on whether they're cheap or expensive today. Run the Solver optimisation on your Portfolio Construction tab with the 5%-40% bounds you specified, and treat that output as a risk/return-driven allocation on historical price data - it's a different lens from the fundamental Buy/Hold/Sell calls above, not a contradiction of them. It's worth explicitly noting in your presentation if the two disagree on any stock, since that's a genuinely interesting finding, not an error.</t>
  </si>
  <si>
    <t>Prompt 3  (typed into ChatGPT)</t>
  </si>
  <si>
    <t>Review the corrected portfolio optimisation based on simple daily price returns, the covariance/correlation matrix, individual risk-return metrics, and the DCF/relative valuation results for M&amp;M, Coforge, Dr. Reddy's and Britannia. The quantitative maximum-Sharpe portfolio is approximately M&amp;M 40.0%, Coforge 27.8%, Dr. Reddy's 9.1% and Britannia 23.0%, subject to 5%-40% constraints. Considering both the quantitative portfolio evidence and our fundamental/valuation analysis, recommend whether these weights should be retained or adjusted. Give exact final weights and explain each change.</t>
  </si>
  <si>
    <t>AI Response 3</t>
  </si>
  <si>
    <t>The portfolio construction is directionally good, but I would make a few important changes before presenting it as the “optimal portfolio.”</t>
  </si>
  <si>
    <t>Exact reason for the weight</t>
  </si>
  <si>
    <t>Weight</t>
  </si>
  <si>
    <r>
      <rPr>
        <b/>
        <sz val="11"/>
        <color theme="1"/>
        <rFont val="Calibri"/>
        <family val="2"/>
        <scheme val="minor"/>
      </rPr>
      <t>Maximum allocation</t>
    </r>
    <r>
      <rPr>
        <sz val="11"/>
        <color theme="1"/>
        <rFont val="Calibri"/>
        <family val="2"/>
        <scheme val="minor"/>
      </rPr>
      <t xml:space="preserve"> because it has the strongest historical risk-adjusted performance: </t>
    </r>
    <r>
      <rPr>
        <b/>
        <sz val="11"/>
        <color theme="1"/>
        <rFont val="Calibri"/>
        <family val="2"/>
        <scheme val="minor"/>
      </rPr>
      <t>33.4% return, 28.1% volatility</t>
    </r>
    <r>
      <rPr>
        <sz val="11"/>
        <color theme="1"/>
        <rFont val="Calibri"/>
        <family val="2"/>
        <scheme val="minor"/>
      </rPr>
      <t xml:space="preserve"> and </t>
    </r>
    <r>
      <rPr>
        <b/>
        <sz val="11"/>
        <color theme="1"/>
        <rFont val="Calibri"/>
        <family val="2"/>
        <scheme val="minor"/>
      </rPr>
      <t>0.95</t>
    </r>
    <r>
      <rPr>
        <sz val="11"/>
        <color theme="1"/>
        <rFont val="Calibri"/>
        <family val="2"/>
        <scheme val="minor"/>
      </rPr>
      <t xml:space="preserve"> Sharpe. It also has the strongest revenue growth (21.8% CAGR) and is the company closest to fair value in your valuation analysis. Hence, both the quantitative and fundamental analyses support the highest weight.</t>
    </r>
  </si>
  <si>
    <r>
      <t xml:space="preserve">Retained as a </t>
    </r>
    <r>
      <rPr>
        <b/>
        <sz val="11"/>
        <color theme="1"/>
        <rFont val="Calibri"/>
        <family val="2"/>
        <scheme val="minor"/>
      </rPr>
      <t>growth/diversification</t>
    </r>
    <r>
      <rPr>
        <sz val="11"/>
        <color theme="1"/>
        <rFont val="Calibri"/>
        <family val="2"/>
        <scheme val="minor"/>
      </rPr>
      <t xml:space="preserve"> allocation because it has the highest revenue growth (26.4% CAGR) and a positive Sharpe (</t>
    </r>
    <r>
      <rPr>
        <b/>
        <sz val="11"/>
        <color theme="1"/>
        <rFont val="Calibri"/>
        <family val="2"/>
        <scheme val="minor"/>
      </rPr>
      <t>0.36</t>
    </r>
    <r>
      <rPr>
        <sz val="11"/>
        <color theme="1"/>
        <rFont val="Calibri"/>
        <family val="2"/>
        <scheme val="minor"/>
      </rPr>
      <t xml:space="preserve">). However, its </t>
    </r>
    <r>
      <rPr>
        <b/>
        <sz val="11"/>
        <color theme="1"/>
        <rFont val="Calibri"/>
        <family val="2"/>
        <scheme val="minor"/>
      </rPr>
      <t>36.5% volatility</t>
    </r>
    <r>
      <rPr>
        <sz val="11"/>
        <color theme="1"/>
        <rFont val="Calibri"/>
        <family val="2"/>
        <scheme val="minor"/>
      </rPr>
      <t xml:space="preserve"> is the highest among the four and its valuation indicates significant downside. Therefore, its weight is moderated to </t>
    </r>
    <r>
      <rPr>
        <b/>
        <sz val="11"/>
        <color theme="1"/>
        <rFont val="Calibri"/>
        <family val="2"/>
        <scheme val="minor"/>
      </rPr>
      <t>25%</t>
    </r>
    <r>
      <rPr>
        <sz val="11"/>
        <color theme="1"/>
        <rFont val="Calibri"/>
        <family val="2"/>
        <scheme val="minor"/>
      </rPr>
      <t xml:space="preserve"> in the final recommendation rather than retaining its higher quantitative weight.</t>
    </r>
  </si>
  <si>
    <t>Dr. Reddy’s</t>
  </si>
  <si>
    <r>
      <t xml:space="preserve">Increased modestly from the Solver allocation because it provides defensive diversification: </t>
    </r>
    <r>
      <rPr>
        <b/>
        <sz val="11"/>
        <color theme="1"/>
        <rFont val="Calibri"/>
        <family val="2"/>
        <scheme val="minor"/>
      </rPr>
      <t>21.5%</t>
    </r>
    <r>
      <rPr>
        <sz val="11"/>
        <color theme="1"/>
        <rFont val="Calibri"/>
        <family val="2"/>
        <scheme val="minor"/>
      </rPr>
      <t xml:space="preserve"> volatility and </t>
    </r>
    <r>
      <rPr>
        <b/>
        <sz val="11"/>
        <color theme="1"/>
        <rFont val="Calibri"/>
        <family val="2"/>
        <scheme val="minor"/>
      </rPr>
      <t>0.53</t>
    </r>
    <r>
      <rPr>
        <sz val="11"/>
        <color theme="1"/>
        <rFont val="Calibri"/>
        <family val="2"/>
        <scheme val="minor"/>
      </rPr>
      <t xml:space="preserve"> beta, substantially below M&amp;M and Coforge. Its return </t>
    </r>
    <r>
      <rPr>
        <b/>
        <sz val="11"/>
        <color theme="1"/>
        <rFont val="Calibri"/>
        <family val="2"/>
        <scheme val="minor"/>
      </rPr>
      <t xml:space="preserve">(6.2%) </t>
    </r>
    <r>
      <rPr>
        <sz val="11"/>
        <color theme="1"/>
        <rFont val="Calibri"/>
        <family val="2"/>
        <scheme val="minor"/>
      </rPr>
      <t>and Sharpe</t>
    </r>
    <r>
      <rPr>
        <b/>
        <sz val="11"/>
        <color theme="1"/>
        <rFont val="Calibri"/>
        <family val="2"/>
        <scheme val="minor"/>
      </rPr>
      <t xml:space="preserve"> (-0.03)</t>
    </r>
    <r>
      <rPr>
        <sz val="11"/>
        <color theme="1"/>
        <rFont val="Calibri"/>
        <family val="2"/>
        <scheme val="minor"/>
      </rPr>
      <t xml:space="preserve"> are weak, so it should not receive a large allocation; 10% provides defensive exposure without making it a major return driver.</t>
    </r>
  </si>
  <si>
    <r>
      <t xml:space="preserve">Retained at a meaningful weight because it has </t>
    </r>
    <r>
      <rPr>
        <b/>
        <sz val="11"/>
        <color theme="1"/>
        <rFont val="Calibri"/>
        <family val="2"/>
        <scheme val="minor"/>
      </rPr>
      <t>low volatility (20.3%), low beta (0.51)</t>
    </r>
    <r>
      <rPr>
        <sz val="11"/>
        <color theme="1"/>
        <rFont val="Calibri"/>
        <family val="2"/>
        <scheme val="minor"/>
      </rPr>
      <t xml:space="preserve"> and provides diversification, with correlations below 0.25 across the portfolio. Its historical Sharpe is only </t>
    </r>
    <r>
      <rPr>
        <b/>
        <sz val="11"/>
        <color theme="1"/>
        <rFont val="Calibri"/>
        <family val="2"/>
        <scheme val="minor"/>
      </rPr>
      <t>0.03</t>
    </r>
    <r>
      <rPr>
        <sz val="11"/>
        <color theme="1"/>
        <rFont val="Calibri"/>
        <family val="2"/>
        <scheme val="minor"/>
      </rPr>
      <t>, indicating limited risk-adjusted return, while valuation concerns justify avoiding an excessive allocation.</t>
    </r>
  </si>
  <si>
    <t>2. Critical Evaluation - AI vs. Our Own Analysis</t>
  </si>
  <si>
    <t>Company</t>
  </si>
  <si>
    <t>Critical Evaluation</t>
  </si>
  <si>
    <r>
      <t>AI agrees with our HOLD view.</t>
    </r>
    <r>
      <rPr>
        <sz val="11"/>
        <color theme="1"/>
        <rFont val="Calibri"/>
        <family val="2"/>
        <scheme val="minor"/>
      </rPr>
      <t xml:space="preserve"> Both the valuation and quantitative analysis support the highest portfolio weight. M&amp;M has the strongest corrected historical risk-adjusted performance and is closest to fair value. AI also correctly identified the potential distortion in the peer-based valuation.</t>
    </r>
  </si>
  <si>
    <r>
      <t>AI agrees on SELL fundamentally but the portfolio analysis gives it a meaningful weight.</t>
    </r>
    <r>
      <rPr>
        <sz val="11"/>
        <color theme="1"/>
        <rFont val="Calibri"/>
        <family val="2"/>
        <scheme val="minor"/>
      </rPr>
      <t xml:space="preserve"> Its strong historical return and diversification benefit justify retaining exposure, while its high volatility and substantial valuation downside justify reducing its weight from the quantitative optimum of 27.8% to </t>
    </r>
    <r>
      <rPr>
        <b/>
        <sz val="11"/>
        <color theme="1"/>
        <rFont val="Calibri"/>
        <family val="2"/>
        <scheme val="minor"/>
      </rPr>
      <t>25%</t>
    </r>
    <r>
      <rPr>
        <sz val="11"/>
        <color theme="1"/>
        <rFont val="Calibri"/>
        <family val="2"/>
        <scheme val="minor"/>
      </rPr>
      <t>.</t>
    </r>
  </si>
  <si>
    <t>Dr. Reddy's</t>
  </si>
  <si>
    <r>
      <t>AI agrees on SELL fundamentally, while our portfolio analysis gives it a limited diversification role.</t>
    </r>
    <r>
      <rPr>
        <sz val="11"/>
        <color theme="1"/>
        <rFont val="Calibri"/>
        <family val="2"/>
        <scheme val="minor"/>
      </rPr>
      <t xml:space="preserve"> Its low beta and volatility provide defensive characteristics despite weak historical risk-adjusted returns. We therefore increase the weight modestly to </t>
    </r>
    <r>
      <rPr>
        <b/>
        <sz val="11"/>
        <color theme="1"/>
        <rFont val="Calibri"/>
        <family val="2"/>
        <scheme val="minor"/>
      </rPr>
      <t>10%</t>
    </r>
    <r>
      <rPr>
        <sz val="11"/>
        <color theme="1"/>
        <rFont val="Calibri"/>
        <family val="2"/>
        <scheme val="minor"/>
      </rPr>
      <t>, without treating it as a high-conviction investment.</t>
    </r>
  </si>
  <si>
    <r>
      <t>AI agrees on SELL fundamentally, but the portfolio analysis supports retaining exposure for diversification.</t>
    </r>
    <r>
      <rPr>
        <sz val="11"/>
        <color theme="1"/>
        <rFont val="Calibri"/>
        <family val="2"/>
        <scheme val="minor"/>
      </rPr>
      <t xml:space="preserve"> Its low beta, low volatility and relatively low correlations help reduce portfolio risk. We therefore retain a </t>
    </r>
    <r>
      <rPr>
        <b/>
        <sz val="11"/>
        <color theme="1"/>
        <rFont val="Calibri"/>
        <family val="2"/>
        <scheme val="minor"/>
      </rPr>
      <t>25%</t>
    </r>
    <r>
      <rPr>
        <sz val="11"/>
        <color theme="1"/>
        <rFont val="Calibri"/>
        <family val="2"/>
        <scheme val="minor"/>
      </rPr>
      <t xml:space="preserve"> allocation while avoiding an excessive weight given its valuation concerns.</t>
    </r>
  </si>
  <si>
    <t>The AI recommendations broadly agree with our fundamental assessment: M&amp;M is relatively fairly valued, while Coforge, Dr. Reddy's and Britannia present valuation concerns. However, AI's fundamental recommendations do not directly determine portfolio weights because portfolio construction depends on expected returns, volatility and covariance. The AI was useful in interpreting valuation outputs and challenging assumptions, but our Excel Solver remains the quantitative basis for portfolio optimisation. We therefore use AI as a decision-support tool rather than as a substitute for our independent analysis.</t>
  </si>
  <si>
    <t>Our final allocation of M&amp;M 40%, Coforge 25%, Dr. Reddy's 10% and Britannia 25% represents a fundamental and risk-based overlay on the quantitative maximum-Sharpe portfolio. The adjustment moderates exposure to Coforge given its high volatility and valuation concerns, while modestly increasing the defensive allocations to Dr. Reddy's and Britannia.</t>
  </si>
  <si>
    <t>Risk &amp; Portfolio Implication</t>
  </si>
  <si>
    <t>Key Investment Risk</t>
  </si>
  <si>
    <t>Portfolio Implication</t>
  </si>
  <si>
    <t>EV transition/execution, cyclical auto demand, commodity costs and high beta</t>
  </si>
  <si>
    <t>Largest allocation, but capped at 40% because of higher systematic risk</t>
  </si>
  <si>
    <t>High valuation, high volatility, IT spending slowdown, GenAI pricing pressure and currency exposure</t>
  </si>
  <si>
    <t>Retained at 25%, below quantitative optimum because valuation risk is significant</t>
  </si>
  <si>
    <t>US generics pricing pressure, USFDA/regulatory risk and weaker growth</t>
  </si>
  <si>
    <t>10% defensive allocation due to low beta/volatility</t>
  </si>
  <si>
    <t>Input-cost inflation, volume growth slowdown and rich valuation</t>
  </si>
  <si>
    <t>25% allocation for diversification despite weak standalone return</t>
  </si>
  <si>
    <t>Portfolio-Level Risks</t>
  </si>
  <si>
    <t>Risk</t>
  </si>
  <si>
    <t>Description</t>
  </si>
  <si>
    <t>Portfolio Impact</t>
  </si>
  <si>
    <t>Historical Data Dependence</t>
  </si>
  <si>
    <t>The portfolio weights are based on historical returns, volatility and correlations, which may not persist in the future.</t>
  </si>
  <si>
    <t>Actual future risk-adjusted returns may differ from the optimisation results.</t>
  </si>
  <si>
    <t>Estimation Risk</t>
  </si>
  <si>
    <t>Expected returns, volatility and covariance are estimates and are sensitive to the selected sample period and methodology.</t>
  </si>
  <si>
    <t>Small changes in inputs can lead to different optimal weights.</t>
  </si>
  <si>
    <t>Concentration Risk</t>
  </si>
  <si>
    <t>M&amp;M has the maximum permitted allocation of 40%, making the portfolio relatively dependent on its performance.</t>
  </si>
  <si>
    <t>A significant decline in M&amp;M could materially affect overall portfolio returns.</t>
  </si>
  <si>
    <t>Valuation Risk</t>
  </si>
  <si>
    <t>DCF and comparable-multiple valuations depend on assumptions such as growth, WACC, terminal value and peer selection.</t>
  </si>
  <si>
    <t>Changes in assumptions may materially alter intrinsic value estimates and investment attractiveness.</t>
  </si>
  <si>
    <t>Market &amp; Systematic Risk</t>
  </si>
  <si>
    <t>All four stocks remain exposed to broad Indian equity-market movements despite operating across different sectors.</t>
  </si>
  <si>
    <t>A broad market downturn can adversely affect the entire portfolio.</t>
  </si>
  <si>
    <t>Sector-Specific Risk</t>
  </si>
  <si>
    <t>The portfolio is diversified across Auto, IT Services, Pharmaceuticals and FMCG, but each sector remains exposed to its own economic and regulatory risks.</t>
  </si>
  <si>
    <t>Sector-specific shocks may negatively affect individual holdings and portfolio performance.</t>
  </si>
  <si>
    <t>Model &amp; Optimisation Risk</t>
  </si>
  <si>
    <t>Solver identifies the allocation that maximises historical Sharpe ratio under the specified 5%–40% constraints.</t>
  </si>
  <si>
    <t>The mathematical optimum may not remain optimal as market conditions and correlations change.</t>
  </si>
  <si>
    <t>No Guarantee of Future Performance</t>
  </si>
  <si>
    <t>Historical Sharpe, Treynor and Jensen's Alpha reflect past performance and do not guarantee future excess returns.</t>
  </si>
  <si>
    <t>Portfolio performance may differ materially from historical results.</t>
  </si>
  <si>
    <t>The portfolio provides cross-sector diversification and a balanced risk–return profile, but remains exposed to estimation, valuation, concentration, sector and market risks. Historical performance may not persist under changing market conditions.</t>
  </si>
  <si>
    <t xml:space="preserve">Final Output - Consolidated Summary </t>
  </si>
  <si>
    <t>1. Company Snapshot</t>
  </si>
  <si>
    <t>CMP (Rs.)</t>
  </si>
  <si>
    <t>Automobile</t>
  </si>
  <si>
    <t>IT Services</t>
  </si>
  <si>
    <t>Pharmaceuticals</t>
  </si>
  <si>
    <t>FMCG</t>
  </si>
  <si>
    <t>2. Valuation Summary - Fundamental Analysis Output</t>
  </si>
  <si>
    <t>Beta</t>
  </si>
  <si>
    <t>DCF Value/Share</t>
  </si>
  <si>
    <t>Relative Value/Share</t>
  </si>
  <si>
    <t>Blended Fair Value</t>
  </si>
  <si>
    <t>CMP</t>
  </si>
  <si>
    <t>Upside/(Downside)</t>
  </si>
  <si>
    <t>Recommendation</t>
  </si>
  <si>
    <t>3.Stock Risk &amp; Return</t>
  </si>
  <si>
    <t>Beta vs Nifty</t>
  </si>
  <si>
    <t>4. Quantitative Optimisation</t>
  </si>
  <si>
    <t>Portfolio Weight (Max Sharpe, 5%-40% bounds)</t>
  </si>
  <si>
    <t>Portfolio Expected Return (annualised)</t>
  </si>
  <si>
    <t>Portfolio Sharpe Ratio</t>
  </si>
  <si>
    <t>Portfolio Beta (weighted avg.)</t>
  </si>
  <si>
    <t>Treynor Ratio</t>
  </si>
  <si>
    <t>Jensen's Alpha</t>
  </si>
  <si>
    <t>5. Final Recommendation</t>
  </si>
  <si>
    <t>Final Weight</t>
  </si>
  <si>
    <t>The final recommendation applies a fundamental overlay to the quantitative maximum-Sharpe portfolio. The allocation modestly reduces Coforge due to its valuation and volatility concerns while increasing the defensive allocations to Dr. Reddy's and Britannia. The resulting portfolio remains very close to the historical maximum-Sharpe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</si>
</sst>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quot;₹&quot;#,##0.00"/>
    <numFmt numFmtId="166" formatCode="#,##0.0"/>
    <numFmt numFmtId="167" formatCode="0.000"/>
    <numFmt numFmtId="168" formatCode="0.00&quot;x&quot;"/>
    <numFmt numFmtId="169" formatCode="dd\-mmm\-yy"/>
    <numFmt numFmtId="170" formatCode="0.0000"/>
    <numFmt numFmtId="171" formatCode="0.00000"/>
    <numFmt numFmtId="172" formatCode="&quot;₹&quot;#,##0"/>
  </numFmts>
  <fonts count="27">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4"/>
      <color rgb="FFFFFFFF"/>
      <name val="Arial"/>
      <family val="2"/>
    </font>
    <font>
      <b/>
      <sz val="11"/>
      <color rgb="FFFFFFFF"/>
      <name val="Arial"/>
      <family val="2"/>
    </font>
    <font>
      <b/>
      <sz val="10"/>
      <color rgb="FF000000"/>
      <name val="Arial"/>
      <family val="2"/>
    </font>
    <font>
      <sz val="10"/>
      <color rgb="FF000000"/>
      <name val="Arial"/>
      <family val="2"/>
    </font>
    <font>
      <u/>
      <sz val="11"/>
      <color theme="3"/>
      <name val="Calibri"/>
      <family val="2"/>
      <scheme val="minor"/>
    </font>
    <font>
      <sz val="10"/>
      <color rgb="FF0070C0"/>
      <name val="Arial"/>
      <family val="2"/>
    </font>
    <font>
      <i/>
      <sz val="9"/>
      <color rgb="FF000000"/>
      <name val="Arial"/>
      <family val="2"/>
    </font>
    <font>
      <i/>
      <sz val="9"/>
      <color rgb="FF808080"/>
      <name val="Arial"/>
      <family val="2"/>
    </font>
    <font>
      <sz val="10"/>
      <color theme="1"/>
      <name val="Arial"/>
      <family val="2"/>
    </font>
    <font>
      <i/>
      <sz val="10"/>
      <color theme="1" tint="0.34998626667073579"/>
      <name val="Arial"/>
      <family val="2"/>
    </font>
    <font>
      <sz val="10"/>
      <color rgb="FF0000FF"/>
      <name val="Arial"/>
      <family val="2"/>
    </font>
    <font>
      <b/>
      <sz val="10"/>
      <color theme="1"/>
      <name val="Arial"/>
      <family val="2"/>
    </font>
    <font>
      <sz val="10"/>
      <color rgb="FF00B050"/>
      <name val="Arial"/>
      <family val="2"/>
    </font>
    <font>
      <i/>
      <sz val="11"/>
      <color theme="1"/>
      <name val="Calibri"/>
      <family val="2"/>
      <scheme val="minor"/>
    </font>
    <font>
      <b/>
      <sz val="10"/>
      <name val="Arial"/>
      <family val="2"/>
    </font>
    <font>
      <b/>
      <sz val="10"/>
      <color rgb="FF00B050"/>
      <name val="Arial"/>
      <family val="2"/>
    </font>
    <font>
      <sz val="10"/>
      <name val="Arial"/>
      <family val="2"/>
    </font>
    <font>
      <b/>
      <sz val="10"/>
      <color rgb="FFFF0000"/>
      <name val="Arial"/>
      <family val="2"/>
    </font>
    <font>
      <sz val="10"/>
      <color theme="1"/>
      <name val="Calibri"/>
      <family val="2"/>
      <scheme val="minor"/>
    </font>
    <font>
      <sz val="10"/>
      <color rgb="FF008000"/>
      <name val="Arial"/>
      <family val="2"/>
    </font>
    <font>
      <i/>
      <sz val="10"/>
      <name val="Arial"/>
      <family val="2"/>
    </font>
    <font>
      <b/>
      <sz val="10"/>
      <color rgb="FF008000"/>
      <name val="Arial"/>
      <family val="2"/>
    </font>
    <font>
      <sz val="11"/>
      <name val="Calibri"/>
      <family val="2"/>
      <scheme val="minor"/>
    </font>
  </fonts>
  <fills count="7">
    <fill>
      <patternFill patternType="none"/>
    </fill>
    <fill>
      <patternFill patternType="gray125"/>
    </fill>
    <fill>
      <patternFill patternType="solid">
        <fgColor rgb="FF1F3864"/>
      </patternFill>
    </fill>
    <fill>
      <patternFill patternType="solid">
        <fgColor rgb="FFD9E1F2"/>
      </patternFill>
    </fill>
    <fill>
      <patternFill patternType="solid">
        <fgColor theme="0" tint="-4.9989318521683403E-2"/>
        <bgColor indexed="64"/>
      </patternFill>
    </fill>
    <fill>
      <patternFill patternType="solid">
        <fgColor rgb="FFFFFF00"/>
      </patternFill>
    </fill>
    <fill>
      <patternFill patternType="solid">
        <fgColor rgb="FF2E5395"/>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top/>
      <bottom style="thin">
        <color rgb="FFBFBFBF"/>
      </bottom>
      <diagonal/>
    </border>
    <border>
      <left/>
      <right/>
      <top style="thin">
        <color rgb="FFBFBFBF"/>
      </top>
      <bottom style="medium">
        <color rgb="FF000000"/>
      </bottom>
      <diagonal/>
    </border>
    <border>
      <left/>
      <right/>
      <top/>
      <bottom style="medium">
        <color rgb="FF000000"/>
      </bottom>
      <diagonal/>
    </border>
    <border>
      <left/>
      <right style="thin">
        <color rgb="FFBFBFBF"/>
      </right>
      <top style="thin">
        <color rgb="FFBFBFBF"/>
      </top>
      <bottom style="medium">
        <color rgb="FF000000"/>
      </bottom>
      <diagonal/>
    </border>
    <border>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
      <left style="thin">
        <color theme="2"/>
      </left>
      <right style="thin">
        <color theme="2"/>
      </right>
      <top style="thin">
        <color theme="2"/>
      </top>
      <bottom style="thin">
        <color theme="2"/>
      </bottom>
      <diagonal/>
    </border>
  </borders>
  <cellStyleXfs count="5">
    <xf numFmtId="0" fontId="0" fillId="0" borderId="0"/>
    <xf numFmtId="0" fontId="3" fillId="0" borderId="0"/>
    <xf numFmtId="0" fontId="1" fillId="0" borderId="0"/>
    <xf numFmtId="9" fontId="1" fillId="0" borderId="0"/>
    <xf numFmtId="9" fontId="1" fillId="0" borderId="0" applyFont="0" applyFill="0" applyBorder="0" applyAlignment="0" applyProtection="0"/>
  </cellStyleXfs>
  <cellXfs count="144">
    <xf numFmtId="0" fontId="0" fillId="0" borderId="0" xfId="0"/>
    <xf numFmtId="0" fontId="8" fillId="4" borderId="1" xfId="1" applyFont="1" applyFill="1" applyBorder="1"/>
    <xf numFmtId="0" fontId="11" fillId="0" borderId="0" xfId="0" applyFont="1" applyAlignment="1">
      <alignment horizontal="left" vertical="center" wrapText="1"/>
    </xf>
    <xf numFmtId="0" fontId="7" fillId="0" borderId="0" xfId="0" applyFont="1" applyAlignment="1">
      <alignment horizontal="left" vertical="center" wrapText="1"/>
    </xf>
    <xf numFmtId="165" fontId="14" fillId="0" borderId="0" xfId="0" applyNumberFormat="1" applyFont="1" applyAlignment="1">
      <alignment horizontal="center" vertical="center" wrapText="1"/>
    </xf>
    <xf numFmtId="0" fontId="2" fillId="0" borderId="0" xfId="0" applyFont="1"/>
    <xf numFmtId="0" fontId="17" fillId="0" borderId="0" xfId="0" applyFont="1"/>
    <xf numFmtId="0" fontId="17" fillId="0" borderId="0" xfId="0" applyFont="1" applyAlignment="1">
      <alignment vertical="center"/>
    </xf>
    <xf numFmtId="168" fontId="6" fillId="0" borderId="0" xfId="0" applyNumberFormat="1" applyFont="1" applyAlignment="1">
      <alignment horizontal="center" vertical="center" wrapText="1"/>
    </xf>
    <xf numFmtId="0" fontId="10" fillId="0" borderId="0" xfId="0" applyFont="1" applyAlignment="1">
      <alignment horizontal="left" vertical="center" wrapText="1"/>
    </xf>
    <xf numFmtId="0" fontId="1" fillId="0" borderId="0" xfId="2"/>
    <xf numFmtId="0" fontId="6" fillId="3" borderId="6" xfId="2" applyFont="1" applyFill="1" applyBorder="1" applyAlignment="1">
      <alignment horizontal="center" vertical="center" wrapText="1"/>
    </xf>
    <xf numFmtId="169" fontId="7" fillId="0" borderId="0" xfId="2" applyNumberFormat="1" applyFont="1" applyAlignment="1">
      <alignment horizontal="center" vertical="center" wrapText="1"/>
    </xf>
    <xf numFmtId="0" fontId="22" fillId="0" borderId="0" xfId="2" applyFont="1" applyAlignment="1">
      <alignment wrapText="1"/>
    </xf>
    <xf numFmtId="4" fontId="22" fillId="0" borderId="0" xfId="2" applyNumberFormat="1" applyFont="1" applyAlignment="1">
      <alignment wrapText="1"/>
    </xf>
    <xf numFmtId="0" fontId="20" fillId="0" borderId="0" xfId="2" applyFont="1"/>
    <xf numFmtId="164" fontId="20" fillId="0" borderId="0" xfId="2" applyNumberFormat="1" applyFont="1"/>
    <xf numFmtId="171" fontId="20" fillId="0" borderId="0" xfId="2" applyNumberFormat="1" applyFont="1"/>
    <xf numFmtId="0" fontId="24" fillId="0" borderId="0" xfId="2" applyFont="1"/>
    <xf numFmtId="9" fontId="24" fillId="0" borderId="0" xfId="2" applyNumberFormat="1" applyFont="1"/>
    <xf numFmtId="2" fontId="20" fillId="0" borderId="0" xfId="2" applyNumberFormat="1" applyFont="1"/>
    <xf numFmtId="0" fontId="20" fillId="0" borderId="0" xfId="0" applyFont="1"/>
    <xf numFmtId="0" fontId="0" fillId="0" borderId="0" xfId="0" applyAlignment="1">
      <alignment wrapText="1"/>
    </xf>
    <xf numFmtId="3" fontId="12" fillId="0" borderId="7" xfId="0" applyNumberFormat="1" applyFont="1" applyBorder="1" applyAlignment="1">
      <alignment horizontal="center" vertical="center" wrapText="1"/>
    </xf>
    <xf numFmtId="164" fontId="13" fillId="0" borderId="4" xfId="0" applyNumberFormat="1" applyFont="1" applyBorder="1" applyAlignment="1">
      <alignment horizontal="center" vertical="center" wrapText="1"/>
    </xf>
    <xf numFmtId="3" fontId="12" fillId="0" borderId="4" xfId="0" applyNumberFormat="1" applyFont="1" applyBorder="1" applyAlignment="1">
      <alignment horizontal="center" vertical="center" wrapText="1"/>
    </xf>
    <xf numFmtId="166" fontId="12" fillId="0" borderId="4" xfId="0" applyNumberFormat="1" applyFont="1" applyBorder="1" applyAlignment="1">
      <alignment horizontal="center" vertical="center" wrapText="1"/>
    </xf>
    <xf numFmtId="165" fontId="14" fillId="0" borderId="4" xfId="0" applyNumberFormat="1" applyFont="1" applyBorder="1" applyAlignment="1">
      <alignment horizontal="center" vertical="center" wrapText="1"/>
    </xf>
    <xf numFmtId="0" fontId="0" fillId="0" borderId="9" xfId="0" applyBorder="1"/>
    <xf numFmtId="0" fontId="20" fillId="0" borderId="12" xfId="0" applyFont="1" applyBorder="1" applyAlignment="1">
      <alignment horizontal="left" vertical="top" wrapText="1"/>
    </xf>
    <xf numFmtId="0" fontId="20" fillId="0" borderId="13" xfId="0" applyFont="1" applyBorder="1" applyAlignment="1">
      <alignment horizontal="left" vertical="top" wrapText="1"/>
    </xf>
    <xf numFmtId="0" fontId="6" fillId="0" borderId="13" xfId="0" applyFont="1" applyBorder="1" applyAlignment="1">
      <alignment horizontal="left" vertical="top" wrapText="1"/>
    </xf>
    <xf numFmtId="0" fontId="6" fillId="0" borderId="6" xfId="0" applyFont="1" applyBorder="1" applyAlignment="1">
      <alignment horizontal="left" vertical="center" wrapText="1"/>
    </xf>
    <xf numFmtId="0" fontId="0" fillId="0" borderId="13" xfId="0" applyBorder="1"/>
    <xf numFmtId="0" fontId="2" fillId="0" borderId="14" xfId="0" applyFont="1" applyBorder="1" applyAlignment="1">
      <alignment horizontal="right" vertical="center" wrapText="1"/>
    </xf>
    <xf numFmtId="9" fontId="2" fillId="0" borderId="14" xfId="0" applyNumberFormat="1" applyFont="1" applyBorder="1" applyAlignment="1">
      <alignment horizontal="right" vertical="center" wrapText="1"/>
    </xf>
    <xf numFmtId="0" fontId="2" fillId="0" borderId="14" xfId="0" applyFont="1" applyBorder="1" applyAlignment="1">
      <alignment horizontal="center" vertical="center" wrapText="1"/>
    </xf>
    <xf numFmtId="0" fontId="20" fillId="0" borderId="14" xfId="0" applyFont="1" applyBorder="1" applyAlignment="1">
      <alignment horizontal="left" vertical="top" wrapText="1"/>
    </xf>
    <xf numFmtId="0" fontId="2" fillId="0" borderId="14" xfId="0" applyFont="1" applyBorder="1" applyAlignment="1">
      <alignment vertical="center" wrapText="1"/>
    </xf>
    <xf numFmtId="0" fontId="6" fillId="0" borderId="14" xfId="0" applyFont="1" applyBorder="1" applyAlignment="1">
      <alignment horizontal="left" vertical="top" wrapText="1"/>
    </xf>
    <xf numFmtId="0" fontId="0" fillId="0" borderId="14" xfId="0" applyBorder="1"/>
    <xf numFmtId="0" fontId="0" fillId="0" borderId="0" xfId="0" applyAlignment="1">
      <alignment vertical="top"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6" fillId="0" borderId="13" xfId="0" applyFont="1" applyBorder="1"/>
    <xf numFmtId="0" fontId="4" fillId="2" borderId="0" xfId="2" applyFont="1" applyFill="1" applyAlignment="1">
      <alignment horizontal="left" vertical="center" wrapText="1"/>
    </xf>
    <xf numFmtId="0" fontId="11" fillId="0" borderId="0" xfId="0" applyFont="1" applyAlignment="1">
      <alignment horizontal="left" vertical="center" wrapText="1"/>
    </xf>
    <xf numFmtId="0" fontId="4" fillId="2" borderId="0" xfId="0" applyFont="1" applyFill="1" applyAlignment="1">
      <alignment horizontal="left" vertical="center"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2" fillId="0" borderId="0" xfId="0" applyFont="1" applyAlignment="1">
      <alignment horizontal="left" wrapText="1"/>
    </xf>
    <xf numFmtId="0" fontId="0" fillId="0" borderId="0" xfId="0" applyAlignment="1">
      <alignment horizontal="left" vertical="top" wrapText="1"/>
    </xf>
    <xf numFmtId="0" fontId="4" fillId="2" borderId="0" xfId="0" applyFont="1" applyFill="1" applyAlignment="1">
      <alignment horizontal="center" vertical="top" wrapText="1"/>
    </xf>
    <xf numFmtId="0" fontId="2" fillId="0" borderId="0" xfId="0" applyFont="1" applyAlignment="1">
      <alignment horizontal="left" vertical="top" wrapText="1"/>
    </xf>
    <xf numFmtId="0" fontId="0" fillId="0" borderId="0" xfId="0" applyAlignment="1"/>
    <xf numFmtId="0" fontId="5" fillId="6" borderId="0" xfId="0" applyFont="1" applyFill="1" applyAlignment="1">
      <alignment horizontal="left" vertical="center" wrapText="1"/>
    </xf>
    <xf numFmtId="0" fontId="6" fillId="3" borderId="12" xfId="0" applyFont="1" applyFill="1" applyBorder="1" applyAlignment="1">
      <alignment horizontal="center" vertical="center" wrapText="1"/>
    </xf>
    <xf numFmtId="0" fontId="7" fillId="4" borderId="12" xfId="0" applyFont="1" applyFill="1" applyBorder="1" applyAlignment="1">
      <alignment horizontal="left" vertical="center" wrapText="1"/>
    </xf>
    <xf numFmtId="164" fontId="7" fillId="0" borderId="12" xfId="0" applyNumberFormat="1" applyFont="1" applyBorder="1" applyAlignment="1">
      <alignment horizontal="center" vertical="center" wrapText="1"/>
    </xf>
    <xf numFmtId="0" fontId="7" fillId="0" borderId="12" xfId="0" applyFont="1" applyBorder="1" applyAlignment="1">
      <alignment horizontal="left" vertical="center" wrapText="1"/>
    </xf>
    <xf numFmtId="0" fontId="8" fillId="0" borderId="12" xfId="1" applyFont="1" applyBorder="1" applyAlignment="1">
      <alignment horizontal="left" vertical="center" wrapText="1"/>
    </xf>
    <xf numFmtId="164" fontId="9" fillId="0" borderId="12" xfId="0" applyNumberFormat="1" applyFont="1" applyBorder="1" applyAlignment="1">
      <alignment horizontal="center" vertical="center" wrapText="1"/>
    </xf>
    <xf numFmtId="0" fontId="7" fillId="0" borderId="12" xfId="0" applyFont="1" applyBorder="1" applyAlignment="1">
      <alignment horizontal="left" vertical="top" wrapText="1"/>
    </xf>
    <xf numFmtId="0" fontId="8" fillId="4" borderId="12" xfId="1" applyFont="1" applyFill="1" applyBorder="1" applyAlignment="1">
      <alignment horizontal="left" vertical="center" wrapText="1"/>
    </xf>
    <xf numFmtId="0" fontId="3" fillId="0" borderId="12" xfId="1" applyBorder="1" applyAlignment="1">
      <alignment horizontal="left" vertical="top" wrapText="1"/>
    </xf>
    <xf numFmtId="0" fontId="3" fillId="4" borderId="12" xfId="1" applyFill="1" applyBorder="1" applyAlignment="1">
      <alignment horizontal="left" vertical="center" wrapText="1"/>
    </xf>
    <xf numFmtId="0" fontId="6" fillId="4" borderId="12" xfId="0" applyFont="1" applyFill="1" applyBorder="1" applyAlignment="1">
      <alignment horizontal="left" vertical="center" wrapText="1"/>
    </xf>
    <xf numFmtId="0" fontId="6" fillId="0" borderId="12" xfId="0" applyFont="1" applyBorder="1" applyAlignment="1">
      <alignment horizontal="left" vertical="center" wrapText="1"/>
    </xf>
    <xf numFmtId="0" fontId="10" fillId="0" borderId="12" xfId="0" applyFont="1" applyBorder="1" applyAlignment="1">
      <alignment horizontal="left" vertical="center" wrapText="1"/>
    </xf>
    <xf numFmtId="0" fontId="0" fillId="0" borderId="2" xfId="0" applyBorder="1" applyAlignment="1"/>
    <xf numFmtId="0" fontId="0" fillId="0" borderId="3" xfId="0" applyBorder="1" applyAlignment="1"/>
    <xf numFmtId="0" fontId="12" fillId="0" borderId="12" xfId="0" applyFont="1" applyBorder="1" applyAlignment="1">
      <alignment horizontal="left" vertical="top" wrapText="1"/>
    </xf>
    <xf numFmtId="0" fontId="0" fillId="0" borderId="4" xfId="0" applyBorder="1" applyAlignment="1"/>
    <xf numFmtId="0" fontId="0" fillId="0" borderId="5" xfId="0" applyBorder="1" applyAlignment="1"/>
    <xf numFmtId="3" fontId="12" fillId="0" borderId="12" xfId="0" applyNumberFormat="1" applyFont="1" applyBorder="1" applyAlignment="1">
      <alignment horizontal="center" vertical="center" wrapText="1"/>
    </xf>
    <xf numFmtId="164" fontId="12" fillId="0" borderId="12" xfId="0" applyNumberFormat="1" applyFont="1" applyBorder="1" applyAlignment="1">
      <alignment horizontal="center" vertical="center" wrapText="1"/>
    </xf>
    <xf numFmtId="164" fontId="13" fillId="0" borderId="12" xfId="0" applyNumberFormat="1" applyFont="1" applyBorder="1" applyAlignment="1">
      <alignment horizontal="center" vertical="center" wrapText="1"/>
    </xf>
    <xf numFmtId="165" fontId="12" fillId="0" borderId="12" xfId="0" applyNumberFormat="1" applyFont="1" applyBorder="1" applyAlignment="1">
      <alignment horizontal="center" vertical="center" wrapText="1"/>
    </xf>
    <xf numFmtId="166" fontId="12" fillId="0" borderId="12" xfId="0" applyNumberFormat="1" applyFont="1" applyBorder="1" applyAlignment="1">
      <alignment horizontal="center" vertical="center" wrapText="1"/>
    </xf>
    <xf numFmtId="165" fontId="14" fillId="0" borderId="12" xfId="0" applyNumberFormat="1" applyFont="1" applyBorder="1" applyAlignment="1">
      <alignment horizontal="center" vertical="center" wrapText="1"/>
    </xf>
    <xf numFmtId="165" fontId="15" fillId="0" borderId="12" xfId="0" applyNumberFormat="1" applyFont="1" applyBorder="1" applyAlignment="1">
      <alignment horizontal="center" vertical="center" wrapText="1"/>
    </xf>
    <xf numFmtId="164" fontId="16" fillId="0" borderId="12" xfId="0" applyNumberFormat="1" applyFont="1" applyBorder="1" applyAlignment="1">
      <alignment horizontal="center" vertical="center" wrapText="1"/>
    </xf>
    <xf numFmtId="2" fontId="16" fillId="0" borderId="12" xfId="0" applyNumberFormat="1" applyFont="1" applyBorder="1" applyAlignment="1">
      <alignment horizontal="center" vertical="center" wrapText="1"/>
    </xf>
    <xf numFmtId="164" fontId="15" fillId="0" borderId="12" xfId="0" applyNumberFormat="1" applyFont="1" applyBorder="1" applyAlignment="1">
      <alignment horizontal="center" vertical="center" wrapText="1"/>
    </xf>
    <xf numFmtId="3" fontId="9" fillId="0" borderId="12" xfId="0" applyNumberFormat="1" applyFont="1" applyBorder="1" applyAlignment="1">
      <alignment horizontal="center" vertical="center" wrapText="1"/>
    </xf>
    <xf numFmtId="3" fontId="15" fillId="0" borderId="12" xfId="0" applyNumberFormat="1" applyFont="1" applyBorder="1" applyAlignment="1">
      <alignment horizontal="center" vertical="center" wrapText="1"/>
    </xf>
    <xf numFmtId="1" fontId="12" fillId="0" borderId="12" xfId="0" applyNumberFormat="1" applyFont="1" applyBorder="1" applyAlignment="1">
      <alignment horizontal="center" vertical="center" wrapText="1"/>
    </xf>
    <xf numFmtId="167" fontId="12" fillId="0" borderId="12" xfId="0" applyNumberFormat="1" applyFont="1" applyBorder="1" applyAlignment="1">
      <alignment horizontal="center" vertical="center" wrapText="1"/>
    </xf>
    <xf numFmtId="3" fontId="6" fillId="0" borderId="12" xfId="0" applyNumberFormat="1" applyFont="1" applyBorder="1" applyAlignment="1">
      <alignment horizontal="center" vertical="center" wrapText="1"/>
    </xf>
    <xf numFmtId="3" fontId="7" fillId="0" borderId="12" xfId="0" applyNumberFormat="1" applyFont="1" applyBorder="1" applyAlignment="1">
      <alignment horizontal="center" vertical="center" wrapText="1"/>
    </xf>
    <xf numFmtId="3" fontId="18" fillId="0" borderId="12" xfId="0" applyNumberFormat="1" applyFont="1" applyBorder="1" applyAlignment="1">
      <alignment horizontal="center" vertical="center" wrapText="1"/>
    </xf>
    <xf numFmtId="166" fontId="7" fillId="0" borderId="12" xfId="0" applyNumberFormat="1" applyFont="1" applyBorder="1" applyAlignment="1">
      <alignment horizontal="center" vertical="center" wrapText="1"/>
    </xf>
    <xf numFmtId="165" fontId="18" fillId="0" borderId="12" xfId="0" applyNumberFormat="1" applyFont="1" applyBorder="1" applyAlignment="1">
      <alignment horizontal="center" vertical="center" wrapText="1"/>
    </xf>
    <xf numFmtId="0" fontId="20" fillId="0" borderId="12" xfId="0" applyFont="1" applyBorder="1" applyAlignment="1">
      <alignment horizontal="left" vertical="center"/>
    </xf>
    <xf numFmtId="168" fontId="7" fillId="0" borderId="12" xfId="0" applyNumberFormat="1" applyFont="1" applyBorder="1" applyAlignment="1">
      <alignment horizontal="center" vertical="center" wrapText="1"/>
    </xf>
    <xf numFmtId="165" fontId="20" fillId="0" borderId="12" xfId="0" applyNumberFormat="1" applyFont="1" applyBorder="1" applyAlignment="1">
      <alignment horizontal="center" vertical="center" wrapText="1"/>
    </xf>
    <xf numFmtId="3" fontId="20" fillId="0" borderId="12" xfId="0" applyNumberFormat="1" applyFont="1" applyBorder="1" applyAlignment="1">
      <alignment horizontal="center" vertical="center" wrapText="1"/>
    </xf>
    <xf numFmtId="168" fontId="6" fillId="0" borderId="12" xfId="0" applyNumberFormat="1" applyFont="1" applyBorder="1" applyAlignment="1">
      <alignment horizontal="center" vertical="center" wrapText="1"/>
    </xf>
    <xf numFmtId="165" fontId="7" fillId="0" borderId="12" xfId="0" applyNumberFormat="1" applyFont="1" applyBorder="1" applyAlignment="1">
      <alignment horizontal="center" vertical="center" wrapText="1"/>
    </xf>
    <xf numFmtId="0" fontId="19" fillId="0" borderId="12" xfId="0" applyFont="1" applyBorder="1" applyAlignment="1">
      <alignment horizontal="center" vertical="center" wrapText="1"/>
    </xf>
    <xf numFmtId="168" fontId="20" fillId="0" borderId="12" xfId="0" applyNumberFormat="1" applyFont="1" applyBorder="1" applyAlignment="1">
      <alignment horizontal="center" vertical="center" wrapText="1"/>
    </xf>
    <xf numFmtId="0" fontId="12" fillId="0" borderId="12" xfId="0" applyFont="1" applyBorder="1" applyAlignment="1">
      <alignment horizontal="left" vertical="center"/>
    </xf>
    <xf numFmtId="0" fontId="21" fillId="0" borderId="12" xfId="0" applyFont="1" applyBorder="1" applyAlignment="1">
      <alignment horizontal="center" vertical="center" wrapText="1"/>
    </xf>
    <xf numFmtId="0" fontId="0" fillId="0" borderId="7" xfId="0" applyBorder="1" applyAlignment="1"/>
    <xf numFmtId="0" fontId="0" fillId="0" borderId="11" xfId="0" applyBorder="1" applyAlignment="1"/>
    <xf numFmtId="0" fontId="0" fillId="0" borderId="8" xfId="0" applyBorder="1" applyAlignment="1"/>
    <xf numFmtId="0" fontId="0" fillId="0" borderId="10" xfId="0" applyBorder="1" applyAlignment="1"/>
    <xf numFmtId="0" fontId="1" fillId="0" borderId="0" xfId="2" applyAlignment="1"/>
    <xf numFmtId="0" fontId="5" fillId="6" borderId="0" xfId="2" applyFont="1" applyFill="1" applyAlignment="1">
      <alignment horizontal="left" vertical="center" wrapText="1"/>
    </xf>
    <xf numFmtId="0" fontId="6" fillId="3" borderId="12" xfId="2" applyFont="1" applyFill="1" applyBorder="1" applyAlignment="1">
      <alignment horizontal="center" vertical="center" wrapText="1"/>
    </xf>
    <xf numFmtId="169" fontId="7" fillId="0" borderId="12" xfId="2" applyNumberFormat="1" applyFont="1" applyBorder="1" applyAlignment="1">
      <alignment horizontal="center" vertical="center" wrapText="1"/>
    </xf>
    <xf numFmtId="170" fontId="7" fillId="0" borderId="12" xfId="2" applyNumberFormat="1" applyFont="1" applyBorder="1" applyAlignment="1">
      <alignment horizontal="center" vertical="center" wrapText="1"/>
    </xf>
    <xf numFmtId="0" fontId="7" fillId="0" borderId="12" xfId="2" applyFont="1" applyBorder="1" applyAlignment="1">
      <alignment horizontal="left" vertical="center" wrapText="1"/>
    </xf>
    <xf numFmtId="10" fontId="7" fillId="0" borderId="12" xfId="3" applyNumberFormat="1" applyFont="1" applyBorder="1" applyAlignment="1">
      <alignment horizontal="center" vertical="center" wrapText="1"/>
    </xf>
    <xf numFmtId="0" fontId="6" fillId="0" borderId="12" xfId="2" applyFont="1" applyBorder="1" applyAlignment="1">
      <alignment horizontal="left" vertical="center" wrapText="1"/>
    </xf>
    <xf numFmtId="164" fontId="18" fillId="0" borderId="12" xfId="2" applyNumberFormat="1" applyFont="1" applyBorder="1" applyAlignment="1">
      <alignment horizontal="center" vertical="center" wrapText="1"/>
    </xf>
    <xf numFmtId="167" fontId="7" fillId="0" borderId="12" xfId="2" applyNumberFormat="1" applyFont="1" applyBorder="1" applyAlignment="1">
      <alignment horizontal="center" vertical="center" wrapText="1"/>
    </xf>
    <xf numFmtId="2" fontId="7" fillId="0" borderId="12" xfId="2" applyNumberFormat="1" applyFont="1" applyBorder="1" applyAlignment="1">
      <alignment horizontal="center" vertical="center" wrapText="1"/>
    </xf>
    <xf numFmtId="2" fontId="6" fillId="3" borderId="12" xfId="2" applyNumberFormat="1" applyFont="1" applyFill="1" applyBorder="1" applyAlignment="1">
      <alignment horizontal="center" vertical="center" wrapText="1"/>
    </xf>
    <xf numFmtId="164" fontId="23" fillId="0" borderId="12" xfId="2" applyNumberFormat="1" applyFont="1" applyBorder="1" applyAlignment="1">
      <alignment horizontal="center" vertical="center" wrapText="1"/>
    </xf>
    <xf numFmtId="2" fontId="6" fillId="0" borderId="12" xfId="2" applyNumberFormat="1" applyFont="1" applyBorder="1" applyAlignment="1">
      <alignment horizontal="center" vertical="center" wrapText="1"/>
    </xf>
    <xf numFmtId="164" fontId="14" fillId="5" borderId="12" xfId="2" applyNumberFormat="1" applyFont="1" applyFill="1" applyBorder="1"/>
    <xf numFmtId="164" fontId="6" fillId="0" borderId="0" xfId="2" applyNumberFormat="1" applyFont="1" applyAlignment="1"/>
    <xf numFmtId="164" fontId="6" fillId="0" borderId="12" xfId="2" applyNumberFormat="1" applyFont="1" applyBorder="1" applyAlignment="1">
      <alignment horizontal="center" vertical="center" wrapText="1"/>
    </xf>
    <xf numFmtId="0" fontId="18" fillId="0" borderId="12" xfId="2" applyFont="1" applyBorder="1" applyAlignment="1">
      <alignment horizontal="left" vertical="center" wrapText="1"/>
    </xf>
    <xf numFmtId="171" fontId="6" fillId="0" borderId="12" xfId="2" applyNumberFormat="1" applyFont="1" applyBorder="1" applyAlignment="1">
      <alignment horizontal="center" vertical="center" wrapText="1"/>
    </xf>
    <xf numFmtId="0" fontId="10" fillId="0" borderId="12" xfId="2" applyFont="1" applyBorder="1" applyAlignment="1">
      <alignment horizontal="left" vertical="center" wrapText="1"/>
    </xf>
    <xf numFmtId="0" fontId="6" fillId="0" borderId="12" xfId="0" applyFont="1" applyBorder="1" applyAlignment="1">
      <alignment horizontal="left" vertical="top" wrapText="1"/>
    </xf>
    <xf numFmtId="0" fontId="5" fillId="6" borderId="13" xfId="0" applyFont="1" applyFill="1" applyBorder="1" applyAlignment="1">
      <alignment horizontal="left" vertical="top" wrapText="1"/>
    </xf>
    <xf numFmtId="172" fontId="23" fillId="0" borderId="12" xfId="0" applyNumberFormat="1" applyFont="1" applyBorder="1" applyAlignment="1">
      <alignment horizontal="center" vertical="center" wrapText="1"/>
    </xf>
    <xf numFmtId="10" fontId="23" fillId="0" borderId="12" xfId="0" applyNumberFormat="1" applyFont="1" applyBorder="1" applyAlignment="1">
      <alignment horizontal="center" vertical="center" wrapText="1"/>
    </xf>
    <xf numFmtId="2" fontId="23" fillId="0" borderId="12" xfId="0" applyNumberFormat="1" applyFont="1" applyBorder="1" applyAlignment="1">
      <alignment horizontal="center" vertical="center" wrapText="1"/>
    </xf>
    <xf numFmtId="172" fontId="25" fillId="0" borderId="12" xfId="0" applyNumberFormat="1" applyFont="1" applyBorder="1" applyAlignment="1">
      <alignment horizontal="center" vertical="center" wrapText="1"/>
    </xf>
    <xf numFmtId="164" fontId="25" fillId="0" borderId="12" xfId="0" applyNumberFormat="1" applyFont="1" applyBorder="1" applyAlignment="1">
      <alignment horizontal="center" vertical="center" wrapText="1"/>
    </xf>
    <xf numFmtId="0" fontId="25" fillId="0" borderId="12" xfId="0" applyFont="1" applyBorder="1" applyAlignment="1">
      <alignment horizontal="center" vertical="center" wrapText="1"/>
    </xf>
    <xf numFmtId="164" fontId="21" fillId="0" borderId="12" xfId="0" applyNumberFormat="1" applyFont="1" applyBorder="1" applyAlignment="1">
      <alignment horizontal="center" vertical="center" wrapText="1"/>
    </xf>
    <xf numFmtId="164" fontId="23" fillId="0" borderId="12" xfId="0" applyNumberFormat="1" applyFont="1" applyBorder="1" applyAlignment="1">
      <alignment horizontal="center" vertical="center" wrapText="1"/>
    </xf>
    <xf numFmtId="2" fontId="25" fillId="0" borderId="12" xfId="0" applyNumberFormat="1" applyFont="1" applyBorder="1" applyAlignment="1">
      <alignment horizontal="center" vertical="center" wrapText="1"/>
    </xf>
    <xf numFmtId="2" fontId="21" fillId="0" borderId="12" xfId="0" applyNumberFormat="1" applyFont="1" applyBorder="1" applyAlignment="1">
      <alignment horizontal="center" vertical="center" wrapText="1"/>
    </xf>
    <xf numFmtId="164" fontId="23" fillId="0" borderId="12" xfId="0" applyNumberFormat="1" applyFont="1" applyBorder="1" applyAlignment="1">
      <alignment horizontal="center" vertical="center" wrapText="1"/>
    </xf>
    <xf numFmtId="164" fontId="25" fillId="0" borderId="12" xfId="0" applyNumberFormat="1" applyFont="1" applyBorder="1" applyAlignment="1">
      <alignment horizontal="center" vertical="center" wrapText="1"/>
    </xf>
    <xf numFmtId="2" fontId="25" fillId="0" borderId="12" xfId="0" applyNumberFormat="1" applyFont="1" applyBorder="1" applyAlignment="1">
      <alignment horizontal="center" vertical="center" wrapText="1"/>
    </xf>
    <xf numFmtId="9" fontId="18" fillId="0" borderId="12" xfId="4" applyFont="1" applyBorder="1" applyAlignment="1">
      <alignment horizontal="center" vertical="center" wrapText="1"/>
    </xf>
  </cellXfs>
  <cellStyles count="5">
    <cellStyle name="Hyperlink 2" xfId="1" xr:uid="{00000000-0005-0000-0000-000001000000}"/>
    <cellStyle name="Normal" xfId="0" builtinId="0"/>
    <cellStyle name="Normal 2" xfId="2" xr:uid="{00000000-0005-0000-0000-000002000000}"/>
    <cellStyle name="Per cent" xfId="4" builtinId="5"/>
    <cellStyle name="Percent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ajajfinserv.in/investments/section-115-baa-of-income-tax-act" TargetMode="External"/><Relationship Id="rId2" Type="http://schemas.openxmlformats.org/officeDocument/2006/relationships/hyperlink" Target="http://niftyindices.com/market-data/return-profile" TargetMode="External"/><Relationship Id="rId1" Type="http://schemas.openxmlformats.org/officeDocument/2006/relationships/hyperlink" Target="https://www.worldgovernmentbonds.com/" TargetMode="External"/><Relationship Id="rId6" Type="http://schemas.openxmlformats.org/officeDocument/2006/relationships/hyperlink" Target="https://www.rbi.org.in/scripts/BS_PressReleaseDisplay.aspx?prid=63469" TargetMode="External"/><Relationship Id="rId5" Type="http://schemas.openxmlformats.org/officeDocument/2006/relationships/hyperlink" Target="https://www.pib.gov.in/PressReleasePage.aspx?PRID=2233792&amp;reg=3&amp;lang=1" TargetMode="External"/><Relationship Id="rId4" Type="http://schemas.openxmlformats.org/officeDocument/2006/relationships/hyperlink" Target="https://www.mospi.gov.in/themes/product/9-consumer-price-index-c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showGridLines="0" tabSelected="1" workbookViewId="0">
      <selection activeCell="D2356" sqref="D2356"/>
    </sheetView>
  </sheetViews>
  <sheetFormatPr defaultRowHeight="14.45"/>
  <cols>
    <col min="1" max="1" width="22" customWidth="1"/>
    <col min="2" max="2" width="24" customWidth="1"/>
    <col min="3" max="3" width="68" customWidth="1"/>
  </cols>
  <sheetData>
    <row r="1" spans="1:3" ht="22.15" customHeight="1">
      <c r="A1" s="48" t="s">
        <v>0</v>
      </c>
      <c r="B1" s="55"/>
      <c r="C1" s="55"/>
    </row>
    <row r="3" spans="1:3" ht="18" customHeight="1">
      <c r="A3" s="56" t="s">
        <v>1</v>
      </c>
      <c r="B3" s="55"/>
      <c r="C3" s="55"/>
    </row>
    <row r="4" spans="1:3">
      <c r="A4" s="57" t="s">
        <v>2</v>
      </c>
      <c r="B4" s="57" t="s">
        <v>3</v>
      </c>
      <c r="C4" s="57" t="s">
        <v>4</v>
      </c>
    </row>
    <row r="5" spans="1:3" ht="28.15" customHeight="1">
      <c r="A5" s="58" t="s">
        <v>5</v>
      </c>
      <c r="B5" s="59">
        <v>6.9000000000000006E-2</v>
      </c>
      <c r="C5" s="1" t="s">
        <v>6</v>
      </c>
    </row>
    <row r="6" spans="1:3" ht="28.15" customHeight="1">
      <c r="A6" s="60" t="s">
        <v>7</v>
      </c>
      <c r="B6" s="59">
        <v>0.13</v>
      </c>
      <c r="C6" s="61" t="s">
        <v>8</v>
      </c>
    </row>
    <row r="7" spans="1:3" ht="28.15" customHeight="1">
      <c r="A7" s="58" t="s">
        <v>9</v>
      </c>
      <c r="B7" s="62">
        <f>B6-B5</f>
        <v>6.0999999999999999E-2</v>
      </c>
      <c r="C7" s="58"/>
    </row>
    <row r="8" spans="1:3" ht="51.6" customHeight="1">
      <c r="A8" s="63" t="s">
        <v>10</v>
      </c>
      <c r="B8" s="59">
        <v>0.25169999999999998</v>
      </c>
      <c r="C8" s="61" t="s">
        <v>11</v>
      </c>
    </row>
    <row r="9" spans="1:3" ht="28.15" customHeight="1">
      <c r="A9" s="58" t="s">
        <v>12</v>
      </c>
      <c r="B9" s="59">
        <v>4.4499999999999998E-2</v>
      </c>
      <c r="C9" s="64" t="s">
        <v>13</v>
      </c>
    </row>
    <row r="10" spans="1:3" ht="41.45" customHeight="1">
      <c r="A10" s="63" t="s">
        <v>14</v>
      </c>
      <c r="B10" s="59">
        <v>0.06</v>
      </c>
      <c r="C10" s="65" t="s">
        <v>15</v>
      </c>
    </row>
    <row r="11" spans="1:3" ht="28.15" customHeight="1">
      <c r="A11" s="58" t="s">
        <v>16</v>
      </c>
      <c r="B11" s="59">
        <v>5.2499999999999998E-2</v>
      </c>
      <c r="C11" s="66" t="s">
        <v>17</v>
      </c>
    </row>
    <row r="13" spans="1:3" ht="18" customHeight="1">
      <c r="A13" s="56" t="s">
        <v>18</v>
      </c>
      <c r="B13" s="55"/>
      <c r="C13" s="55"/>
    </row>
    <row r="14" spans="1:3">
      <c r="A14" s="57" t="s">
        <v>19</v>
      </c>
      <c r="B14" s="57" t="s">
        <v>20</v>
      </c>
      <c r="C14" s="57" t="s">
        <v>21</v>
      </c>
    </row>
    <row r="15" spans="1:3" ht="46.15" customHeight="1">
      <c r="A15" s="67" t="s">
        <v>22</v>
      </c>
      <c r="B15" s="68" t="s">
        <v>23</v>
      </c>
      <c r="C15" s="69" t="s">
        <v>24</v>
      </c>
    </row>
    <row r="16" spans="1:3" ht="40.15" customHeight="1">
      <c r="A16" s="70"/>
      <c r="B16" s="68" t="s">
        <v>25</v>
      </c>
      <c r="C16" s="69" t="s">
        <v>26</v>
      </c>
    </row>
    <row r="17" spans="1:3" ht="40.15" customHeight="1">
      <c r="A17" s="71"/>
      <c r="B17" s="68" t="s">
        <v>27</v>
      </c>
      <c r="C17" s="69" t="s">
        <v>28</v>
      </c>
    </row>
    <row r="18" spans="1:3" ht="40.15" customHeight="1">
      <c r="A18" s="67" t="s">
        <v>29</v>
      </c>
      <c r="B18" s="68" t="s">
        <v>23</v>
      </c>
      <c r="C18" s="69" t="s">
        <v>30</v>
      </c>
    </row>
    <row r="19" spans="1:3" ht="40.15" customHeight="1">
      <c r="A19" s="70"/>
      <c r="B19" s="68" t="s">
        <v>25</v>
      </c>
      <c r="C19" s="69" t="s">
        <v>31</v>
      </c>
    </row>
    <row r="20" spans="1:3" ht="40.15" customHeight="1">
      <c r="A20" s="71"/>
      <c r="B20" s="68" t="s">
        <v>27</v>
      </c>
      <c r="C20" s="69" t="s">
        <v>32</v>
      </c>
    </row>
    <row r="21" spans="1:3" ht="40.15" customHeight="1">
      <c r="A21" s="67" t="s">
        <v>33</v>
      </c>
      <c r="B21" s="68" t="s">
        <v>23</v>
      </c>
      <c r="C21" s="69" t="s">
        <v>34</v>
      </c>
    </row>
    <row r="22" spans="1:3" ht="40.15" customHeight="1">
      <c r="A22" s="70"/>
      <c r="B22" s="68" t="s">
        <v>25</v>
      </c>
      <c r="C22" s="69" t="s">
        <v>35</v>
      </c>
    </row>
    <row r="23" spans="1:3" ht="40.15" customHeight="1">
      <c r="A23" s="71"/>
      <c r="B23" s="68" t="s">
        <v>27</v>
      </c>
      <c r="C23" s="69" t="s">
        <v>36</v>
      </c>
    </row>
    <row r="24" spans="1:3" ht="40.15" customHeight="1">
      <c r="A24" s="67" t="s">
        <v>37</v>
      </c>
      <c r="B24" s="68" t="s">
        <v>23</v>
      </c>
      <c r="C24" s="69" t="s">
        <v>38</v>
      </c>
    </row>
    <row r="25" spans="1:3" ht="40.15" customHeight="1">
      <c r="A25" s="70"/>
      <c r="B25" s="68" t="s">
        <v>25</v>
      </c>
      <c r="C25" s="69" t="s">
        <v>39</v>
      </c>
    </row>
    <row r="26" spans="1:3" ht="40.15" customHeight="1">
      <c r="A26" s="71"/>
      <c r="B26" s="68" t="s">
        <v>27</v>
      </c>
      <c r="C26" s="69" t="s">
        <v>40</v>
      </c>
    </row>
    <row r="27" spans="1:3" ht="40.15" customHeight="1"/>
    <row r="28" spans="1:3">
      <c r="A28" s="47"/>
      <c r="B28" s="55"/>
      <c r="C28" s="55"/>
    </row>
  </sheetData>
  <mergeCells count="8">
    <mergeCell ref="A28:C28"/>
    <mergeCell ref="A21:A23"/>
    <mergeCell ref="A13:C13"/>
    <mergeCell ref="A1:C1"/>
    <mergeCell ref="A15:A17"/>
    <mergeCell ref="A3:C3"/>
    <mergeCell ref="A24:A26"/>
    <mergeCell ref="A18:A20"/>
  </mergeCells>
  <hyperlinks>
    <hyperlink ref="C5" r:id="rId1" xr:uid="{00000000-0004-0000-0000-000000000000}"/>
    <hyperlink ref="C6" r:id="rId2" xr:uid="{00000000-0004-0000-0000-000001000000}"/>
    <hyperlink ref="C8" r:id="rId3" xr:uid="{00000000-0004-0000-0000-000002000000}"/>
    <hyperlink ref="C9" r:id="rId4" xr:uid="{00000000-0004-0000-0000-000003000000}"/>
    <hyperlink ref="C10" r:id="rId5" xr:uid="{00000000-0004-0000-0000-000004000000}"/>
    <hyperlink ref="C11" r:id="rId6"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0"/>
  <sheetViews>
    <sheetView showGridLines="0" topLeftCell="A102" workbookViewId="0">
      <selection activeCell="F32" sqref="F32"/>
    </sheetView>
  </sheetViews>
  <sheetFormatPr defaultRowHeight="14.45"/>
  <cols>
    <col min="1" max="1" width="34" customWidth="1"/>
    <col min="2" max="2" width="13" customWidth="1"/>
    <col min="3" max="3" width="13.85546875" customWidth="1"/>
    <col min="4" max="6" width="13" customWidth="1"/>
    <col min="7" max="7" width="11.7109375" customWidth="1"/>
    <col min="9" max="9" width="9.7109375" customWidth="1"/>
    <col min="10" max="11" width="15.140625" bestFit="1" customWidth="1"/>
    <col min="12" max="12" width="10.42578125" bestFit="1" customWidth="1"/>
  </cols>
  <sheetData>
    <row r="1" spans="1:7" ht="22.15" customHeight="1">
      <c r="A1" s="48" t="s">
        <v>41</v>
      </c>
      <c r="B1" s="55"/>
      <c r="C1" s="55"/>
      <c r="D1" s="55"/>
      <c r="E1" s="55"/>
      <c r="F1" s="55"/>
    </row>
    <row r="3" spans="1:7" ht="18" customHeight="1">
      <c r="A3" s="56" t="s">
        <v>42</v>
      </c>
      <c r="B3" s="55"/>
      <c r="C3" s="55"/>
      <c r="D3" s="55"/>
      <c r="E3" s="55"/>
      <c r="F3" s="55"/>
    </row>
    <row r="4" spans="1:7" ht="30" customHeight="1">
      <c r="A4" s="68" t="s">
        <v>43</v>
      </c>
      <c r="B4" s="72" t="s">
        <v>44</v>
      </c>
      <c r="C4" s="73"/>
      <c r="D4" s="73"/>
      <c r="E4" s="73"/>
      <c r="F4" s="74"/>
    </row>
    <row r="5" spans="1:7" ht="150" customHeight="1">
      <c r="A5" s="68" t="s">
        <v>45</v>
      </c>
      <c r="B5" s="72" t="s">
        <v>46</v>
      </c>
      <c r="C5" s="73"/>
      <c r="D5" s="73"/>
      <c r="E5" s="73"/>
      <c r="F5" s="74"/>
    </row>
    <row r="6" spans="1:7" ht="27" customHeight="1">
      <c r="A6" s="68" t="s">
        <v>47</v>
      </c>
      <c r="B6" s="72" t="s">
        <v>48</v>
      </c>
      <c r="C6" s="73"/>
      <c r="D6" s="73"/>
      <c r="E6" s="73"/>
      <c r="F6" s="74"/>
    </row>
    <row r="7" spans="1:7" ht="22.15" customHeight="1">
      <c r="A7" s="68" t="s">
        <v>49</v>
      </c>
      <c r="B7" s="72" t="s">
        <v>50</v>
      </c>
      <c r="C7" s="73"/>
      <c r="D7" s="73"/>
      <c r="E7" s="73"/>
      <c r="F7" s="74"/>
    </row>
    <row r="8" spans="1:7" ht="43.15" customHeight="1">
      <c r="A8" s="68" t="s">
        <v>51</v>
      </c>
      <c r="B8" s="72" t="s">
        <v>52</v>
      </c>
      <c r="C8" s="73"/>
      <c r="D8" s="73"/>
      <c r="E8" s="73"/>
      <c r="F8" s="74"/>
    </row>
    <row r="9" spans="1:7" ht="22.15" customHeight="1">
      <c r="A9" s="68" t="s">
        <v>53</v>
      </c>
      <c r="B9" s="72" t="s">
        <v>54</v>
      </c>
      <c r="C9" s="73"/>
      <c r="D9" s="73"/>
      <c r="E9" s="73"/>
      <c r="F9" s="74"/>
      <c r="G9" s="2"/>
    </row>
    <row r="11" spans="1:7" ht="18" customHeight="1">
      <c r="A11" s="56" t="s">
        <v>55</v>
      </c>
      <c r="B11" s="55"/>
      <c r="C11" s="55"/>
      <c r="D11" s="55"/>
      <c r="E11" s="55"/>
      <c r="F11" s="55"/>
    </row>
    <row r="12" spans="1:7">
      <c r="A12" s="47"/>
      <c r="B12" s="55"/>
      <c r="C12" s="55"/>
      <c r="D12" s="55"/>
      <c r="E12" s="55"/>
      <c r="F12" s="55"/>
    </row>
    <row r="13" spans="1:7">
      <c r="A13" s="57" t="s">
        <v>56</v>
      </c>
      <c r="B13" s="57" t="s">
        <v>57</v>
      </c>
      <c r="C13" s="57" t="s">
        <v>58</v>
      </c>
      <c r="D13" s="57" t="s">
        <v>59</v>
      </c>
      <c r="E13" s="57" t="s">
        <v>60</v>
      </c>
      <c r="F13" s="57" t="s">
        <v>61</v>
      </c>
    </row>
    <row r="14" spans="1:7">
      <c r="A14" s="68" t="s">
        <v>62</v>
      </c>
      <c r="B14" s="75">
        <v>90171</v>
      </c>
      <c r="C14" s="75">
        <v>121362</v>
      </c>
      <c r="D14" s="75">
        <v>139078</v>
      </c>
      <c r="E14" s="75">
        <v>159211</v>
      </c>
      <c r="F14" s="75">
        <v>198639</v>
      </c>
      <c r="G14" s="2"/>
    </row>
    <row r="15" spans="1:7">
      <c r="A15" s="60" t="s">
        <v>63</v>
      </c>
      <c r="B15" s="76"/>
      <c r="C15" s="77">
        <f>IFERROR(C14/B14-1,"")</f>
        <v>0.34590943873307389</v>
      </c>
      <c r="D15" s="77">
        <f>IFERROR(D14/C14-1,"")</f>
        <v>0.1459765000576787</v>
      </c>
      <c r="E15" s="77">
        <f>IFERROR(E14/D14-1,"")</f>
        <v>0.14476049411121816</v>
      </c>
      <c r="F15" s="77">
        <f>IFERROR(F14/E14-1,"")</f>
        <v>0.24764620535013293</v>
      </c>
    </row>
    <row r="16" spans="1:7">
      <c r="A16" s="68" t="s">
        <v>64</v>
      </c>
      <c r="B16" s="75">
        <v>14683</v>
      </c>
      <c r="C16" s="75">
        <v>20325</v>
      </c>
      <c r="D16" s="75">
        <v>24892</v>
      </c>
      <c r="E16" s="75">
        <v>30518</v>
      </c>
      <c r="F16" s="75">
        <v>36980</v>
      </c>
      <c r="G16" s="2"/>
    </row>
    <row r="17" spans="1:7">
      <c r="A17" s="60" t="s">
        <v>65</v>
      </c>
      <c r="B17" s="77">
        <f>IFERROR(B16/B14,"")</f>
        <v>0.16283505783455879</v>
      </c>
      <c r="C17" s="77">
        <f>IFERROR(C16/C14,"")</f>
        <v>0.16747416819103178</v>
      </c>
      <c r="D17" s="77">
        <f>IFERROR(D16/D14,"")</f>
        <v>0.17897870259854182</v>
      </c>
      <c r="E17" s="77">
        <f>IFERROR(E16/E14,"")</f>
        <v>0.19168273548938203</v>
      </c>
      <c r="F17" s="77">
        <f>IFERROR(F16/F14,"")</f>
        <v>0.18616686551986267</v>
      </c>
    </row>
    <row r="18" spans="1:7">
      <c r="A18" s="68" t="s">
        <v>66</v>
      </c>
      <c r="B18" s="75">
        <v>11175</v>
      </c>
      <c r="C18" s="75">
        <v>15968</v>
      </c>
      <c r="D18" s="75">
        <v>20168</v>
      </c>
      <c r="E18" s="75">
        <v>24444</v>
      </c>
      <c r="F18" s="75">
        <v>29658</v>
      </c>
      <c r="G18" s="2"/>
    </row>
    <row r="19" spans="1:7">
      <c r="A19" s="60" t="s">
        <v>67</v>
      </c>
      <c r="B19" s="77">
        <f>IFERROR(B18/B14,"")</f>
        <v>0.12393119739162259</v>
      </c>
      <c r="C19" s="77">
        <f>IFERROR(C18/C14,"")</f>
        <v>0.1315733096026763</v>
      </c>
      <c r="D19" s="77">
        <f>IFERROR(D18/D14,"")</f>
        <v>0.14501215145457944</v>
      </c>
      <c r="E19" s="77">
        <f>IFERROR(E18/E14,"")</f>
        <v>0.15353210519373661</v>
      </c>
      <c r="F19" s="77">
        <f>IFERROR(F18/F14,"")</f>
        <v>0.14930602751725491</v>
      </c>
    </row>
    <row r="20" spans="1:7">
      <c r="A20" s="68" t="s">
        <v>68</v>
      </c>
      <c r="B20" s="75">
        <v>7253</v>
      </c>
      <c r="C20" s="75">
        <v>11374</v>
      </c>
      <c r="D20" s="75">
        <v>12270</v>
      </c>
      <c r="E20" s="75">
        <v>14073</v>
      </c>
      <c r="F20" s="75">
        <v>18622</v>
      </c>
      <c r="G20" s="2"/>
    </row>
    <row r="21" spans="1:7">
      <c r="A21" s="60" t="s">
        <v>69</v>
      </c>
      <c r="B21" s="77">
        <f>IFERROR(B20/B14,"")</f>
        <v>8.0436060374177956E-2</v>
      </c>
      <c r="C21" s="77">
        <f>IFERROR(C20/C14,"")</f>
        <v>9.3719615695192895E-2</v>
      </c>
      <c r="D21" s="77">
        <f>IFERROR(D20/D14,"")</f>
        <v>8.8223874372654193E-2</v>
      </c>
      <c r="E21" s="77">
        <f>IFERROR(E20/E14,"")</f>
        <v>8.8392133709354254E-2</v>
      </c>
      <c r="F21" s="77">
        <f>IFERROR(F20/F14,"")</f>
        <v>9.3747954832636093E-2</v>
      </c>
    </row>
    <row r="22" spans="1:7">
      <c r="A22" s="60" t="s">
        <v>70</v>
      </c>
      <c r="B22" s="78">
        <v>52.91</v>
      </c>
      <c r="C22" s="78">
        <v>82.68</v>
      </c>
      <c r="D22" s="78">
        <v>90.62</v>
      </c>
      <c r="E22" s="78">
        <v>103.97</v>
      </c>
      <c r="F22" s="78">
        <v>137.5</v>
      </c>
      <c r="G22" s="2"/>
    </row>
    <row r="23" spans="1:7">
      <c r="A23" s="60" t="s">
        <v>71</v>
      </c>
      <c r="B23" s="75">
        <v>6976</v>
      </c>
      <c r="C23" s="75">
        <v>2745</v>
      </c>
      <c r="D23" s="75">
        <v>9783</v>
      </c>
      <c r="E23" s="75">
        <v>12840</v>
      </c>
      <c r="F23" s="75">
        <v>10587</v>
      </c>
      <c r="G23" s="2"/>
    </row>
    <row r="24" spans="1:7">
      <c r="A24" s="60" t="s">
        <v>72</v>
      </c>
      <c r="B24" s="77">
        <f>B23/B14</f>
        <v>7.7364119284470623E-2</v>
      </c>
      <c r="C24" s="77">
        <f>C23/C14</f>
        <v>2.2618282493696545E-2</v>
      </c>
      <c r="D24" s="77">
        <f>D23/D14</f>
        <v>7.034182257438272E-2</v>
      </c>
      <c r="E24" s="77">
        <f>E23/E14</f>
        <v>8.0647693940745294E-2</v>
      </c>
      <c r="F24" s="77">
        <f>F23/F14</f>
        <v>5.3297690785797353E-2</v>
      </c>
      <c r="G24" s="2"/>
    </row>
    <row r="25" spans="1:7">
      <c r="A25" s="60" t="s">
        <v>73</v>
      </c>
      <c r="B25" s="75">
        <v>3508</v>
      </c>
      <c r="C25" s="75">
        <v>4357</v>
      </c>
      <c r="D25" s="75">
        <v>4724</v>
      </c>
      <c r="E25" s="75">
        <v>6074</v>
      </c>
      <c r="F25" s="75">
        <v>7322</v>
      </c>
      <c r="G25" s="2"/>
    </row>
    <row r="26" spans="1:7">
      <c r="A26" s="60" t="s">
        <v>74</v>
      </c>
      <c r="B26" s="77">
        <f>B25/B14</f>
        <v>3.89038604429362E-2</v>
      </c>
      <c r="C26" s="77">
        <f>C25/C14</f>
        <v>3.5900858588355497E-2</v>
      </c>
      <c r="D26" s="77">
        <f>D25/D14</f>
        <v>3.3966551143962381E-2</v>
      </c>
      <c r="E26" s="77">
        <f>E25/E14</f>
        <v>3.8150630295645402E-2</v>
      </c>
      <c r="F26" s="77">
        <f>F25/F14</f>
        <v>3.6860838002607747E-2</v>
      </c>
      <c r="G26" s="2"/>
    </row>
    <row r="27" spans="1:7">
      <c r="A27" s="60" t="s">
        <v>75</v>
      </c>
      <c r="B27" s="75">
        <v>5018</v>
      </c>
      <c r="C27" s="75">
        <v>5830</v>
      </c>
      <c r="D27" s="75">
        <v>7488</v>
      </c>
      <c r="E27" s="75">
        <v>9083</v>
      </c>
      <c r="F27" s="75">
        <v>9591</v>
      </c>
      <c r="G27" s="2"/>
    </row>
    <row r="28" spans="1:7">
      <c r="A28" s="60" t="s">
        <v>76</v>
      </c>
      <c r="B28" s="75">
        <v>77605</v>
      </c>
      <c r="C28" s="75">
        <v>92647</v>
      </c>
      <c r="D28" s="75">
        <v>108647</v>
      </c>
      <c r="E28" s="75">
        <v>129025</v>
      </c>
      <c r="F28" s="75">
        <v>136936</v>
      </c>
      <c r="G28" s="2"/>
    </row>
    <row r="29" spans="1:7">
      <c r="A29" s="60" t="s">
        <v>77</v>
      </c>
      <c r="B29" s="75">
        <v>61946</v>
      </c>
      <c r="C29" s="75">
        <v>82632</v>
      </c>
      <c r="D29" s="75">
        <v>103461</v>
      </c>
      <c r="E29" s="75">
        <v>121821</v>
      </c>
      <c r="F29" s="75">
        <v>143510</v>
      </c>
      <c r="G29" s="2"/>
    </row>
    <row r="30" spans="1:7">
      <c r="A30" s="60" t="s">
        <v>78</v>
      </c>
      <c r="B30" s="75"/>
      <c r="C30" s="75">
        <f>C29-B29</f>
        <v>20686</v>
      </c>
      <c r="D30" s="75">
        <f>D29-C29</f>
        <v>20829</v>
      </c>
      <c r="E30" s="75">
        <f>E29-D29</f>
        <v>18360</v>
      </c>
      <c r="F30" s="75">
        <f>F29-E29</f>
        <v>21689</v>
      </c>
      <c r="G30" s="2"/>
    </row>
    <row r="31" spans="1:7">
      <c r="A31" s="60" t="s">
        <v>79</v>
      </c>
      <c r="B31" s="77"/>
      <c r="C31" s="77">
        <f>C30/C14</f>
        <v>0.17044874013282577</v>
      </c>
      <c r="D31" s="77">
        <f>D30/D14</f>
        <v>0.14976488013920247</v>
      </c>
      <c r="E31" s="77">
        <f>E30/E14</f>
        <v>0.11531866516760776</v>
      </c>
      <c r="F31" s="77">
        <f>F30/F14</f>
        <v>0.10918802450676857</v>
      </c>
      <c r="G31" s="2"/>
    </row>
    <row r="32" spans="1:7">
      <c r="A32" s="60" t="s">
        <v>80</v>
      </c>
      <c r="B32" s="75">
        <v>30060</v>
      </c>
      <c r="C32" s="75">
        <v>35272</v>
      </c>
      <c r="D32" s="75">
        <v>35208</v>
      </c>
      <c r="E32" s="75">
        <v>41309</v>
      </c>
      <c r="F32" s="75">
        <v>40324</v>
      </c>
      <c r="G32" s="2"/>
    </row>
    <row r="33" spans="1:7">
      <c r="A33" s="60" t="s">
        <v>81</v>
      </c>
      <c r="B33" s="75">
        <v>47123</v>
      </c>
      <c r="C33" s="75">
        <v>56366</v>
      </c>
      <c r="D33" s="75">
        <v>66190</v>
      </c>
      <c r="E33" s="75">
        <v>77039</v>
      </c>
      <c r="F33" s="75">
        <v>93097</v>
      </c>
      <c r="G33" s="2"/>
    </row>
    <row r="34" spans="1:7">
      <c r="A34" s="60" t="s">
        <v>82</v>
      </c>
      <c r="B34" s="79">
        <v>124.3</v>
      </c>
      <c r="C34" s="79">
        <v>124.3</v>
      </c>
      <c r="D34" s="79">
        <v>124.3</v>
      </c>
      <c r="E34" s="79">
        <v>124.3</v>
      </c>
      <c r="F34" s="79">
        <v>124.3</v>
      </c>
      <c r="G34" s="2"/>
    </row>
    <row r="35" spans="1:7">
      <c r="A35" s="60" t="s">
        <v>83</v>
      </c>
      <c r="B35" s="80"/>
      <c r="C35" s="80"/>
      <c r="D35" s="80"/>
      <c r="E35" s="80"/>
      <c r="F35" s="81">
        <v>3282</v>
      </c>
      <c r="G35" s="2"/>
    </row>
    <row r="36" spans="1:7">
      <c r="A36" s="3"/>
      <c r="B36" s="4"/>
      <c r="C36" s="4"/>
      <c r="D36" s="4"/>
      <c r="E36" s="4"/>
      <c r="F36" s="4"/>
      <c r="G36" s="2"/>
    </row>
    <row r="37" spans="1:7" ht="18" customHeight="1">
      <c r="A37" s="56" t="s">
        <v>84</v>
      </c>
      <c r="B37" s="55"/>
      <c r="C37" s="55"/>
      <c r="D37" s="55"/>
      <c r="E37" s="55"/>
      <c r="F37" s="55"/>
    </row>
    <row r="38" spans="1:7">
      <c r="A38" s="60" t="s">
        <v>85</v>
      </c>
      <c r="B38" s="82">
        <f>'Economic &amp; Industry Inputs'!$B$5</f>
        <v>6.9000000000000006E-2</v>
      </c>
    </row>
    <row r="39" spans="1:7">
      <c r="A39" s="60" t="s">
        <v>86</v>
      </c>
      <c r="B39" s="83">
        <f>'Portfolio Construction'!B2511</f>
        <v>1.1855034556833719</v>
      </c>
      <c r="G39" s="2"/>
    </row>
    <row r="40" spans="1:7">
      <c r="A40" s="60" t="s">
        <v>9</v>
      </c>
      <c r="B40" s="82">
        <f>'Economic &amp; Industry Inputs'!$B$7</f>
        <v>6.0999999999999999E-2</v>
      </c>
    </row>
    <row r="41" spans="1:7">
      <c r="A41" s="68" t="s">
        <v>87</v>
      </c>
      <c r="B41" s="84">
        <f>B38+B39*B40</f>
        <v>0.1413157107966857</v>
      </c>
    </row>
    <row r="42" spans="1:7">
      <c r="A42" s="60" t="s">
        <v>88</v>
      </c>
      <c r="B42" s="62">
        <f>AVERAGE((B27/B28),(C27/C28),(D27/D28),(E27/E28),(F27/F28))</f>
        <v>6.7389096715509161E-2</v>
      </c>
      <c r="G42" s="2"/>
    </row>
    <row r="43" spans="1:7">
      <c r="A43" s="60" t="s">
        <v>89</v>
      </c>
      <c r="B43" s="82">
        <f>'Economic &amp; Industry Inputs'!$B$8</f>
        <v>0.25169999999999998</v>
      </c>
    </row>
    <row r="44" spans="1:7">
      <c r="A44" s="60" t="s">
        <v>90</v>
      </c>
      <c r="B44" s="62">
        <f>B42*(1-B43)</f>
        <v>5.0427261072215505E-2</v>
      </c>
    </row>
    <row r="45" spans="1:7">
      <c r="A45" s="60" t="s">
        <v>91</v>
      </c>
      <c r="B45" s="85">
        <f>F35*F34</f>
        <v>407952.6</v>
      </c>
    </row>
    <row r="46" spans="1:7">
      <c r="A46" s="60" t="s">
        <v>92</v>
      </c>
      <c r="B46" s="85">
        <f>F28</f>
        <v>136936</v>
      </c>
    </row>
    <row r="47" spans="1:7">
      <c r="A47" s="60" t="s">
        <v>93</v>
      </c>
      <c r="B47" s="62">
        <f>IFERROR(B45/(B45+B46),0)</f>
        <v>0.74868991570020005</v>
      </c>
    </row>
    <row r="48" spans="1:7">
      <c r="A48" s="60" t="s">
        <v>94</v>
      </c>
      <c r="B48" s="62">
        <f>IFERROR(B46/(B45+B46),0)</f>
        <v>0.25131008429980001</v>
      </c>
    </row>
    <row r="49" spans="1:7">
      <c r="A49" s="68" t="s">
        <v>95</v>
      </c>
      <c r="B49" s="84">
        <f>B47*B41+B48*B44</f>
        <v>0.11847452683455097</v>
      </c>
    </row>
    <row r="50" spans="1:7">
      <c r="A50" s="60" t="s">
        <v>96</v>
      </c>
      <c r="B50" s="82">
        <f>'Economic &amp; Industry Inputs'!$B$10</f>
        <v>0.06</v>
      </c>
      <c r="G50" s="2"/>
    </row>
    <row r="52" spans="1:7" ht="18" customHeight="1">
      <c r="A52" s="56" t="s">
        <v>97</v>
      </c>
      <c r="B52" s="55"/>
      <c r="C52" s="55"/>
      <c r="D52" s="55"/>
      <c r="E52" s="55"/>
      <c r="F52" s="55"/>
    </row>
    <row r="53" spans="1:7">
      <c r="A53" s="57" t="s">
        <v>56</v>
      </c>
      <c r="B53" s="57" t="s">
        <v>98</v>
      </c>
      <c r="C53" s="57" t="s">
        <v>99</v>
      </c>
      <c r="D53" s="57" t="s">
        <v>100</v>
      </c>
      <c r="E53" s="57" t="s">
        <v>101</v>
      </c>
      <c r="F53" s="57" t="s">
        <v>102</v>
      </c>
      <c r="G53" s="5" t="s">
        <v>103</v>
      </c>
    </row>
    <row r="54" spans="1:7">
      <c r="A54" s="60" t="s">
        <v>104</v>
      </c>
      <c r="B54" s="77">
        <v>0.15</v>
      </c>
      <c r="C54" s="77">
        <v>0.15</v>
      </c>
      <c r="D54" s="77">
        <v>0.15</v>
      </c>
      <c r="E54" s="77">
        <v>0.15</v>
      </c>
      <c r="F54" s="77">
        <v>0.15</v>
      </c>
      <c r="G54" s="6" t="s">
        <v>105</v>
      </c>
    </row>
    <row r="55" spans="1:7">
      <c r="A55" s="68" t="s">
        <v>106</v>
      </c>
      <c r="B55" s="75">
        <f>F14*(1+B54)</f>
        <v>228434.84999999998</v>
      </c>
      <c r="C55" s="75">
        <f>B55*(1+C54)</f>
        <v>262700.07749999996</v>
      </c>
      <c r="D55" s="75">
        <f>C55*(1+D54)</f>
        <v>302105.08912499994</v>
      </c>
      <c r="E55" s="75">
        <f>D55*(1+E54)</f>
        <v>347420.85249374993</v>
      </c>
      <c r="F55" s="75">
        <f>E55*(1+F54)</f>
        <v>399533.98036781239</v>
      </c>
    </row>
    <row r="56" spans="1:7">
      <c r="A56" s="60" t="s">
        <v>107</v>
      </c>
      <c r="B56" s="77">
        <f>AVERAGE(B17:F17)</f>
        <v>0.17742750592667539</v>
      </c>
      <c r="C56" s="77">
        <f>$B$56</f>
        <v>0.17742750592667539</v>
      </c>
      <c r="D56" s="77">
        <f>$B$56</f>
        <v>0.17742750592667539</v>
      </c>
      <c r="E56" s="77">
        <f>$B$56</f>
        <v>0.17742750592667539</v>
      </c>
      <c r="F56" s="77">
        <f>$B$56</f>
        <v>0.17742750592667539</v>
      </c>
      <c r="G56" s="6" t="s">
        <v>108</v>
      </c>
    </row>
    <row r="57" spans="1:7">
      <c r="A57" s="60" t="s">
        <v>109</v>
      </c>
      <c r="B57" s="75">
        <f>B55*B56</f>
        <v>40530.625702234196</v>
      </c>
      <c r="C57" s="75">
        <f>C55*C56</f>
        <v>46610.219557569326</v>
      </c>
      <c r="D57" s="75">
        <f>D55*D56</f>
        <v>53601.752491204723</v>
      </c>
      <c r="E57" s="75">
        <f>E55*E56</f>
        <v>61642.015364885432</v>
      </c>
      <c r="F57" s="75">
        <f>F55*F56</f>
        <v>70888.317669618235</v>
      </c>
    </row>
    <row r="58" spans="1:7">
      <c r="A58" s="60" t="s">
        <v>110</v>
      </c>
      <c r="B58" s="75">
        <f>B57*$B$43</f>
        <v>10201.558489252346</v>
      </c>
      <c r="C58" s="75">
        <f>C57*$B$43</f>
        <v>11731.792262640198</v>
      </c>
      <c r="D58" s="75">
        <f>D57*$B$43</f>
        <v>13491.561102036228</v>
      </c>
      <c r="E58" s="75">
        <f>E57*$B$43</f>
        <v>15515.295267341662</v>
      </c>
      <c r="F58" s="75">
        <f>F57*$B$43</f>
        <v>17842.589557442909</v>
      </c>
    </row>
    <row r="59" spans="1:7">
      <c r="A59" s="68" t="s">
        <v>111</v>
      </c>
      <c r="B59" s="75">
        <f>B57-B58</f>
        <v>30329.067212981849</v>
      </c>
      <c r="C59" s="75">
        <f>C57-C58</f>
        <v>34878.427294929126</v>
      </c>
      <c r="D59" s="75">
        <f>D57-D58</f>
        <v>40110.191389168496</v>
      </c>
      <c r="E59" s="75">
        <f>E57-E58</f>
        <v>46126.720097543774</v>
      </c>
      <c r="F59" s="75">
        <f>F57-F58</f>
        <v>53045.728112175326</v>
      </c>
    </row>
    <row r="60" spans="1:7">
      <c r="A60" s="60" t="s">
        <v>112</v>
      </c>
      <c r="B60" s="77">
        <f>AVERAGE(B26:F26)</f>
        <v>3.675654769470145E-2</v>
      </c>
      <c r="C60" s="77">
        <f>$B$60</f>
        <v>3.675654769470145E-2</v>
      </c>
      <c r="D60" s="77">
        <f>$B$60</f>
        <v>3.675654769470145E-2</v>
      </c>
      <c r="E60" s="77">
        <f>$B$60</f>
        <v>3.675654769470145E-2</v>
      </c>
      <c r="F60" s="77">
        <f>$B$60</f>
        <v>3.675654769470145E-2</v>
      </c>
      <c r="G60" s="6" t="s">
        <v>108</v>
      </c>
    </row>
    <row r="61" spans="1:7">
      <c r="A61" s="60" t="s">
        <v>113</v>
      </c>
      <c r="B61" s="75">
        <f>B55*B60</f>
        <v>8396.476459156971</v>
      </c>
      <c r="C61" s="75">
        <f>C55*C60</f>
        <v>9655.947928030515</v>
      </c>
      <c r="D61" s="75">
        <f>D55*D60</f>
        <v>11104.340117235093</v>
      </c>
      <c r="E61" s="75">
        <f>E55*E60</f>
        <v>12769.991134820357</v>
      </c>
      <c r="F61" s="75">
        <f>F55*F60</f>
        <v>14685.489805043409</v>
      </c>
    </row>
    <row r="62" spans="1:7">
      <c r="A62" s="60" t="s">
        <v>114</v>
      </c>
      <c r="B62" s="77">
        <f>AVERAGE(B24:F24)</f>
        <v>6.0853921815818501E-2</v>
      </c>
      <c r="C62" s="77">
        <f>$B$62</f>
        <v>6.0853921815818501E-2</v>
      </c>
      <c r="D62" s="77">
        <f>$B$62</f>
        <v>6.0853921815818501E-2</v>
      </c>
      <c r="E62" s="77">
        <f>$B$62</f>
        <v>6.0853921815818501E-2</v>
      </c>
      <c r="F62" s="77">
        <f>$B$62</f>
        <v>6.0853921815818501E-2</v>
      </c>
      <c r="G62" s="6" t="s">
        <v>108</v>
      </c>
    </row>
    <row r="63" spans="1:7">
      <c r="A63" s="60" t="s">
        <v>115</v>
      </c>
      <c r="B63" s="75">
        <f>B55*B62</f>
        <v>13901.156501908226</v>
      </c>
      <c r="C63" s="75">
        <f>C55*C62</f>
        <v>15986.329977194458</v>
      </c>
      <c r="D63" s="75">
        <f>D55*D62</f>
        <v>18384.279473773626</v>
      </c>
      <c r="E63" s="75">
        <f>E55*E62</f>
        <v>21141.921394839672</v>
      </c>
      <c r="F63" s="75">
        <f>F55*F62</f>
        <v>24313.209604065618</v>
      </c>
    </row>
    <row r="64" spans="1:7" ht="26.45" customHeight="1">
      <c r="A64" s="60" t="s">
        <v>116</v>
      </c>
      <c r="B64" s="77">
        <v>0.02</v>
      </c>
      <c r="C64" s="77">
        <f>$B$64</f>
        <v>0.02</v>
      </c>
      <c r="D64" s="77">
        <f>$B$64</f>
        <v>0.02</v>
      </c>
      <c r="E64" s="77">
        <f>$B$64</f>
        <v>0.02</v>
      </c>
      <c r="F64" s="77">
        <f>$B$64</f>
        <v>0.02</v>
      </c>
      <c r="G64" s="7" t="s">
        <v>117</v>
      </c>
    </row>
    <row r="65" spans="1:6">
      <c r="A65" s="60" t="s">
        <v>118</v>
      </c>
      <c r="B65" s="75">
        <f>B55*B64</f>
        <v>4568.6969999999992</v>
      </c>
      <c r="C65" s="75">
        <f>C55*C64</f>
        <v>5254.001549999999</v>
      </c>
      <c r="D65" s="75">
        <f>D55*D64</f>
        <v>6042.101782499999</v>
      </c>
      <c r="E65" s="75">
        <f>E55*E64</f>
        <v>6948.4170498749991</v>
      </c>
      <c r="F65" s="75">
        <f>F55*F64</f>
        <v>7990.6796073562482</v>
      </c>
    </row>
    <row r="66" spans="1:6">
      <c r="A66" s="68" t="s">
        <v>119</v>
      </c>
      <c r="B66" s="86">
        <f>B59+B61-B63-B65</f>
        <v>20255.690170230591</v>
      </c>
      <c r="C66" s="86">
        <f>C59+C61-C63-C65</f>
        <v>23294.043695765184</v>
      </c>
      <c r="D66" s="86">
        <f>D59+D61-D63-D65</f>
        <v>26788.150250129966</v>
      </c>
      <c r="E66" s="86">
        <f>E59+E61-E63-E65</f>
        <v>30806.372787649463</v>
      </c>
      <c r="F66" s="86">
        <f>F59+F61-F63-F65</f>
        <v>35427.328705796863</v>
      </c>
    </row>
    <row r="67" spans="1:6">
      <c r="A67" s="60" t="s">
        <v>120</v>
      </c>
      <c r="B67" s="87">
        <v>1</v>
      </c>
      <c r="C67" s="87">
        <v>2</v>
      </c>
      <c r="D67" s="87">
        <v>3</v>
      </c>
      <c r="E67" s="87">
        <v>4</v>
      </c>
      <c r="F67" s="87">
        <v>5</v>
      </c>
    </row>
    <row r="68" spans="1:6">
      <c r="A68" s="60" t="s">
        <v>121</v>
      </c>
      <c r="B68" s="88">
        <f>1/(1+$B$49)^B67</f>
        <v>0.89407489934540441</v>
      </c>
      <c r="C68" s="88">
        <f>1/(1+$B$49)^C67</f>
        <v>0.79936992563949494</v>
      </c>
      <c r="D68" s="88">
        <f>1/(1+$B$49)^D67</f>
        <v>0.71469658580587481</v>
      </c>
      <c r="E68" s="88">
        <f>1/(1+$B$49)^E67</f>
        <v>0.63899227801689162</v>
      </c>
      <c r="F68" s="88">
        <f>1/(1+$B$49)^F67</f>
        <v>0.57130695665044307</v>
      </c>
    </row>
    <row r="69" spans="1:6">
      <c r="A69" s="60" t="s">
        <v>122</v>
      </c>
      <c r="B69" s="75">
        <f>B66*B68</f>
        <v>18110.104150120613</v>
      </c>
      <c r="C69" s="75">
        <f>C66*C68</f>
        <v>18620.557976926961</v>
      </c>
      <c r="D69" s="75">
        <f>D66*D68</f>
        <v>19145.399523822678</v>
      </c>
      <c r="E69" s="75">
        <f>E66*E68</f>
        <v>19685.03432501771</v>
      </c>
      <c r="F69" s="75">
        <f>F66*F68</f>
        <v>20239.879345163685</v>
      </c>
    </row>
    <row r="71" spans="1:6">
      <c r="A71" s="68" t="s">
        <v>123</v>
      </c>
      <c r="F71" s="89">
        <f>F66*(1+$B$50)/($B$49-$B$50)</f>
        <v>642210.72766262514</v>
      </c>
    </row>
    <row r="72" spans="1:6">
      <c r="A72" s="60" t="s">
        <v>124</v>
      </c>
      <c r="F72" s="89">
        <f>F71*F68</f>
        <v>366899.45634920086</v>
      </c>
    </row>
    <row r="73" spans="1:6">
      <c r="A73" s="60" t="s">
        <v>125</v>
      </c>
      <c r="B73" s="90">
        <f>SUM(B69:F69)</f>
        <v>95800.97532105165</v>
      </c>
    </row>
    <row r="74" spans="1:6">
      <c r="A74" s="60" t="s">
        <v>126</v>
      </c>
      <c r="B74" s="90">
        <f>F72</f>
        <v>366899.45634920086</v>
      </c>
    </row>
    <row r="75" spans="1:6">
      <c r="A75" s="68" t="s">
        <v>127</v>
      </c>
      <c r="B75" s="91">
        <f>B73+B74</f>
        <v>462700.43167025252</v>
      </c>
    </row>
    <row r="76" spans="1:6">
      <c r="A76" s="60" t="s">
        <v>128</v>
      </c>
      <c r="B76" s="90">
        <f>-F28</f>
        <v>-136936</v>
      </c>
    </row>
    <row r="77" spans="1:6">
      <c r="A77" s="60" t="s">
        <v>129</v>
      </c>
      <c r="B77" s="90">
        <f>F32</f>
        <v>40324</v>
      </c>
    </row>
    <row r="78" spans="1:6">
      <c r="A78" s="68" t="s">
        <v>130</v>
      </c>
      <c r="B78" s="90">
        <f>B75+B76+B77</f>
        <v>366088.43167025252</v>
      </c>
    </row>
    <row r="79" spans="1:6">
      <c r="A79" s="60" t="s">
        <v>82</v>
      </c>
      <c r="B79" s="92">
        <f>F34</f>
        <v>124.3</v>
      </c>
    </row>
    <row r="80" spans="1:6">
      <c r="A80" s="68" t="s">
        <v>131</v>
      </c>
      <c r="B80" s="93">
        <f>IFERROR(B78/B79,0)</f>
        <v>2945.2005765909294</v>
      </c>
    </row>
    <row r="82" spans="1:11" ht="18" customHeight="1">
      <c r="A82" s="56" t="s">
        <v>132</v>
      </c>
      <c r="B82" s="55"/>
      <c r="C82" s="55"/>
      <c r="D82" s="55"/>
      <c r="E82" s="55"/>
      <c r="F82" s="55"/>
    </row>
    <row r="83" spans="1:11">
      <c r="A83" s="47"/>
      <c r="B83" s="55"/>
      <c r="C83" s="55"/>
      <c r="D83" s="55"/>
      <c r="E83" s="55"/>
      <c r="F83" s="55"/>
    </row>
    <row r="84" spans="1:11" ht="22.5" customHeight="1">
      <c r="A84" s="57" t="s">
        <v>133</v>
      </c>
      <c r="B84" s="57" t="s">
        <v>134</v>
      </c>
      <c r="C84" s="57" t="s">
        <v>135</v>
      </c>
      <c r="D84" s="57" t="s">
        <v>136</v>
      </c>
      <c r="E84" s="57" t="s">
        <v>137</v>
      </c>
      <c r="F84" s="57" t="s">
        <v>70</v>
      </c>
      <c r="G84" s="57" t="s">
        <v>138</v>
      </c>
      <c r="H84" s="57" t="s">
        <v>139</v>
      </c>
      <c r="I84" s="57" t="s">
        <v>140</v>
      </c>
      <c r="J84" s="57" t="s">
        <v>141</v>
      </c>
      <c r="K84" s="57" t="s">
        <v>142</v>
      </c>
    </row>
    <row r="85" spans="1:11">
      <c r="A85" s="94" t="s">
        <v>143</v>
      </c>
      <c r="B85" s="95">
        <f>IFERROR(E85/F85,0)</f>
        <v>1.3248054387691206</v>
      </c>
      <c r="C85" s="95">
        <f>IFERROR((H85+J85-K85)/I85,0)</f>
        <v>1.5095267117417388</v>
      </c>
      <c r="D85" s="95">
        <f>IFERROR(E85/G85,0)</f>
        <v>0.97395764829672493</v>
      </c>
      <c r="E85" s="96">
        <v>296.2</v>
      </c>
      <c r="F85" s="97">
        <v>223.58</v>
      </c>
      <c r="G85" s="97">
        <v>304.12</v>
      </c>
      <c r="H85" s="97">
        <v>109090.4</v>
      </c>
      <c r="I85" s="97">
        <v>105010</v>
      </c>
      <c r="J85" s="96">
        <v>79109</v>
      </c>
      <c r="K85" s="96">
        <v>29684</v>
      </c>
    </row>
    <row r="86" spans="1:11">
      <c r="A86" s="94" t="s">
        <v>144</v>
      </c>
      <c r="B86" s="95">
        <f>IFERROR(E86/F86,0)</f>
        <v>26.356257094515001</v>
      </c>
      <c r="C86" s="95">
        <f>IFERROR((H86+J86-K86)/I86,0)</f>
        <v>14.759238895125849</v>
      </c>
      <c r="D86" s="95">
        <f>IFERROR(E86/G86,0)</f>
        <v>3.6106188458694706</v>
      </c>
      <c r="E86" s="96">
        <v>12306</v>
      </c>
      <c r="F86" s="97">
        <v>466.91</v>
      </c>
      <c r="G86" s="97">
        <v>3408.28</v>
      </c>
      <c r="H86" s="97">
        <v>386677.4</v>
      </c>
      <c r="I86" s="97">
        <v>26098.9</v>
      </c>
      <c r="J86" s="96">
        <v>102.5</v>
      </c>
      <c r="K86" s="96">
        <v>1580</v>
      </c>
    </row>
    <row r="87" spans="1:11">
      <c r="A87" s="94" t="s">
        <v>145</v>
      </c>
      <c r="B87" s="95">
        <f>IFERROR(E87/F87,0)</f>
        <v>22.84409874873182</v>
      </c>
      <c r="C87" s="95">
        <f>IFERROR((H87+J87-K87)/I87,0)</f>
        <v>16.806226529990866</v>
      </c>
      <c r="D87" s="95">
        <f>IFERROR(E87/G87,0)</f>
        <v>6.3206270603308052</v>
      </c>
      <c r="E87" s="96">
        <v>8781.5</v>
      </c>
      <c r="F87" s="97">
        <v>384.41</v>
      </c>
      <c r="G87" s="97">
        <v>1389.34</v>
      </c>
      <c r="H87" s="97">
        <v>245305.5</v>
      </c>
      <c r="I87" s="97">
        <v>15764.8</v>
      </c>
      <c r="J87" s="96">
        <v>22713.200000000001</v>
      </c>
      <c r="K87" s="96">
        <v>3071.9</v>
      </c>
    </row>
    <row r="88" spans="1:11">
      <c r="A88" s="94" t="s">
        <v>146</v>
      </c>
      <c r="B88" s="95">
        <f>IFERROR(E88/F88,0)</f>
        <v>32.754762023176006</v>
      </c>
      <c r="C88" s="95">
        <f>IFERROR((H88+J88-K88)/I88,0)</f>
        <v>22.571724482156224</v>
      </c>
      <c r="D88" s="95">
        <f>IFERROR(E88/G88,0)</f>
        <v>7.1973422507813698</v>
      </c>
      <c r="E88" s="96">
        <v>6586</v>
      </c>
      <c r="F88" s="97">
        <v>201.07</v>
      </c>
      <c r="G88" s="97">
        <v>915.06</v>
      </c>
      <c r="H88" s="97">
        <v>180631.8</v>
      </c>
      <c r="I88" s="97">
        <v>8014</v>
      </c>
      <c r="J88" s="96">
        <v>514</v>
      </c>
      <c r="K88" s="96">
        <v>256</v>
      </c>
    </row>
    <row r="89" spans="1:11">
      <c r="A89" s="68" t="s">
        <v>147</v>
      </c>
      <c r="B89" s="98">
        <f>IFERROR(AVERAGE(B85:B88),0)</f>
        <v>20.819980826297986</v>
      </c>
      <c r="C89" s="98">
        <f>IFERROR(AVERAGE(C85:C88),0)</f>
        <v>13.911679154753671</v>
      </c>
      <c r="D89" s="98">
        <f>IFERROR(AVERAGE(D85:D88),0)</f>
        <v>4.5256364513195919</v>
      </c>
    </row>
    <row r="90" spans="1:11">
      <c r="A90" s="68"/>
      <c r="B90" s="8"/>
      <c r="C90" s="8"/>
      <c r="D90" s="8"/>
    </row>
    <row r="91" spans="1:11">
      <c r="A91" s="68" t="s">
        <v>148</v>
      </c>
    </row>
    <row r="92" spans="1:11">
      <c r="A92" s="60" t="s">
        <v>70</v>
      </c>
      <c r="B92" s="78">
        <f>F22</f>
        <v>137.5</v>
      </c>
    </row>
    <row r="93" spans="1:11">
      <c r="A93" s="60" t="s">
        <v>64</v>
      </c>
      <c r="B93" s="75">
        <f>F16</f>
        <v>36980</v>
      </c>
    </row>
    <row r="94" spans="1:11">
      <c r="A94" s="60" t="s">
        <v>149</v>
      </c>
      <c r="B94" s="78">
        <f>IFERROR(F33/F34,0)</f>
        <v>748.97023330651655</v>
      </c>
    </row>
    <row r="96" spans="1:11" ht="26.45" customHeight="1">
      <c r="A96" s="57" t="s">
        <v>150</v>
      </c>
      <c r="B96" s="57" t="s">
        <v>151</v>
      </c>
      <c r="C96" s="57" t="s">
        <v>152</v>
      </c>
      <c r="D96" s="57" t="s">
        <v>153</v>
      </c>
    </row>
    <row r="97" spans="1:6">
      <c r="A97" s="60" t="s">
        <v>154</v>
      </c>
      <c r="B97" s="95">
        <f>B89</f>
        <v>20.819980826297986</v>
      </c>
      <c r="C97" s="99">
        <f>B92</f>
        <v>137.5</v>
      </c>
      <c r="D97" s="99">
        <f>B97*C97</f>
        <v>2862.747363615973</v>
      </c>
    </row>
    <row r="98" spans="1:6">
      <c r="A98" s="60" t="s">
        <v>155</v>
      </c>
      <c r="B98" s="95">
        <f>C89</f>
        <v>13.911679154753671</v>
      </c>
      <c r="C98" s="90">
        <f>B93</f>
        <v>36980</v>
      </c>
      <c r="D98" s="99">
        <f>IFERROR(((B98*C98)-F28+F32)/F34,0)</f>
        <v>3361.5598965630793</v>
      </c>
    </row>
    <row r="99" spans="1:6">
      <c r="A99" s="60" t="s">
        <v>156</v>
      </c>
      <c r="B99" s="95">
        <f>D89</f>
        <v>4.5256364513195919</v>
      </c>
      <c r="C99" s="99">
        <f>B94</f>
        <v>748.97023330651655</v>
      </c>
      <c r="D99" s="99">
        <f>B99*C99</f>
        <v>3389.5669888053103</v>
      </c>
    </row>
    <row r="100" spans="1:6">
      <c r="A100" s="68" t="s">
        <v>157</v>
      </c>
      <c r="D100" s="93">
        <f>AVERAGE(D97:D99)</f>
        <v>3204.6247496614542</v>
      </c>
    </row>
    <row r="102" spans="1:6" ht="18" customHeight="1">
      <c r="A102" s="56" t="s">
        <v>158</v>
      </c>
      <c r="B102" s="55"/>
      <c r="C102" s="55"/>
      <c r="D102" s="55"/>
      <c r="E102" s="55"/>
      <c r="F102" s="55"/>
    </row>
    <row r="103" spans="1:6">
      <c r="A103" s="60" t="s">
        <v>131</v>
      </c>
      <c r="B103" s="78">
        <f>B80</f>
        <v>2945.2005765909294</v>
      </c>
    </row>
    <row r="104" spans="1:6">
      <c r="A104" s="60" t="s">
        <v>159</v>
      </c>
      <c r="B104" s="78">
        <f>D100</f>
        <v>3204.6247496614542</v>
      </c>
    </row>
    <row r="105" spans="1:6" ht="26.45" customHeight="1">
      <c r="A105" s="68" t="s">
        <v>160</v>
      </c>
      <c r="B105" s="81">
        <f>AVERAGE(B103:B104)</f>
        <v>3074.9126631261915</v>
      </c>
    </row>
    <row r="106" spans="1:6">
      <c r="A106" s="60" t="s">
        <v>161</v>
      </c>
      <c r="B106" s="78">
        <f>F35</f>
        <v>3282</v>
      </c>
    </row>
    <row r="107" spans="1:6">
      <c r="A107" s="68" t="s">
        <v>162</v>
      </c>
      <c r="B107" s="84">
        <f>IFERROR(B105/B106-1,"")</f>
        <v>-6.3097908858564478E-2</v>
      </c>
    </row>
    <row r="108" spans="1:6" ht="26.45" customHeight="1">
      <c r="A108" s="68" t="s">
        <v>163</v>
      </c>
      <c r="B108" s="100" t="s">
        <v>164</v>
      </c>
    </row>
    <row r="110" spans="1:6">
      <c r="A110" s="9" t="s">
        <v>165</v>
      </c>
    </row>
  </sheetData>
  <mergeCells count="15">
    <mergeCell ref="A102:F102"/>
    <mergeCell ref="A1:F1"/>
    <mergeCell ref="A37:F37"/>
    <mergeCell ref="B5:F5"/>
    <mergeCell ref="A83:F83"/>
    <mergeCell ref="A12:F12"/>
    <mergeCell ref="B8:F8"/>
    <mergeCell ref="A3:F3"/>
    <mergeCell ref="B9:F9"/>
    <mergeCell ref="B4:F4"/>
    <mergeCell ref="A11:F11"/>
    <mergeCell ref="A52:F52"/>
    <mergeCell ref="B7:F7"/>
    <mergeCell ref="A82:F82"/>
    <mergeCell ref="B6:F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0"/>
  <sheetViews>
    <sheetView showGridLines="0" topLeftCell="A100" workbookViewId="0">
      <selection activeCell="G96" sqref="G96"/>
    </sheetView>
  </sheetViews>
  <sheetFormatPr defaultRowHeight="14.45"/>
  <cols>
    <col min="1" max="1" width="34" customWidth="1"/>
    <col min="2" max="2" width="13" customWidth="1"/>
    <col min="3" max="3" width="13.85546875" customWidth="1"/>
    <col min="4" max="6" width="13" customWidth="1"/>
    <col min="7" max="7" width="15.28515625" customWidth="1"/>
    <col min="8" max="8" width="16.28515625" customWidth="1"/>
    <col min="9" max="9" width="12.42578125" customWidth="1"/>
    <col min="10" max="10" width="16.42578125" customWidth="1"/>
    <col min="11" max="11" width="13.42578125" customWidth="1"/>
  </cols>
  <sheetData>
    <row r="1" spans="1:7" ht="22.15" customHeight="1">
      <c r="A1" s="48" t="s">
        <v>166</v>
      </c>
      <c r="B1" s="55"/>
      <c r="C1" s="55"/>
      <c r="D1" s="55"/>
      <c r="E1" s="55"/>
      <c r="F1" s="55"/>
    </row>
    <row r="3" spans="1:7" ht="18" customHeight="1">
      <c r="A3" s="56" t="s">
        <v>42</v>
      </c>
      <c r="B3" s="55"/>
      <c r="C3" s="55"/>
      <c r="D3" s="55"/>
      <c r="E3" s="55"/>
      <c r="F3" s="55"/>
    </row>
    <row r="4" spans="1:7" ht="30" customHeight="1">
      <c r="A4" s="68" t="s">
        <v>43</v>
      </c>
      <c r="B4" s="72" t="s">
        <v>167</v>
      </c>
      <c r="C4" s="73"/>
      <c r="D4" s="73"/>
      <c r="E4" s="73"/>
      <c r="F4" s="74"/>
    </row>
    <row r="5" spans="1:7" ht="150" customHeight="1">
      <c r="A5" s="68" t="s">
        <v>45</v>
      </c>
      <c r="B5" s="72" t="s">
        <v>168</v>
      </c>
      <c r="C5" s="73"/>
      <c r="D5" s="73"/>
      <c r="E5" s="73"/>
      <c r="F5" s="74"/>
    </row>
    <row r="6" spans="1:7" ht="27" customHeight="1">
      <c r="A6" s="68" t="s">
        <v>47</v>
      </c>
      <c r="B6" s="72" t="s">
        <v>169</v>
      </c>
      <c r="C6" s="73"/>
      <c r="D6" s="73"/>
      <c r="E6" s="73"/>
      <c r="F6" s="74"/>
    </row>
    <row r="7" spans="1:7" ht="22.15" customHeight="1">
      <c r="A7" s="68" t="s">
        <v>49</v>
      </c>
      <c r="B7" s="72" t="s">
        <v>170</v>
      </c>
      <c r="C7" s="73"/>
      <c r="D7" s="73"/>
      <c r="E7" s="73"/>
      <c r="F7" s="74"/>
    </row>
    <row r="8" spans="1:7" ht="43.15" customHeight="1">
      <c r="A8" s="68" t="s">
        <v>51</v>
      </c>
      <c r="B8" s="72" t="s">
        <v>171</v>
      </c>
      <c r="C8" s="73"/>
      <c r="D8" s="73"/>
      <c r="E8" s="73"/>
      <c r="F8" s="74"/>
    </row>
    <row r="9" spans="1:7" ht="39.6" customHeight="1">
      <c r="A9" s="68" t="s">
        <v>53</v>
      </c>
      <c r="B9" s="72" t="s">
        <v>172</v>
      </c>
      <c r="C9" s="73"/>
      <c r="D9" s="73"/>
      <c r="E9" s="73"/>
      <c r="F9" s="74"/>
      <c r="G9" s="2"/>
    </row>
    <row r="11" spans="1:7" ht="18" customHeight="1">
      <c r="A11" s="56" t="s">
        <v>55</v>
      </c>
      <c r="B11" s="55"/>
      <c r="C11" s="55"/>
      <c r="D11" s="55"/>
      <c r="E11" s="55"/>
      <c r="F11" s="55"/>
    </row>
    <row r="12" spans="1:7">
      <c r="A12" s="47"/>
      <c r="B12" s="55"/>
      <c r="C12" s="55"/>
      <c r="D12" s="55"/>
      <c r="E12" s="55"/>
      <c r="F12" s="55"/>
    </row>
    <row r="13" spans="1:7">
      <c r="A13" s="57" t="s">
        <v>56</v>
      </c>
      <c r="B13" s="57" t="s">
        <v>57</v>
      </c>
      <c r="C13" s="57" t="s">
        <v>58</v>
      </c>
      <c r="D13" s="57" t="s">
        <v>59</v>
      </c>
      <c r="E13" s="57" t="s">
        <v>60</v>
      </c>
      <c r="F13" s="57" t="s">
        <v>61</v>
      </c>
    </row>
    <row r="14" spans="1:7">
      <c r="A14" s="68" t="s">
        <v>62</v>
      </c>
      <c r="B14" s="75">
        <v>6432</v>
      </c>
      <c r="C14" s="75">
        <v>8015</v>
      </c>
      <c r="D14" s="75">
        <v>9009</v>
      </c>
      <c r="E14" s="75">
        <v>12073</v>
      </c>
      <c r="F14" s="75">
        <v>16403</v>
      </c>
      <c r="G14" s="2"/>
    </row>
    <row r="15" spans="1:7">
      <c r="A15" s="60" t="s">
        <v>63</v>
      </c>
      <c r="B15" s="76"/>
      <c r="C15" s="77">
        <f>IFERROR(C14/B14-1,"")</f>
        <v>0.24611318407960203</v>
      </c>
      <c r="D15" s="77">
        <f>IFERROR(D14/C14-1,"")</f>
        <v>0.12401746724890828</v>
      </c>
      <c r="E15" s="77">
        <f>IFERROR(E14/D14-1,"")</f>
        <v>0.34010434010434021</v>
      </c>
      <c r="F15" s="77">
        <f>IFERROR(F14/E14-1,"")</f>
        <v>0.35865153648637449</v>
      </c>
    </row>
    <row r="16" spans="1:7">
      <c r="A16" s="68" t="s">
        <v>64</v>
      </c>
      <c r="B16" s="75">
        <v>1102</v>
      </c>
      <c r="C16" s="75">
        <v>1282</v>
      </c>
      <c r="D16" s="75">
        <v>1447</v>
      </c>
      <c r="E16" s="75">
        <v>1694</v>
      </c>
      <c r="F16" s="75">
        <v>2936</v>
      </c>
      <c r="G16" s="2"/>
    </row>
    <row r="17" spans="1:7">
      <c r="A17" s="60" t="s">
        <v>65</v>
      </c>
      <c r="B17" s="77">
        <f>IFERROR(B16/B14,"")</f>
        <v>0.17133084577114427</v>
      </c>
      <c r="C17" s="77">
        <f>IFERROR(C16/C14,"")</f>
        <v>0.15995009357454773</v>
      </c>
      <c r="D17" s="77">
        <f>IFERROR(D16/D14,"")</f>
        <v>0.16061716061716061</v>
      </c>
      <c r="E17" s="77">
        <f>IFERROR(E16/E14,"")</f>
        <v>0.14031309533670172</v>
      </c>
      <c r="F17" s="77">
        <f>IFERROR(F16/F14,"")</f>
        <v>0.1789916478692922</v>
      </c>
    </row>
    <row r="18" spans="1:7">
      <c r="A18" s="68" t="s">
        <v>66</v>
      </c>
      <c r="B18" s="75">
        <v>875</v>
      </c>
      <c r="C18" s="75">
        <v>1024</v>
      </c>
      <c r="D18" s="75">
        <v>1150</v>
      </c>
      <c r="E18" s="75">
        <v>1266</v>
      </c>
      <c r="F18" s="75">
        <v>2254</v>
      </c>
      <c r="G18" s="2"/>
    </row>
    <row r="19" spans="1:7">
      <c r="A19" s="60" t="s">
        <v>67</v>
      </c>
      <c r="B19" s="77">
        <f>IFERROR(B18/B14,"")</f>
        <v>0.13603855721393035</v>
      </c>
      <c r="C19" s="77">
        <f>IFERROR(C18/C14,"")</f>
        <v>0.12776044915782908</v>
      </c>
      <c r="D19" s="77">
        <f>IFERROR(D18/D14,"")</f>
        <v>0.12765012765012765</v>
      </c>
      <c r="E19" s="77">
        <f>IFERROR(E18/E14,"")</f>
        <v>0.10486208895883375</v>
      </c>
      <c r="F19" s="77">
        <f>IFERROR(F18/F14,"")</f>
        <v>0.13741388770346888</v>
      </c>
    </row>
    <row r="20" spans="1:7">
      <c r="A20" s="68" t="s">
        <v>68</v>
      </c>
      <c r="B20" s="75">
        <v>715</v>
      </c>
      <c r="C20" s="75">
        <v>745</v>
      </c>
      <c r="D20" s="75">
        <v>836</v>
      </c>
      <c r="E20" s="75">
        <v>936</v>
      </c>
      <c r="F20" s="75">
        <v>1745</v>
      </c>
      <c r="G20" s="2"/>
    </row>
    <row r="21" spans="1:7">
      <c r="A21" s="60" t="s">
        <v>69</v>
      </c>
      <c r="B21" s="77">
        <f>IFERROR(B20/B14,"")</f>
        <v>0.11116293532338309</v>
      </c>
      <c r="C21" s="77">
        <f>IFERROR(C20/C14,"")</f>
        <v>9.2950717404865879E-2</v>
      </c>
      <c r="D21" s="77">
        <f>IFERROR(D20/D14,"")</f>
        <v>9.2796092796092799E-2</v>
      </c>
      <c r="E21" s="77">
        <f>IFERROR(E20/E14,"")</f>
        <v>7.7528369088047708E-2</v>
      </c>
      <c r="F21" s="77">
        <f>IFERROR(F20/F14,"")</f>
        <v>0.10638297872340426</v>
      </c>
    </row>
    <row r="22" spans="1:7">
      <c r="A22" s="60" t="s">
        <v>70</v>
      </c>
      <c r="B22" s="78">
        <v>21.73</v>
      </c>
      <c r="C22" s="78">
        <v>22.72</v>
      </c>
      <c r="D22" s="78">
        <v>26.14</v>
      </c>
      <c r="E22" s="78">
        <v>24.29</v>
      </c>
      <c r="F22" s="78">
        <v>46.33</v>
      </c>
      <c r="G22" s="2"/>
    </row>
    <row r="23" spans="1:7">
      <c r="A23" s="60" t="s">
        <v>71</v>
      </c>
      <c r="B23" s="75">
        <v>1290</v>
      </c>
      <c r="C23" s="75">
        <v>491</v>
      </c>
      <c r="D23" s="75">
        <v>356</v>
      </c>
      <c r="E23" s="75">
        <v>650</v>
      </c>
      <c r="F23" s="75">
        <v>1347</v>
      </c>
      <c r="G23" s="2"/>
    </row>
    <row r="24" spans="1:7">
      <c r="A24" s="60" t="s">
        <v>72</v>
      </c>
      <c r="B24" s="77">
        <f>B23/B14</f>
        <v>0.20055970149253732</v>
      </c>
      <c r="C24" s="77">
        <f>C23/C14</f>
        <v>6.1260137242669994E-2</v>
      </c>
      <c r="D24" s="77">
        <f>D23/D14</f>
        <v>3.9516039516039519E-2</v>
      </c>
      <c r="E24" s="77">
        <f>E23/E14</f>
        <v>5.3839145200033134E-2</v>
      </c>
      <c r="F24" s="77">
        <f>F23/F14</f>
        <v>8.2119124550387126E-2</v>
      </c>
      <c r="G24" s="2"/>
    </row>
    <row r="25" spans="1:7">
      <c r="A25" s="60" t="s">
        <v>73</v>
      </c>
      <c r="B25" s="75">
        <v>227</v>
      </c>
      <c r="C25" s="75">
        <v>258</v>
      </c>
      <c r="D25" s="75">
        <v>297</v>
      </c>
      <c r="E25" s="75">
        <v>428</v>
      </c>
      <c r="F25" s="75">
        <v>682</v>
      </c>
      <c r="G25" s="2"/>
    </row>
    <row r="26" spans="1:7">
      <c r="A26" s="60" t="s">
        <v>74</v>
      </c>
      <c r="B26" s="77">
        <f>B25/B14</f>
        <v>3.5292288557213933E-2</v>
      </c>
      <c r="C26" s="77">
        <f>C25/C14</f>
        <v>3.2189644416718649E-2</v>
      </c>
      <c r="D26" s="77">
        <f>D25/D14</f>
        <v>3.2967032967032968E-2</v>
      </c>
      <c r="E26" s="77">
        <f>E25/E14</f>
        <v>3.5451006377867973E-2</v>
      </c>
      <c r="F26" s="77">
        <f>F25/F14</f>
        <v>4.1577760165823326E-2</v>
      </c>
      <c r="G26" s="2"/>
    </row>
    <row r="27" spans="1:7">
      <c r="A27" s="60" t="s">
        <v>75</v>
      </c>
      <c r="B27" s="75">
        <v>65</v>
      </c>
      <c r="C27" s="75">
        <v>81</v>
      </c>
      <c r="D27" s="75">
        <v>126</v>
      </c>
      <c r="E27" s="75">
        <v>135</v>
      </c>
      <c r="F27" s="75">
        <v>169</v>
      </c>
      <c r="G27" s="2"/>
    </row>
    <row r="28" spans="1:7">
      <c r="A28" s="60" t="s">
        <v>76</v>
      </c>
      <c r="B28" s="75">
        <v>490</v>
      </c>
      <c r="C28" s="75">
        <v>562</v>
      </c>
      <c r="D28" s="75">
        <v>726</v>
      </c>
      <c r="E28" s="75">
        <v>1070</v>
      </c>
      <c r="F28" s="75">
        <v>728</v>
      </c>
      <c r="G28" s="2"/>
    </row>
    <row r="29" spans="1:7">
      <c r="A29" s="60" t="s">
        <v>77</v>
      </c>
      <c r="B29" s="75">
        <v>1139</v>
      </c>
      <c r="C29" s="75">
        <v>1329</v>
      </c>
      <c r="D29" s="75">
        <v>1977</v>
      </c>
      <c r="E29" s="75">
        <v>1205</v>
      </c>
      <c r="F29" s="75">
        <v>3502</v>
      </c>
      <c r="G29" s="2"/>
    </row>
    <row r="30" spans="1:7">
      <c r="A30" s="60" t="s">
        <v>78</v>
      </c>
      <c r="B30" s="75"/>
      <c r="C30" s="75">
        <f>C29-B29</f>
        <v>190</v>
      </c>
      <c r="D30" s="75">
        <f>D29-C29</f>
        <v>648</v>
      </c>
      <c r="E30" s="75">
        <f>E29-D29</f>
        <v>-772</v>
      </c>
      <c r="F30" s="75">
        <f>F29-E29</f>
        <v>2297</v>
      </c>
      <c r="G30" s="2"/>
    </row>
    <row r="31" spans="1:7">
      <c r="A31" s="60" t="s">
        <v>79</v>
      </c>
      <c r="B31" s="77"/>
      <c r="C31" s="77">
        <f>C30/C14</f>
        <v>2.3705552089831567E-2</v>
      </c>
      <c r="D31" s="77">
        <f>D30/D14</f>
        <v>7.1928071928071935E-2</v>
      </c>
      <c r="E31" s="77">
        <f>E30/E14</f>
        <v>-6.3944338606808579E-2</v>
      </c>
      <c r="F31" s="77">
        <f>F30/F14</f>
        <v>0.14003535938547826</v>
      </c>
      <c r="G31" s="2"/>
    </row>
    <row r="32" spans="1:7">
      <c r="A32" s="60" t="s">
        <v>80</v>
      </c>
      <c r="B32" s="75">
        <v>197</v>
      </c>
      <c r="C32" s="75">
        <v>234</v>
      </c>
      <c r="D32" s="75">
        <v>260</v>
      </c>
      <c r="E32" s="75">
        <v>426</v>
      </c>
      <c r="F32" s="75">
        <v>571</v>
      </c>
      <c r="G32" s="2"/>
    </row>
    <row r="33" spans="1:7">
      <c r="A33" s="60" t="s">
        <v>81</v>
      </c>
      <c r="B33" s="75">
        <v>2733</v>
      </c>
      <c r="C33" s="75">
        <v>3082</v>
      </c>
      <c r="D33" s="75">
        <v>3627</v>
      </c>
      <c r="E33" s="75">
        <v>6379</v>
      </c>
      <c r="F33" s="75">
        <v>9537</v>
      </c>
      <c r="G33" s="2"/>
    </row>
    <row r="34" spans="1:7">
      <c r="A34" s="60" t="s">
        <v>82</v>
      </c>
      <c r="B34" s="79">
        <v>44.3</v>
      </c>
      <c r="C34" s="79">
        <v>44.3</v>
      </c>
      <c r="D34" s="79">
        <v>44.3</v>
      </c>
      <c r="E34" s="79">
        <v>44.3</v>
      </c>
      <c r="F34" s="79">
        <v>44.3</v>
      </c>
      <c r="G34" s="2"/>
    </row>
    <row r="35" spans="1:7">
      <c r="A35" s="60" t="s">
        <v>83</v>
      </c>
      <c r="B35" s="80"/>
      <c r="C35" s="80"/>
      <c r="D35" s="80"/>
      <c r="E35" s="80"/>
      <c r="F35" s="81">
        <v>1985.3</v>
      </c>
      <c r="G35" s="2"/>
    </row>
    <row r="36" spans="1:7">
      <c r="A36" s="3"/>
      <c r="B36" s="4"/>
      <c r="C36" s="4"/>
      <c r="D36" s="4"/>
      <c r="E36" s="4"/>
      <c r="F36" s="4"/>
      <c r="G36" s="2"/>
    </row>
    <row r="37" spans="1:7" ht="18" customHeight="1">
      <c r="A37" s="56" t="s">
        <v>84</v>
      </c>
      <c r="B37" s="55"/>
      <c r="C37" s="55"/>
      <c r="D37" s="55"/>
      <c r="E37" s="55"/>
      <c r="F37" s="55"/>
    </row>
    <row r="38" spans="1:7">
      <c r="A38" s="60" t="s">
        <v>85</v>
      </c>
      <c r="B38" s="82">
        <f>'Economic &amp; Industry Inputs'!$B$5</f>
        <v>6.9000000000000006E-2</v>
      </c>
    </row>
    <row r="39" spans="1:7">
      <c r="A39" s="60" t="s">
        <v>86</v>
      </c>
      <c r="B39" s="83">
        <f>'Portfolio Construction'!B2512</f>
        <v>1.1245596511568199</v>
      </c>
      <c r="G39" s="2"/>
    </row>
    <row r="40" spans="1:7">
      <c r="A40" s="60" t="s">
        <v>9</v>
      </c>
      <c r="B40" s="82">
        <f>'Economic &amp; Industry Inputs'!$B$7</f>
        <v>6.0999999999999999E-2</v>
      </c>
    </row>
    <row r="41" spans="1:7">
      <c r="A41" s="68" t="s">
        <v>87</v>
      </c>
      <c r="B41" s="84">
        <f>B38+B39*B40</f>
        <v>0.13759813872056603</v>
      </c>
    </row>
    <row r="42" spans="1:7">
      <c r="A42" s="60" t="s">
        <v>88</v>
      </c>
      <c r="B42" s="62">
        <f>AVERAGE((B27/B28),(C27/C28),(D27/D28),(E27/E28),(F27/F28))</f>
        <v>0.16172919511073608</v>
      </c>
      <c r="G42" s="2"/>
    </row>
    <row r="43" spans="1:7">
      <c r="A43" s="60" t="s">
        <v>89</v>
      </c>
      <c r="B43" s="82">
        <f>'Economic &amp; Industry Inputs'!$B$8</f>
        <v>0.25169999999999998</v>
      </c>
    </row>
    <row r="44" spans="1:7">
      <c r="A44" s="60" t="s">
        <v>90</v>
      </c>
      <c r="B44" s="62">
        <f>B42*(1-B43)</f>
        <v>0.1210219567013638</v>
      </c>
    </row>
    <row r="45" spans="1:7">
      <c r="A45" s="60" t="s">
        <v>91</v>
      </c>
      <c r="B45" s="85">
        <f>F35*F34</f>
        <v>87948.79</v>
      </c>
    </row>
    <row r="46" spans="1:7">
      <c r="A46" s="60" t="s">
        <v>92</v>
      </c>
      <c r="B46" s="85">
        <f>F28</f>
        <v>728</v>
      </c>
    </row>
    <row r="47" spans="1:7">
      <c r="A47" s="60" t="s">
        <v>93</v>
      </c>
      <c r="B47" s="62">
        <f>IFERROR(B45/(B45+B46),0)</f>
        <v>0.99179041099706022</v>
      </c>
    </row>
    <row r="48" spans="1:7">
      <c r="A48" s="60" t="s">
        <v>94</v>
      </c>
      <c r="B48" s="62">
        <f>IFERROR(B46/(B45+B46),0)</f>
        <v>8.2095890029397784E-3</v>
      </c>
    </row>
    <row r="49" spans="1:7">
      <c r="A49" s="68" t="s">
        <v>95</v>
      </c>
      <c r="B49" s="84">
        <f>B47*B41+B48*B44</f>
        <v>0.13746205507895046</v>
      </c>
    </row>
    <row r="50" spans="1:7">
      <c r="A50" s="60" t="s">
        <v>96</v>
      </c>
      <c r="B50" s="82">
        <f>'Economic &amp; Industry Inputs'!$B$10</f>
        <v>0.06</v>
      </c>
      <c r="G50" s="2"/>
    </row>
    <row r="52" spans="1:7" ht="18" customHeight="1">
      <c r="A52" s="56" t="s">
        <v>97</v>
      </c>
      <c r="B52" s="55"/>
      <c r="C52" s="55"/>
      <c r="D52" s="55"/>
      <c r="E52" s="55"/>
      <c r="F52" s="55"/>
    </row>
    <row r="53" spans="1:7">
      <c r="A53" s="57" t="s">
        <v>56</v>
      </c>
      <c r="B53" s="57" t="s">
        <v>98</v>
      </c>
      <c r="C53" s="57" t="s">
        <v>99</v>
      </c>
      <c r="D53" s="57" t="s">
        <v>100</v>
      </c>
      <c r="E53" s="57" t="s">
        <v>101</v>
      </c>
      <c r="F53" s="57" t="s">
        <v>102</v>
      </c>
      <c r="G53" s="5" t="s">
        <v>103</v>
      </c>
    </row>
    <row r="54" spans="1:7">
      <c r="A54" s="60" t="s">
        <v>104</v>
      </c>
      <c r="B54" s="77">
        <v>0.2</v>
      </c>
      <c r="C54" s="77">
        <v>0.2</v>
      </c>
      <c r="D54" s="77">
        <v>0.2</v>
      </c>
      <c r="E54" s="77">
        <v>0.2</v>
      </c>
      <c r="F54" s="77">
        <v>0.2</v>
      </c>
      <c r="G54" s="6" t="s">
        <v>173</v>
      </c>
    </row>
    <row r="55" spans="1:7">
      <c r="A55" s="68" t="s">
        <v>106</v>
      </c>
      <c r="B55" s="75">
        <f>F14*(1+B54)</f>
        <v>19683.599999999999</v>
      </c>
      <c r="C55" s="75">
        <f>B55*(1+C54)</f>
        <v>23620.319999999996</v>
      </c>
      <c r="D55" s="75">
        <f>C55*(1+D54)</f>
        <v>28344.383999999995</v>
      </c>
      <c r="E55" s="75">
        <f>D55*(1+E54)</f>
        <v>34013.260799999989</v>
      </c>
      <c r="F55" s="75">
        <f>E55*(1+F54)</f>
        <v>40815.912959999987</v>
      </c>
    </row>
    <row r="56" spans="1:7">
      <c r="A56" s="60" t="s">
        <v>107</v>
      </c>
      <c r="B56" s="77">
        <f>AVERAGE(B17:F17)</f>
        <v>0.16224056863376932</v>
      </c>
      <c r="C56" s="77">
        <f>$B$56</f>
        <v>0.16224056863376932</v>
      </c>
      <c r="D56" s="77">
        <f>$B$56</f>
        <v>0.16224056863376932</v>
      </c>
      <c r="E56" s="77">
        <f>$B$56</f>
        <v>0.16224056863376932</v>
      </c>
      <c r="F56" s="77">
        <f>$B$56</f>
        <v>0.16224056863376932</v>
      </c>
      <c r="G56" s="6" t="s">
        <v>108</v>
      </c>
    </row>
    <row r="57" spans="1:7">
      <c r="A57" s="60" t="s">
        <v>109</v>
      </c>
      <c r="B57" s="75">
        <f>B55*B56</f>
        <v>3193.4784567596616</v>
      </c>
      <c r="C57" s="75">
        <f>C55*C56</f>
        <v>3832.1741481115932</v>
      </c>
      <c r="D57" s="75">
        <f>D55*D56</f>
        <v>4598.6089777339121</v>
      </c>
      <c r="E57" s="75">
        <f>E55*E56</f>
        <v>5518.3307732806934</v>
      </c>
      <c r="F57" s="75">
        <f>F55*F56</f>
        <v>6621.9969279368324</v>
      </c>
    </row>
    <row r="58" spans="1:7">
      <c r="A58" s="60" t="s">
        <v>110</v>
      </c>
      <c r="B58" s="75">
        <f>B57*$B$43</f>
        <v>803.79852756640673</v>
      </c>
      <c r="C58" s="75">
        <f>C57*$B$43</f>
        <v>964.55823307968797</v>
      </c>
      <c r="D58" s="75">
        <f>D57*$B$43</f>
        <v>1157.4698796956257</v>
      </c>
      <c r="E58" s="75">
        <f>E57*$B$43</f>
        <v>1388.9638556347504</v>
      </c>
      <c r="F58" s="75">
        <f>F57*$B$43</f>
        <v>1666.7566267617005</v>
      </c>
    </row>
    <row r="59" spans="1:7">
      <c r="A59" s="68" t="s">
        <v>111</v>
      </c>
      <c r="B59" s="75">
        <f>B57-B58</f>
        <v>2389.6799291932548</v>
      </c>
      <c r="C59" s="75">
        <f>C57-C58</f>
        <v>2867.6159150319054</v>
      </c>
      <c r="D59" s="75">
        <f>D57-D58</f>
        <v>3441.1390980382866</v>
      </c>
      <c r="E59" s="75">
        <f>E57-E58</f>
        <v>4129.3669176459425</v>
      </c>
      <c r="F59" s="75">
        <f>F57-F58</f>
        <v>4955.2403011751321</v>
      </c>
    </row>
    <row r="60" spans="1:7">
      <c r="A60" s="60" t="s">
        <v>112</v>
      </c>
      <c r="B60" s="77">
        <f>AVERAGE(B26:F26)</f>
        <v>3.5495546496931367E-2</v>
      </c>
      <c r="C60" s="77">
        <f>$B$60</f>
        <v>3.5495546496931367E-2</v>
      </c>
      <c r="D60" s="77">
        <f>$B$60</f>
        <v>3.5495546496931367E-2</v>
      </c>
      <c r="E60" s="77">
        <f>$B$60</f>
        <v>3.5495546496931367E-2</v>
      </c>
      <c r="F60" s="77">
        <f>$B$60</f>
        <v>3.5495546496931367E-2</v>
      </c>
      <c r="G60" s="6" t="s">
        <v>108</v>
      </c>
    </row>
    <row r="61" spans="1:7">
      <c r="A61" s="60" t="s">
        <v>113</v>
      </c>
      <c r="B61" s="75">
        <f>B55*B60</f>
        <v>698.68013902699818</v>
      </c>
      <c r="C61" s="75">
        <f>C55*C60</f>
        <v>838.41616683239772</v>
      </c>
      <c r="D61" s="75">
        <f>D55*D60</f>
        <v>1006.0994001988773</v>
      </c>
      <c r="E61" s="75">
        <f>E55*E60</f>
        <v>1207.3192802386527</v>
      </c>
      <c r="F61" s="75">
        <f>F55*F60</f>
        <v>1448.7831362863831</v>
      </c>
    </row>
    <row r="62" spans="1:7">
      <c r="A62" s="60" t="s">
        <v>114</v>
      </c>
      <c r="B62" s="77">
        <f>AVERAGE(B24:F24)</f>
        <v>8.7458829600333424E-2</v>
      </c>
      <c r="C62" s="77">
        <f>$B$62</f>
        <v>8.7458829600333424E-2</v>
      </c>
      <c r="D62" s="77">
        <f>$B$62</f>
        <v>8.7458829600333424E-2</v>
      </c>
      <c r="E62" s="77">
        <f>$B$62</f>
        <v>8.7458829600333424E-2</v>
      </c>
      <c r="F62" s="77">
        <f>$B$62</f>
        <v>8.7458829600333424E-2</v>
      </c>
      <c r="G62" s="6" t="s">
        <v>108</v>
      </c>
    </row>
    <row r="63" spans="1:7">
      <c r="A63" s="60" t="s">
        <v>115</v>
      </c>
      <c r="B63" s="75">
        <f>B55*B62</f>
        <v>1721.504618321123</v>
      </c>
      <c r="C63" s="75">
        <f>C55*C62</f>
        <v>2065.8055419853472</v>
      </c>
      <c r="D63" s="75">
        <f>D55*D62</f>
        <v>2478.9666503824164</v>
      </c>
      <c r="E63" s="75">
        <f>E55*E62</f>
        <v>2974.7599804588995</v>
      </c>
      <c r="F63" s="75">
        <f>F55*F62</f>
        <v>3569.7119765506795</v>
      </c>
    </row>
    <row r="64" spans="1:7" ht="26.45" customHeight="1">
      <c r="A64" s="60" t="s">
        <v>116</v>
      </c>
      <c r="B64" s="77">
        <f>AVERAGE(C31:F31)</f>
        <v>4.2931161199143295E-2</v>
      </c>
      <c r="C64" s="77">
        <f>$B$64</f>
        <v>4.2931161199143295E-2</v>
      </c>
      <c r="D64" s="77">
        <f>$B$64</f>
        <v>4.2931161199143295E-2</v>
      </c>
      <c r="E64" s="77">
        <f>$B$64</f>
        <v>4.2931161199143295E-2</v>
      </c>
      <c r="F64" s="77">
        <f>$B$64</f>
        <v>4.2931161199143295E-2</v>
      </c>
      <c r="G64" s="6" t="s">
        <v>108</v>
      </c>
    </row>
    <row r="65" spans="1:6">
      <c r="A65" s="60" t="s">
        <v>118</v>
      </c>
      <c r="B65" s="75">
        <f>B55*B64</f>
        <v>845.03980457945693</v>
      </c>
      <c r="C65" s="75">
        <f>C55*C64</f>
        <v>1014.0477654953481</v>
      </c>
      <c r="D65" s="75">
        <f>D55*D64</f>
        <v>1216.8573185944178</v>
      </c>
      <c r="E65" s="75">
        <f>E55*E64</f>
        <v>1460.2287823133011</v>
      </c>
      <c r="F65" s="75">
        <f>F55*F64</f>
        <v>1752.2745387759614</v>
      </c>
    </row>
    <row r="66" spans="1:6">
      <c r="A66" s="68" t="s">
        <v>119</v>
      </c>
      <c r="B66" s="86">
        <f>B59+B61-B63-B65</f>
        <v>521.81564531967331</v>
      </c>
      <c r="C66" s="86">
        <f>C59+C61-C63-C65</f>
        <v>626.17877438360779</v>
      </c>
      <c r="D66" s="86">
        <f>D59+D61-D63-D65</f>
        <v>751.4145292603298</v>
      </c>
      <c r="E66" s="86">
        <f>E59+E61-E63-E65</f>
        <v>901.69743511239494</v>
      </c>
      <c r="F66" s="86">
        <f>F59+F61-F63-F65</f>
        <v>1082.0369221348747</v>
      </c>
    </row>
    <row r="67" spans="1:6">
      <c r="A67" s="60" t="s">
        <v>120</v>
      </c>
      <c r="B67" s="87">
        <v>1</v>
      </c>
      <c r="C67" s="87">
        <v>2</v>
      </c>
      <c r="D67" s="87">
        <v>3</v>
      </c>
      <c r="E67" s="87">
        <v>4</v>
      </c>
      <c r="F67" s="87">
        <v>5</v>
      </c>
    </row>
    <row r="68" spans="1:6">
      <c r="A68" s="60" t="s">
        <v>121</v>
      </c>
      <c r="B68" s="88">
        <f>1/(1+$B$49)^B67</f>
        <v>0.87915020596497229</v>
      </c>
      <c r="C68" s="88">
        <f>1/(1+$B$49)^C67</f>
        <v>0.77290508464825314</v>
      </c>
      <c r="D68" s="88">
        <f>1/(1+$B$49)^D67</f>
        <v>0.67949966435988618</v>
      </c>
      <c r="E68" s="88">
        <f>1/(1+$B$49)^E67</f>
        <v>0.59738226987512344</v>
      </c>
      <c r="F68" s="88">
        <f>1/(1+$B$49)^F67</f>
        <v>0.52518874560053752</v>
      </c>
    </row>
    <row r="69" spans="1:6">
      <c r="A69" s="60" t="s">
        <v>122</v>
      </c>
      <c r="B69" s="75">
        <f>B66*B68</f>
        <v>458.75433205853574</v>
      </c>
      <c r="C69" s="75">
        <f>C66*C68</f>
        <v>483.97675861990177</v>
      </c>
      <c r="D69" s="75">
        <f>D66*D68</f>
        <v>510.585920427536</v>
      </c>
      <c r="E69" s="75">
        <f>E66*E68</f>
        <v>538.65806052801929</v>
      </c>
      <c r="F69" s="75">
        <f>F66*F68</f>
        <v>568.27361382948129</v>
      </c>
    </row>
    <row r="71" spans="1:6">
      <c r="A71" s="68" t="s">
        <v>123</v>
      </c>
      <c r="F71" s="89">
        <f>F66*(1+$B$50)/($B$49-$B$50)</f>
        <v>14806.722288660812</v>
      </c>
    </row>
    <row r="72" spans="1:6">
      <c r="A72" s="60" t="s">
        <v>124</v>
      </c>
      <c r="F72" s="89">
        <f>F71*F68</f>
        <v>7776.3239052372919</v>
      </c>
    </row>
    <row r="73" spans="1:6">
      <c r="A73" s="60" t="s">
        <v>125</v>
      </c>
      <c r="B73" s="90">
        <f>SUM(B69:F69)</f>
        <v>2560.248685463474</v>
      </c>
    </row>
    <row r="74" spans="1:6">
      <c r="A74" s="60" t="s">
        <v>126</v>
      </c>
      <c r="B74" s="90">
        <f>F72</f>
        <v>7776.3239052372919</v>
      </c>
    </row>
    <row r="75" spans="1:6">
      <c r="A75" s="68" t="s">
        <v>127</v>
      </c>
      <c r="B75" s="91">
        <f>B73+B74</f>
        <v>10336.572590700765</v>
      </c>
    </row>
    <row r="76" spans="1:6">
      <c r="A76" s="60" t="s">
        <v>128</v>
      </c>
      <c r="B76" s="90">
        <f>-F28</f>
        <v>-728</v>
      </c>
    </row>
    <row r="77" spans="1:6">
      <c r="A77" s="60" t="s">
        <v>129</v>
      </c>
      <c r="B77" s="90">
        <f>F32</f>
        <v>571</v>
      </c>
    </row>
    <row r="78" spans="1:6">
      <c r="A78" s="68" t="s">
        <v>130</v>
      </c>
      <c r="B78" s="90">
        <f>B75+B76+B77</f>
        <v>10179.572590700765</v>
      </c>
    </row>
    <row r="79" spans="1:6">
      <c r="A79" s="60" t="s">
        <v>82</v>
      </c>
      <c r="B79" s="92">
        <f>F34</f>
        <v>44.3</v>
      </c>
    </row>
    <row r="80" spans="1:6">
      <c r="A80" s="68" t="s">
        <v>131</v>
      </c>
      <c r="B80" s="93">
        <f>IFERROR(B78/B79,0)</f>
        <v>229.78719166367418</v>
      </c>
    </row>
    <row r="82" spans="1:11" ht="18" customHeight="1">
      <c r="A82" s="56" t="s">
        <v>132</v>
      </c>
      <c r="B82" s="55"/>
      <c r="C82" s="55"/>
      <c r="D82" s="55"/>
      <c r="E82" s="55"/>
      <c r="F82" s="55"/>
    </row>
    <row r="83" spans="1:11">
      <c r="A83" s="47"/>
      <c r="B83" s="55"/>
      <c r="C83" s="55"/>
      <c r="D83" s="55"/>
      <c r="E83" s="55"/>
      <c r="F83" s="55"/>
    </row>
    <row r="84" spans="1:11" ht="21" customHeight="1">
      <c r="A84" s="57" t="s">
        <v>133</v>
      </c>
      <c r="B84" s="57" t="s">
        <v>134</v>
      </c>
      <c r="C84" s="57" t="s">
        <v>135</v>
      </c>
      <c r="D84" s="57" t="s">
        <v>136</v>
      </c>
      <c r="E84" s="57" t="s">
        <v>137</v>
      </c>
      <c r="F84" s="57" t="s">
        <v>70</v>
      </c>
      <c r="G84" s="57" t="s">
        <v>138</v>
      </c>
      <c r="H84" s="57" t="s">
        <v>139</v>
      </c>
      <c r="I84" s="57" t="s">
        <v>140</v>
      </c>
      <c r="J84" s="57" t="s">
        <v>141</v>
      </c>
      <c r="K84" s="57" t="s">
        <v>142</v>
      </c>
    </row>
    <row r="85" spans="1:11">
      <c r="A85" s="94" t="s">
        <v>174</v>
      </c>
      <c r="B85" s="101">
        <f>IFERROR(E85/F85,0)</f>
        <v>41.251797344159684</v>
      </c>
      <c r="C85" s="101">
        <f>IFERROR((H85+J85-K85)/I85,0)</f>
        <v>26.345815435776633</v>
      </c>
      <c r="D85" s="101">
        <f>IFERROR(E85/G85,0)</f>
        <v>9.8162423266579442</v>
      </c>
      <c r="E85" s="96">
        <v>4877.2</v>
      </c>
      <c r="F85" s="97">
        <v>118.23</v>
      </c>
      <c r="G85" s="97">
        <v>496.85</v>
      </c>
      <c r="H85" s="97">
        <v>76795.899999999994</v>
      </c>
      <c r="I85" s="97">
        <v>2886.8</v>
      </c>
      <c r="J85" s="96">
        <v>477.4</v>
      </c>
      <c r="K85" s="96">
        <v>1218.2</v>
      </c>
    </row>
    <row r="86" spans="1:11">
      <c r="A86" s="94" t="s">
        <v>175</v>
      </c>
      <c r="B86" s="101">
        <f>IFERROR(E86/F86,0)</f>
        <v>23.676045537662951</v>
      </c>
      <c r="C86" s="101">
        <f>IFERROR((H86+J86-K86)/I86,0)</f>
        <v>14.597426583759157</v>
      </c>
      <c r="D86" s="101">
        <f>IFERROR(E86/G86,0)</f>
        <v>4.9451740876721786</v>
      </c>
      <c r="E86" s="96">
        <v>4013.8</v>
      </c>
      <c r="F86" s="97">
        <v>169.53</v>
      </c>
      <c r="G86" s="97">
        <v>811.66</v>
      </c>
      <c r="H86" s="97">
        <v>119055.4</v>
      </c>
      <c r="I86" s="97">
        <v>8121.5</v>
      </c>
      <c r="J86" s="96">
        <v>2310</v>
      </c>
      <c r="K86" s="96">
        <v>2812.4</v>
      </c>
    </row>
    <row r="87" spans="1:11" ht="20.25" customHeight="1">
      <c r="A87" s="94" t="s">
        <v>176</v>
      </c>
      <c r="B87" s="101">
        <f>IFERROR(E87/F87,0)</f>
        <v>21.032681077758426</v>
      </c>
      <c r="C87" s="101">
        <f>IFERROR((H87+J87-K87)/I87,0)</f>
        <v>12.25607293642538</v>
      </c>
      <c r="D87" s="101">
        <f>IFERROR(E87/G87,0)</f>
        <v>3.6464716434876823</v>
      </c>
      <c r="E87" s="96">
        <v>2053</v>
      </c>
      <c r="F87" s="97">
        <v>97.61</v>
      </c>
      <c r="G87" s="97">
        <v>563.01</v>
      </c>
      <c r="H87" s="97">
        <v>39193.199999999997</v>
      </c>
      <c r="I87" s="97">
        <v>3268.6</v>
      </c>
      <c r="J87" s="96">
        <v>2619.6999999999998</v>
      </c>
      <c r="K87" s="96">
        <v>1752.7</v>
      </c>
    </row>
    <row r="88" spans="1:11">
      <c r="A88" s="102" t="s">
        <v>177</v>
      </c>
      <c r="B88" s="95">
        <f>IFERROR(E88/F88,0)</f>
        <v>36.398625429553263</v>
      </c>
      <c r="C88" s="95">
        <f>IFERROR((H88+J88-K88)/I88,0)</f>
        <v>21.915428571428571</v>
      </c>
      <c r="D88" s="95">
        <f>IFERROR(E88/G88,0)</f>
        <v>7.5998359983599828</v>
      </c>
      <c r="E88" s="96">
        <v>3707.2</v>
      </c>
      <c r="F88" s="97">
        <v>101.85</v>
      </c>
      <c r="G88" s="97">
        <v>487.8</v>
      </c>
      <c r="H88" s="97">
        <v>22513</v>
      </c>
      <c r="I88" s="97">
        <v>875</v>
      </c>
      <c r="J88" s="96">
        <v>0</v>
      </c>
      <c r="K88" s="96">
        <v>3337</v>
      </c>
    </row>
    <row r="89" spans="1:11">
      <c r="A89" s="68" t="s">
        <v>147</v>
      </c>
      <c r="B89" s="98">
        <f>IFERROR(AVERAGE(B85:B88),0)</f>
        <v>30.589787347283583</v>
      </c>
      <c r="C89" s="98">
        <f>IFERROR(AVERAGE(C85:C88),0)</f>
        <v>18.778685881847437</v>
      </c>
      <c r="D89" s="98">
        <f>IFERROR(AVERAGE(D85:D88),0)</f>
        <v>6.5019310140444464</v>
      </c>
    </row>
    <row r="90" spans="1:11">
      <c r="A90" s="68"/>
      <c r="B90" s="8"/>
      <c r="C90" s="8"/>
      <c r="D90" s="8"/>
    </row>
    <row r="91" spans="1:11">
      <c r="A91" s="68" t="s">
        <v>178</v>
      </c>
    </row>
    <row r="92" spans="1:11">
      <c r="A92" s="60" t="s">
        <v>70</v>
      </c>
      <c r="B92" s="78">
        <f>F22</f>
        <v>46.33</v>
      </c>
    </row>
    <row r="93" spans="1:11">
      <c r="A93" s="60" t="s">
        <v>64</v>
      </c>
      <c r="B93" s="75">
        <f>F16</f>
        <v>2936</v>
      </c>
    </row>
    <row r="94" spans="1:11">
      <c r="A94" s="60" t="s">
        <v>149</v>
      </c>
      <c r="B94" s="78">
        <f>IFERROR(F33/F34,0)</f>
        <v>215.2821670428894</v>
      </c>
    </row>
    <row r="96" spans="1:11" ht="26.45" customHeight="1">
      <c r="A96" s="57" t="s">
        <v>150</v>
      </c>
      <c r="B96" s="57" t="s">
        <v>151</v>
      </c>
      <c r="C96" s="57" t="s">
        <v>152</v>
      </c>
      <c r="D96" s="57" t="s">
        <v>153</v>
      </c>
    </row>
    <row r="97" spans="1:6">
      <c r="A97" s="60" t="s">
        <v>154</v>
      </c>
      <c r="B97" s="95">
        <f>B89</f>
        <v>30.589787347283583</v>
      </c>
      <c r="C97" s="99">
        <f>B92</f>
        <v>46.33</v>
      </c>
      <c r="D97" s="99">
        <f>B97*C97</f>
        <v>1417.2248477996484</v>
      </c>
    </row>
    <row r="98" spans="1:6">
      <c r="A98" s="60" t="s">
        <v>155</v>
      </c>
      <c r="B98" s="95">
        <f>C89</f>
        <v>18.778685881847437</v>
      </c>
      <c r="C98" s="90">
        <f>B93</f>
        <v>2936</v>
      </c>
      <c r="D98" s="99">
        <f>IFERROR(((B98*C98)-F28+F32)/F34,0)</f>
        <v>1241.0208069775185</v>
      </c>
    </row>
    <row r="99" spans="1:6">
      <c r="A99" s="60" t="s">
        <v>156</v>
      </c>
      <c r="B99" s="95">
        <f>D89</f>
        <v>6.5019310140444464</v>
      </c>
      <c r="C99" s="99">
        <f>B94</f>
        <v>215.2821670428894</v>
      </c>
      <c r="D99" s="99">
        <f>B99*C99</f>
        <v>1399.7497986668598</v>
      </c>
    </row>
    <row r="100" spans="1:6">
      <c r="A100" s="68" t="s">
        <v>157</v>
      </c>
      <c r="D100" s="93">
        <f>AVERAGE(D97:D99)</f>
        <v>1352.6651511480088</v>
      </c>
    </row>
    <row r="102" spans="1:6" ht="18" customHeight="1">
      <c r="A102" s="56" t="s">
        <v>158</v>
      </c>
      <c r="B102" s="55"/>
      <c r="C102" s="55"/>
      <c r="D102" s="55"/>
      <c r="E102" s="55"/>
      <c r="F102" s="55"/>
    </row>
    <row r="103" spans="1:6">
      <c r="A103" s="60" t="s">
        <v>131</v>
      </c>
      <c r="B103" s="78">
        <f>B80</f>
        <v>229.78719166367418</v>
      </c>
    </row>
    <row r="104" spans="1:6" ht="26.45" customHeight="1">
      <c r="A104" s="60" t="s">
        <v>159</v>
      </c>
      <c r="B104" s="78">
        <f>D100</f>
        <v>1352.6651511480088</v>
      </c>
    </row>
    <row r="105" spans="1:6" ht="26.45" customHeight="1">
      <c r="A105" s="68" t="s">
        <v>160</v>
      </c>
      <c r="B105" s="81">
        <f>AVERAGE(B103:B104)</f>
        <v>791.22617140584146</v>
      </c>
    </row>
    <row r="106" spans="1:6">
      <c r="A106" s="60" t="s">
        <v>161</v>
      </c>
      <c r="B106" s="78">
        <f>F35</f>
        <v>1985.3</v>
      </c>
    </row>
    <row r="107" spans="1:6">
      <c r="A107" s="68" t="s">
        <v>162</v>
      </c>
      <c r="B107" s="84">
        <f>IFERROR(B105/B106-1,"")</f>
        <v>-0.60145762786186396</v>
      </c>
    </row>
    <row r="108" spans="1:6" ht="26.45" customHeight="1">
      <c r="A108" s="68" t="s">
        <v>163</v>
      </c>
      <c r="B108" s="103" t="s">
        <v>179</v>
      </c>
    </row>
    <row r="110" spans="1:6">
      <c r="A110" s="9" t="s">
        <v>165</v>
      </c>
    </row>
  </sheetData>
  <mergeCells count="15">
    <mergeCell ref="A102:F102"/>
    <mergeCell ref="A1:F1"/>
    <mergeCell ref="A37:F37"/>
    <mergeCell ref="B5:F5"/>
    <mergeCell ref="A83:F83"/>
    <mergeCell ref="A12:F12"/>
    <mergeCell ref="B8:F8"/>
    <mergeCell ref="A3:F3"/>
    <mergeCell ref="B9:F9"/>
    <mergeCell ref="B4:F4"/>
    <mergeCell ref="A11:F11"/>
    <mergeCell ref="A52:F52"/>
    <mergeCell ref="B7:F7"/>
    <mergeCell ref="A82:F82"/>
    <mergeCell ref="B6:F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41"/>
  <sheetViews>
    <sheetView showGridLines="0" topLeftCell="A97" zoomScale="94" zoomScaleNormal="94" workbookViewId="0">
      <selection activeCell="C39" sqref="C39"/>
    </sheetView>
  </sheetViews>
  <sheetFormatPr defaultRowHeight="14.45"/>
  <cols>
    <col min="1" max="1" width="34" customWidth="1"/>
    <col min="2" max="2" width="13" customWidth="1"/>
    <col min="3" max="3" width="13.85546875" customWidth="1"/>
    <col min="4" max="6" width="13" customWidth="1"/>
    <col min="7" max="7" width="16.28515625" customWidth="1"/>
    <col min="8" max="8" width="18.28515625" customWidth="1"/>
    <col min="9" max="9" width="13.42578125" customWidth="1"/>
    <col min="10" max="10" width="17.42578125" customWidth="1"/>
    <col min="11" max="11" width="12.140625" customWidth="1"/>
    <col min="12" max="12" width="9" bestFit="1" customWidth="1"/>
  </cols>
  <sheetData>
    <row r="1" spans="1:7" ht="22.15" customHeight="1">
      <c r="A1" s="48" t="s">
        <v>180</v>
      </c>
      <c r="B1" s="55"/>
      <c r="C1" s="55"/>
      <c r="D1" s="55"/>
      <c r="E1" s="55"/>
      <c r="F1" s="55"/>
    </row>
    <row r="3" spans="1:7" ht="18" customHeight="1">
      <c r="A3" s="56" t="s">
        <v>42</v>
      </c>
      <c r="B3" s="55"/>
      <c r="C3" s="55"/>
      <c r="D3" s="55"/>
      <c r="E3" s="55"/>
      <c r="F3" s="55"/>
    </row>
    <row r="4" spans="1:7" ht="30" customHeight="1">
      <c r="A4" s="68" t="s">
        <v>43</v>
      </c>
      <c r="B4" s="72" t="s">
        <v>181</v>
      </c>
      <c r="C4" s="73"/>
      <c r="D4" s="73"/>
      <c r="E4" s="73"/>
      <c r="F4" s="74"/>
    </row>
    <row r="5" spans="1:7" ht="105" customHeight="1">
      <c r="A5" s="68" t="s">
        <v>45</v>
      </c>
      <c r="B5" s="72" t="s">
        <v>182</v>
      </c>
      <c r="C5" s="73"/>
      <c r="D5" s="73"/>
      <c r="E5" s="73"/>
      <c r="F5" s="74"/>
    </row>
    <row r="6" spans="1:7" ht="27" customHeight="1">
      <c r="A6" s="68" t="s">
        <v>47</v>
      </c>
      <c r="B6" s="50" t="s">
        <v>183</v>
      </c>
      <c r="C6" s="104"/>
      <c r="D6" s="104"/>
      <c r="E6" s="104"/>
      <c r="F6" s="105"/>
    </row>
    <row r="7" spans="1:7" ht="22.15" customHeight="1" thickBot="1">
      <c r="A7" s="68" t="s">
        <v>49</v>
      </c>
      <c r="B7" s="49" t="s">
        <v>184</v>
      </c>
      <c r="C7" s="106"/>
      <c r="D7" s="106"/>
      <c r="E7" s="106"/>
      <c r="F7" s="107"/>
    </row>
    <row r="8" spans="1:7" ht="43.15" customHeight="1">
      <c r="A8" s="68" t="s">
        <v>51</v>
      </c>
      <c r="B8" s="72" t="s">
        <v>185</v>
      </c>
      <c r="C8" s="73"/>
      <c r="D8" s="73"/>
      <c r="E8" s="73"/>
      <c r="F8" s="74"/>
    </row>
    <row r="9" spans="1:7" ht="22.15" customHeight="1">
      <c r="A9" s="68" t="s">
        <v>53</v>
      </c>
      <c r="B9" s="72" t="s">
        <v>186</v>
      </c>
      <c r="C9" s="73"/>
      <c r="D9" s="73"/>
      <c r="E9" s="73"/>
      <c r="F9" s="74"/>
      <c r="G9" s="2"/>
    </row>
    <row r="11" spans="1:7" ht="18" customHeight="1">
      <c r="A11" s="56" t="s">
        <v>55</v>
      </c>
      <c r="B11" s="55"/>
      <c r="C11" s="55"/>
      <c r="D11" s="55"/>
      <c r="E11" s="55"/>
      <c r="F11" s="55"/>
    </row>
    <row r="12" spans="1:7">
      <c r="A12" s="47"/>
      <c r="B12" s="55"/>
      <c r="C12" s="55"/>
      <c r="D12" s="55"/>
      <c r="E12" s="55"/>
      <c r="F12" s="55"/>
    </row>
    <row r="13" spans="1:7">
      <c r="A13" s="57" t="s">
        <v>56</v>
      </c>
      <c r="B13" s="57" t="s">
        <v>57</v>
      </c>
      <c r="C13" s="57" t="s">
        <v>58</v>
      </c>
      <c r="D13" s="57" t="s">
        <v>59</v>
      </c>
      <c r="E13" s="57" t="s">
        <v>60</v>
      </c>
      <c r="F13" s="57" t="s">
        <v>61</v>
      </c>
    </row>
    <row r="14" spans="1:7">
      <c r="A14" s="68" t="s">
        <v>62</v>
      </c>
      <c r="B14" s="75">
        <v>21545</v>
      </c>
      <c r="C14" s="75">
        <v>24670</v>
      </c>
      <c r="D14" s="75">
        <v>28011</v>
      </c>
      <c r="E14" s="75">
        <v>32644</v>
      </c>
      <c r="F14" s="75">
        <v>33700</v>
      </c>
      <c r="G14" s="2"/>
    </row>
    <row r="15" spans="1:7">
      <c r="A15" s="60" t="s">
        <v>63</v>
      </c>
      <c r="B15" s="76"/>
      <c r="C15" s="77">
        <f>IFERROR(C14/B14-1,"")</f>
        <v>0.14504525411928526</v>
      </c>
      <c r="D15" s="77">
        <f>IFERROR(D14/C14-1,"")</f>
        <v>0.13542764491284953</v>
      </c>
      <c r="E15" s="77">
        <f>IFERROR(E14/D14-1,"")</f>
        <v>0.16539930741494402</v>
      </c>
      <c r="F15" s="77">
        <f>IFERROR(F14/E14-1,"")</f>
        <v>3.2348976841073407E-2</v>
      </c>
    </row>
    <row r="16" spans="1:7">
      <c r="A16" s="68" t="s">
        <v>64</v>
      </c>
      <c r="B16" s="75">
        <v>3768</v>
      </c>
      <c r="C16" s="75">
        <v>6470</v>
      </c>
      <c r="D16" s="75">
        <v>7933</v>
      </c>
      <c r="E16" s="75">
        <v>8547</v>
      </c>
      <c r="F16" s="75">
        <v>6454</v>
      </c>
      <c r="G16" s="2"/>
    </row>
    <row r="17" spans="1:7">
      <c r="A17" s="60" t="s">
        <v>65</v>
      </c>
      <c r="B17" s="77">
        <f>IFERROR(B16/B14,"")</f>
        <v>0.17488976560686934</v>
      </c>
      <c r="C17" s="77">
        <f>IFERROR(C16/C14,"")</f>
        <v>0.26226185650587758</v>
      </c>
      <c r="D17" s="77">
        <f>IFERROR(D16/D14,"")</f>
        <v>0.28321016743422228</v>
      </c>
      <c r="E17" s="77">
        <f>IFERROR(E16/E14,"")</f>
        <v>0.26182453130743782</v>
      </c>
      <c r="F17" s="77">
        <f>IFERROR(F16/F14,"")</f>
        <v>0.19151335311572701</v>
      </c>
    </row>
    <row r="18" spans="1:7">
      <c r="A18" s="68" t="s">
        <v>66</v>
      </c>
      <c r="B18" s="75">
        <v>2603</v>
      </c>
      <c r="C18" s="75">
        <v>5220</v>
      </c>
      <c r="D18" s="75">
        <v>6463</v>
      </c>
      <c r="E18" s="75">
        <v>6843</v>
      </c>
      <c r="F18" s="75">
        <v>4395</v>
      </c>
      <c r="G18" s="2"/>
    </row>
    <row r="19" spans="1:7">
      <c r="A19" s="60" t="s">
        <v>67</v>
      </c>
      <c r="B19" s="77">
        <f>IFERROR(B18/B14,"")</f>
        <v>0.12081689487119981</v>
      </c>
      <c r="C19" s="77">
        <f>IFERROR(C18/C14,"")</f>
        <v>0.21159302796919335</v>
      </c>
      <c r="D19" s="77">
        <f>IFERROR(D18/D14,"")</f>
        <v>0.23073078433472563</v>
      </c>
      <c r="E19" s="77">
        <f>IFERROR(E18/E14,"")</f>
        <v>0.20962504595025119</v>
      </c>
      <c r="F19" s="77">
        <f>IFERROR(F18/F14,"")</f>
        <v>0.13041543026706232</v>
      </c>
    </row>
    <row r="20" spans="1:7">
      <c r="A20" s="68" t="s">
        <v>68</v>
      </c>
      <c r="B20" s="75">
        <v>2182</v>
      </c>
      <c r="C20" s="75">
        <v>4507</v>
      </c>
      <c r="D20" s="75">
        <v>5578</v>
      </c>
      <c r="E20" s="75">
        <v>5725</v>
      </c>
      <c r="F20" s="75">
        <v>4158</v>
      </c>
      <c r="G20" s="2"/>
    </row>
    <row r="21" spans="1:7">
      <c r="A21" s="60" t="s">
        <v>69</v>
      </c>
      <c r="B21" s="77">
        <f>IFERROR(B20/B14,"")</f>
        <v>0.1012763982362497</v>
      </c>
      <c r="C21" s="77">
        <f>IFERROR(C20/C14,"")</f>
        <v>0.18269152817186868</v>
      </c>
      <c r="D21" s="77">
        <f>IFERROR(D20/D14,"")</f>
        <v>0.19913605369319196</v>
      </c>
      <c r="E21" s="77">
        <f>IFERROR(E20/E14,"")</f>
        <v>0.17537679205979659</v>
      </c>
      <c r="F21" s="77">
        <f>IFERROR(F20/F14,"")</f>
        <v>0.12338278931750742</v>
      </c>
    </row>
    <row r="22" spans="1:7">
      <c r="A22" s="60" t="s">
        <v>70</v>
      </c>
      <c r="B22" s="78">
        <v>26.23</v>
      </c>
      <c r="C22" s="78">
        <v>54.14</v>
      </c>
      <c r="D22" s="78">
        <v>66.87</v>
      </c>
      <c r="E22" s="78">
        <v>67.77</v>
      </c>
      <c r="F22" s="78">
        <v>50.27</v>
      </c>
      <c r="G22" s="2"/>
    </row>
    <row r="23" spans="1:7">
      <c r="A23" s="60" t="s">
        <v>71</v>
      </c>
      <c r="B23" s="75">
        <v>809</v>
      </c>
      <c r="C23" s="75">
        <v>2084</v>
      </c>
      <c r="D23" s="75">
        <v>3066</v>
      </c>
      <c r="E23" s="75">
        <v>10551</v>
      </c>
      <c r="F23" s="75">
        <v>4890</v>
      </c>
      <c r="G23" s="2"/>
    </row>
    <row r="24" spans="1:7">
      <c r="A24" s="60" t="s">
        <v>72</v>
      </c>
      <c r="B24" s="77">
        <f>B23/B14</f>
        <v>3.7549315386400557E-2</v>
      </c>
      <c r="C24" s="77">
        <f>C23/C14</f>
        <v>8.4475070936359947E-2</v>
      </c>
      <c r="D24" s="77">
        <f>D23/D14</f>
        <v>0.10945699903609296</v>
      </c>
      <c r="E24" s="77">
        <f>E23/E14</f>
        <v>0.32321406690356574</v>
      </c>
      <c r="F24" s="77">
        <f>F23/F14</f>
        <v>0.14510385756676558</v>
      </c>
      <c r="G24" s="2"/>
    </row>
    <row r="25" spans="1:7">
      <c r="A25" s="60" t="s">
        <v>73</v>
      </c>
      <c r="B25" s="23">
        <v>1165</v>
      </c>
      <c r="C25" s="75">
        <v>1250</v>
      </c>
      <c r="D25" s="75">
        <v>1470</v>
      </c>
      <c r="E25" s="75">
        <v>1704</v>
      </c>
      <c r="F25" s="75">
        <v>2059</v>
      </c>
      <c r="G25" s="2"/>
    </row>
    <row r="26" spans="1:7">
      <c r="A26" s="60" t="s">
        <v>74</v>
      </c>
      <c r="B26" s="24">
        <f>B25/B14</f>
        <v>5.4072870735669527E-2</v>
      </c>
      <c r="C26" s="77">
        <f>C25/C14</f>
        <v>5.0668828536684231E-2</v>
      </c>
      <c r="D26" s="77">
        <f>D25/D14</f>
        <v>5.2479383099496624E-2</v>
      </c>
      <c r="E26" s="77">
        <f>E25/E14</f>
        <v>5.2199485357186617E-2</v>
      </c>
      <c r="F26" s="77">
        <f>F25/F14</f>
        <v>6.1097922848664686E-2</v>
      </c>
      <c r="G26" s="2"/>
    </row>
    <row r="27" spans="1:7">
      <c r="A27" s="60" t="s">
        <v>75</v>
      </c>
      <c r="B27" s="25">
        <v>96</v>
      </c>
      <c r="C27" s="75">
        <v>143</v>
      </c>
      <c r="D27" s="75">
        <v>171</v>
      </c>
      <c r="E27" s="75">
        <v>283</v>
      </c>
      <c r="F27" s="75">
        <v>374</v>
      </c>
      <c r="G27" s="2"/>
    </row>
    <row r="28" spans="1:7">
      <c r="A28" s="60" t="s">
        <v>76</v>
      </c>
      <c r="B28" s="25">
        <v>3384</v>
      </c>
      <c r="C28" s="75">
        <v>1347</v>
      </c>
      <c r="D28" s="75">
        <v>2002</v>
      </c>
      <c r="E28" s="75">
        <v>4677</v>
      </c>
      <c r="F28" s="75">
        <v>7734</v>
      </c>
      <c r="G28" s="2"/>
    </row>
    <row r="29" spans="1:7">
      <c r="A29" s="60" t="s">
        <v>77</v>
      </c>
      <c r="B29" s="25">
        <v>10566</v>
      </c>
      <c r="C29" s="75">
        <v>9398</v>
      </c>
      <c r="D29" s="75">
        <v>13481</v>
      </c>
      <c r="E29" s="75">
        <v>13483</v>
      </c>
      <c r="F29" s="75">
        <v>16817</v>
      </c>
      <c r="G29" s="2"/>
    </row>
    <row r="30" spans="1:7">
      <c r="A30" s="60" t="s">
        <v>78</v>
      </c>
      <c r="B30" s="25"/>
      <c r="C30" s="75">
        <f>C29-B29</f>
        <v>-1168</v>
      </c>
      <c r="D30" s="75">
        <f>D29-C29</f>
        <v>4083</v>
      </c>
      <c r="E30" s="75">
        <f>E29-D29</f>
        <v>2</v>
      </c>
      <c r="F30" s="75">
        <f>F29-E29</f>
        <v>3334</v>
      </c>
      <c r="G30" s="2"/>
    </row>
    <row r="31" spans="1:7">
      <c r="A31" s="60" t="s">
        <v>79</v>
      </c>
      <c r="B31" s="24"/>
      <c r="C31" s="77">
        <f>C30/C14</f>
        <v>-4.7344953384677743E-2</v>
      </c>
      <c r="D31" s="77">
        <f>D30/D14</f>
        <v>0.14576416407839776</v>
      </c>
      <c r="E31" s="77">
        <f>E30/E14</f>
        <v>6.1267001592942041E-5</v>
      </c>
      <c r="F31" s="77">
        <f>F30/F14</f>
        <v>9.8931750741839769E-2</v>
      </c>
      <c r="G31" s="2"/>
    </row>
    <row r="32" spans="1:7">
      <c r="A32" s="60" t="s">
        <v>80</v>
      </c>
      <c r="B32" s="25">
        <v>2616</v>
      </c>
      <c r="C32" s="75">
        <v>4986</v>
      </c>
      <c r="D32" s="75">
        <v>4930</v>
      </c>
      <c r="E32" s="75">
        <v>4051</v>
      </c>
      <c r="F32" s="75">
        <v>5285</v>
      </c>
      <c r="G32" s="2"/>
    </row>
    <row r="33" spans="1:7">
      <c r="A33" s="60" t="s">
        <v>81</v>
      </c>
      <c r="B33" s="25">
        <v>19212</v>
      </c>
      <c r="C33" s="75">
        <v>23286</v>
      </c>
      <c r="D33" s="75">
        <v>28254</v>
      </c>
      <c r="E33" s="75">
        <v>33549</v>
      </c>
      <c r="F33" s="75">
        <v>37892</v>
      </c>
      <c r="G33" s="2"/>
    </row>
    <row r="34" spans="1:7">
      <c r="A34" s="60" t="s">
        <v>82</v>
      </c>
      <c r="B34" s="26">
        <v>83.5</v>
      </c>
      <c r="C34" s="79">
        <v>83.5</v>
      </c>
      <c r="D34" s="79">
        <v>83.5</v>
      </c>
      <c r="E34" s="79">
        <v>83.5</v>
      </c>
      <c r="F34" s="79">
        <v>83.5</v>
      </c>
      <c r="G34" s="2"/>
    </row>
    <row r="35" spans="1:7">
      <c r="A35" s="60" t="s">
        <v>83</v>
      </c>
      <c r="B35" s="27"/>
      <c r="C35" s="80"/>
      <c r="D35" s="80"/>
      <c r="E35" s="80"/>
      <c r="F35" s="81">
        <v>1154.4000000000001</v>
      </c>
      <c r="G35" s="2"/>
    </row>
    <row r="36" spans="1:7">
      <c r="A36" s="3"/>
      <c r="B36" s="4"/>
      <c r="C36" s="4"/>
      <c r="D36" s="4"/>
      <c r="E36" s="4"/>
      <c r="F36" s="4"/>
      <c r="G36" s="2"/>
    </row>
    <row r="37" spans="1:7" ht="18" customHeight="1">
      <c r="A37" s="56" t="s">
        <v>84</v>
      </c>
      <c r="B37" s="55"/>
      <c r="C37" s="55"/>
      <c r="D37" s="55"/>
      <c r="E37" s="55"/>
      <c r="F37" s="55"/>
    </row>
    <row r="38" spans="1:7" ht="15" customHeight="1">
      <c r="A38" s="60" t="s">
        <v>85</v>
      </c>
      <c r="B38" s="82">
        <f>'Economic &amp; Industry Inputs'!$B$5</f>
        <v>6.9000000000000006E-2</v>
      </c>
    </row>
    <row r="39" spans="1:7">
      <c r="A39" s="60" t="s">
        <v>86</v>
      </c>
      <c r="B39" s="83">
        <f>'Portfolio Construction'!B2513</f>
        <v>0.5289974531558439</v>
      </c>
      <c r="G39" s="2"/>
    </row>
    <row r="40" spans="1:7">
      <c r="A40" s="60" t="s">
        <v>9</v>
      </c>
      <c r="B40" s="82">
        <f>'Economic &amp; Industry Inputs'!$B$7</f>
        <v>6.0999999999999999E-2</v>
      </c>
    </row>
    <row r="41" spans="1:7">
      <c r="A41" s="68" t="s">
        <v>87</v>
      </c>
      <c r="B41" s="84">
        <f>B38+B39*B40</f>
        <v>0.10126884464250649</v>
      </c>
    </row>
    <row r="42" spans="1:7">
      <c r="A42" s="60" t="s">
        <v>88</v>
      </c>
      <c r="B42" s="62">
        <f>AVERAGE((B27/B28),(C27/C28),(D27/D28),(E27/E28),(F27/F28))</f>
        <v>6.5762398851920242E-2</v>
      </c>
      <c r="G42" s="2"/>
    </row>
    <row r="43" spans="1:7">
      <c r="A43" s="60" t="s">
        <v>89</v>
      </c>
      <c r="B43" s="82">
        <f>'Economic &amp; Industry Inputs'!$B$8</f>
        <v>0.25169999999999998</v>
      </c>
    </row>
    <row r="44" spans="1:7">
      <c r="A44" s="60" t="s">
        <v>90</v>
      </c>
      <c r="B44" s="62">
        <f>B42*(1-B43)</f>
        <v>4.9210003060891912E-2</v>
      </c>
    </row>
    <row r="45" spans="1:7">
      <c r="A45" s="60" t="s">
        <v>91</v>
      </c>
      <c r="B45" s="85">
        <f>F35*F34</f>
        <v>96392.400000000009</v>
      </c>
    </row>
    <row r="46" spans="1:7">
      <c r="A46" s="60" t="s">
        <v>92</v>
      </c>
      <c r="B46" s="85">
        <f>F28</f>
        <v>7734</v>
      </c>
    </row>
    <row r="47" spans="1:7">
      <c r="A47" s="60" t="s">
        <v>93</v>
      </c>
      <c r="B47" s="62">
        <f>IFERROR(B45/(B45+B46),0)</f>
        <v>0.92572488821278753</v>
      </c>
    </row>
    <row r="48" spans="1:7">
      <c r="A48" s="60" t="s">
        <v>94</v>
      </c>
      <c r="B48" s="62">
        <f>IFERROR(B46/(B45+B46),0)</f>
        <v>7.4275111787212453E-2</v>
      </c>
    </row>
    <row r="49" spans="1:7">
      <c r="A49" s="68" t="s">
        <v>95</v>
      </c>
      <c r="B49" s="84">
        <f>B47*B41+B48*B44</f>
        <v>9.7402168364519287E-2</v>
      </c>
    </row>
    <row r="50" spans="1:7">
      <c r="A50" s="60" t="s">
        <v>96</v>
      </c>
      <c r="B50" s="82">
        <f>'Economic &amp; Industry Inputs'!$B$10</f>
        <v>0.06</v>
      </c>
      <c r="G50" s="2"/>
    </row>
    <row r="52" spans="1:7" ht="18" customHeight="1">
      <c r="A52" s="56" t="s">
        <v>97</v>
      </c>
      <c r="B52" s="55"/>
      <c r="C52" s="55"/>
      <c r="D52" s="55"/>
      <c r="E52" s="55"/>
      <c r="F52" s="55"/>
    </row>
    <row r="53" spans="1:7">
      <c r="A53" s="57" t="s">
        <v>56</v>
      </c>
      <c r="B53" s="57" t="s">
        <v>98</v>
      </c>
      <c r="C53" s="57" t="s">
        <v>99</v>
      </c>
      <c r="D53" s="57" t="s">
        <v>100</v>
      </c>
      <c r="E53" s="57" t="s">
        <v>101</v>
      </c>
      <c r="F53" s="57" t="s">
        <v>102</v>
      </c>
      <c r="G53" s="5" t="s">
        <v>103</v>
      </c>
    </row>
    <row r="54" spans="1:7">
      <c r="A54" s="60" t="s">
        <v>104</v>
      </c>
      <c r="B54" s="77">
        <v>0.06</v>
      </c>
      <c r="C54" s="77">
        <v>0.06</v>
      </c>
      <c r="D54" s="77">
        <v>0.06</v>
      </c>
      <c r="E54" s="77">
        <v>0.06</v>
      </c>
      <c r="F54" s="77">
        <v>0.06</v>
      </c>
      <c r="G54" s="6" t="s">
        <v>187</v>
      </c>
    </row>
    <row r="55" spans="1:7">
      <c r="A55" s="68" t="s">
        <v>106</v>
      </c>
      <c r="B55" s="75">
        <f>F14*(1+B54)</f>
        <v>35722</v>
      </c>
      <c r="C55" s="75">
        <f>B55*(1+C54)</f>
        <v>37865.32</v>
      </c>
      <c r="D55" s="75">
        <f>C55*(1+D54)</f>
        <v>40137.239200000004</v>
      </c>
      <c r="E55" s="75">
        <f>D55*(1+E54)</f>
        <v>42545.473552000003</v>
      </c>
      <c r="F55" s="75">
        <f>E55*(1+F54)</f>
        <v>45098.201965120003</v>
      </c>
    </row>
    <row r="56" spans="1:7">
      <c r="A56" s="60" t="s">
        <v>107</v>
      </c>
      <c r="B56" s="77">
        <f>AVERAGE(B17:F17)</f>
        <v>0.2347399347940268</v>
      </c>
      <c r="C56" s="77">
        <f>$B$56</f>
        <v>0.2347399347940268</v>
      </c>
      <c r="D56" s="77">
        <f>$B$56</f>
        <v>0.2347399347940268</v>
      </c>
      <c r="E56" s="77">
        <f>$B$56</f>
        <v>0.2347399347940268</v>
      </c>
      <c r="F56" s="77">
        <f>$B$56</f>
        <v>0.2347399347940268</v>
      </c>
      <c r="G56" s="6" t="s">
        <v>108</v>
      </c>
    </row>
    <row r="57" spans="1:7">
      <c r="A57" s="60" t="s">
        <v>109</v>
      </c>
      <c r="B57" s="75">
        <f>B55*B56</f>
        <v>8385.3799507122258</v>
      </c>
      <c r="C57" s="75">
        <f>C55*C56</f>
        <v>8888.5027477549593</v>
      </c>
      <c r="D57" s="75">
        <f>D55*D56</f>
        <v>9421.8129126202566</v>
      </c>
      <c r="E57" s="75">
        <f>E55*E56</f>
        <v>9987.121687377472</v>
      </c>
      <c r="F57" s="75">
        <f>F55*F56</f>
        <v>10586.348988620121</v>
      </c>
    </row>
    <row r="58" spans="1:7">
      <c r="A58" s="60" t="s">
        <v>110</v>
      </c>
      <c r="B58" s="75">
        <f>B57*$B$43</f>
        <v>2110.6001335942669</v>
      </c>
      <c r="C58" s="75">
        <f>C57*$B$43</f>
        <v>2237.2361416099229</v>
      </c>
      <c r="D58" s="75">
        <f>D57*$B$43</f>
        <v>2371.4703101065184</v>
      </c>
      <c r="E58" s="75">
        <f>E57*$B$43</f>
        <v>2513.7585287129095</v>
      </c>
      <c r="F58" s="75">
        <f>F57*$B$43</f>
        <v>2664.5840404356841</v>
      </c>
    </row>
    <row r="59" spans="1:7">
      <c r="A59" s="68" t="s">
        <v>111</v>
      </c>
      <c r="B59" s="75">
        <f>B57-B58</f>
        <v>6274.7798171179584</v>
      </c>
      <c r="C59" s="75">
        <f>C57-C58</f>
        <v>6651.2666061450363</v>
      </c>
      <c r="D59" s="75">
        <f>D57-D58</f>
        <v>7050.3426025137378</v>
      </c>
      <c r="E59" s="75">
        <f>E57-E58</f>
        <v>7473.3631586645624</v>
      </c>
      <c r="F59" s="75">
        <f>F57-F58</f>
        <v>7921.7649481844364</v>
      </c>
    </row>
    <row r="60" spans="1:7">
      <c r="A60" s="60" t="s">
        <v>112</v>
      </c>
      <c r="B60" s="77">
        <f>AVERAGE(B26:F26)</f>
        <v>5.4103698115540333E-2</v>
      </c>
      <c r="C60" s="77">
        <f>$B$60</f>
        <v>5.4103698115540333E-2</v>
      </c>
      <c r="D60" s="77">
        <f>$B$60</f>
        <v>5.4103698115540333E-2</v>
      </c>
      <c r="E60" s="77">
        <f>$B$60</f>
        <v>5.4103698115540333E-2</v>
      </c>
      <c r="F60" s="77">
        <f>$B$60</f>
        <v>5.4103698115540333E-2</v>
      </c>
      <c r="G60" s="6" t="s">
        <v>108</v>
      </c>
    </row>
    <row r="61" spans="1:7">
      <c r="A61" s="60" t="s">
        <v>113</v>
      </c>
      <c r="B61" s="75">
        <f>B55*B60</f>
        <v>1932.6923040833317</v>
      </c>
      <c r="C61" s="75">
        <f>C55*C60</f>
        <v>2048.6538423283318</v>
      </c>
      <c r="D61" s="75">
        <f>D55*D60</f>
        <v>2171.5730728680319</v>
      </c>
      <c r="E61" s="75">
        <f>E55*E60</f>
        <v>2301.8674572401137</v>
      </c>
      <c r="F61" s="75">
        <f>F55*F60</f>
        <v>2439.9795046745203</v>
      </c>
    </row>
    <row r="62" spans="1:7">
      <c r="A62" s="60" t="s">
        <v>114</v>
      </c>
      <c r="B62" s="77">
        <f>AVERAGE(B24:F24)</f>
        <v>0.13995986196583696</v>
      </c>
      <c r="C62" s="77">
        <f>$B$62</f>
        <v>0.13995986196583696</v>
      </c>
      <c r="D62" s="77">
        <f>$B$62</f>
        <v>0.13995986196583696</v>
      </c>
      <c r="E62" s="77">
        <f>$B$62</f>
        <v>0.13995986196583696</v>
      </c>
      <c r="F62" s="77">
        <f>$B$62</f>
        <v>0.13995986196583696</v>
      </c>
      <c r="G62" s="6" t="s">
        <v>108</v>
      </c>
    </row>
    <row r="63" spans="1:7">
      <c r="A63" s="60" t="s">
        <v>115</v>
      </c>
      <c r="B63" s="75">
        <f>B55*B62</f>
        <v>4999.6461891436275</v>
      </c>
      <c r="C63" s="75">
        <f>C55*C62</f>
        <v>5299.624960492245</v>
      </c>
      <c r="D63" s="75">
        <f>D55*D62</f>
        <v>5617.6024581217807</v>
      </c>
      <c r="E63" s="75">
        <f>E55*E62</f>
        <v>5954.6586056090873</v>
      </c>
      <c r="F63" s="75">
        <f>F55*F62</f>
        <v>6311.9381219456327</v>
      </c>
    </row>
    <row r="64" spans="1:7" ht="26.45" customHeight="1">
      <c r="A64" s="60" t="s">
        <v>116</v>
      </c>
      <c r="B64" s="77">
        <f>AVERAGE(C31:F31)</f>
        <v>4.9353057109288181E-2</v>
      </c>
      <c r="C64" s="77">
        <f>$B$64</f>
        <v>4.9353057109288181E-2</v>
      </c>
      <c r="D64" s="77">
        <f>$B$64</f>
        <v>4.9353057109288181E-2</v>
      </c>
      <c r="E64" s="77">
        <f>$B$64</f>
        <v>4.9353057109288181E-2</v>
      </c>
      <c r="F64" s="77">
        <f>$B$64</f>
        <v>4.9353057109288181E-2</v>
      </c>
      <c r="G64" s="6" t="s">
        <v>108</v>
      </c>
    </row>
    <row r="65" spans="1:6">
      <c r="A65" s="60" t="s">
        <v>118</v>
      </c>
      <c r="B65" s="75">
        <f>B55*B64</f>
        <v>1762.9899060579924</v>
      </c>
      <c r="C65" s="75">
        <f>C55*C64</f>
        <v>1868.7693004214721</v>
      </c>
      <c r="D65" s="75">
        <f>D55*D64</f>
        <v>1980.8954584467604</v>
      </c>
      <c r="E65" s="75">
        <f>E55*E64</f>
        <v>2099.7491859535662</v>
      </c>
      <c r="F65" s="75">
        <f>F55*F64</f>
        <v>2225.73413711078</v>
      </c>
    </row>
    <row r="66" spans="1:6">
      <c r="A66" s="68" t="s">
        <v>119</v>
      </c>
      <c r="B66" s="86">
        <f>B59+B61-B63-B65</f>
        <v>1444.8360259996703</v>
      </c>
      <c r="C66" s="86">
        <f>C59+C61-C63-C65</f>
        <v>1531.5261875596502</v>
      </c>
      <c r="D66" s="86">
        <f>D59+D61-D63-D65</f>
        <v>1623.4177588132286</v>
      </c>
      <c r="E66" s="86">
        <f>E59+E61-E63-E65</f>
        <v>1720.8228243420231</v>
      </c>
      <c r="F66" s="86">
        <f>F59+F61-F63-F65</f>
        <v>1824.072193802544</v>
      </c>
    </row>
    <row r="67" spans="1:6">
      <c r="A67" s="60" t="s">
        <v>120</v>
      </c>
      <c r="B67" s="87">
        <v>1</v>
      </c>
      <c r="C67" s="87">
        <v>2</v>
      </c>
      <c r="D67" s="87">
        <v>3</v>
      </c>
      <c r="E67" s="87">
        <v>4</v>
      </c>
      <c r="F67" s="87">
        <v>5</v>
      </c>
    </row>
    <row r="68" spans="1:6">
      <c r="A68" s="60" t="s">
        <v>121</v>
      </c>
      <c r="B68" s="88">
        <f>1/(1+$B$49)^B67</f>
        <v>0.91124295980781622</v>
      </c>
      <c r="C68" s="88">
        <f>1/(1+$B$49)^C67</f>
        <v>0.83036373179930945</v>
      </c>
      <c r="D68" s="88">
        <f>1/(1+$B$49)^D67</f>
        <v>0.75666310468186648</v>
      </c>
      <c r="E68" s="88">
        <f>1/(1+$B$49)^E67</f>
        <v>0.68950392708767561</v>
      </c>
      <c r="F68" s="88">
        <f>1/(1+$B$49)^F67</f>
        <v>0.62830559931848629</v>
      </c>
    </row>
    <row r="69" spans="1:6">
      <c r="A69" s="60" t="s">
        <v>122</v>
      </c>
      <c r="B69" s="75">
        <f>B66*B68</f>
        <v>1316.5966567689024</v>
      </c>
      <c r="C69" s="75">
        <f>C66*C68</f>
        <v>1271.7238004504004</v>
      </c>
      <c r="D69" s="75">
        <f>D66*D68</f>
        <v>1228.380321579295</v>
      </c>
      <c r="E69" s="75">
        <f>E66*E68</f>
        <v>1186.5140952059303</v>
      </c>
      <c r="F69" s="75">
        <f>F66*F68</f>
        <v>1146.0747729272935</v>
      </c>
    </row>
    <row r="71" spans="1:6">
      <c r="A71" s="68" t="s">
        <v>123</v>
      </c>
      <c r="F71" s="89">
        <f>F66*(1+$B$50)/($B$49-$B$50)</f>
        <v>51695.305646099463</v>
      </c>
    </row>
    <row r="72" spans="1:6">
      <c r="A72" s="60" t="s">
        <v>124</v>
      </c>
      <c r="F72" s="89">
        <f>F71*F68</f>
        <v>32480.44999592485</v>
      </c>
    </row>
    <row r="73" spans="1:6">
      <c r="A73" s="60" t="s">
        <v>125</v>
      </c>
      <c r="B73" s="90">
        <f>SUM(B69:F69)</f>
        <v>6149.2896469318212</v>
      </c>
    </row>
    <row r="74" spans="1:6">
      <c r="A74" s="60" t="s">
        <v>126</v>
      </c>
      <c r="B74" s="90">
        <f>F72</f>
        <v>32480.44999592485</v>
      </c>
    </row>
    <row r="75" spans="1:6">
      <c r="A75" s="68" t="s">
        <v>127</v>
      </c>
      <c r="B75" s="91">
        <f>B73+B74</f>
        <v>38629.739642856672</v>
      </c>
    </row>
    <row r="76" spans="1:6">
      <c r="A76" s="60" t="s">
        <v>128</v>
      </c>
      <c r="B76" s="90">
        <f>-F28</f>
        <v>-7734</v>
      </c>
    </row>
    <row r="77" spans="1:6">
      <c r="A77" s="60" t="s">
        <v>129</v>
      </c>
      <c r="B77" s="90">
        <f>F32</f>
        <v>5285</v>
      </c>
    </row>
    <row r="78" spans="1:6">
      <c r="A78" s="68" t="s">
        <v>130</v>
      </c>
      <c r="B78" s="90">
        <f>B75+B76+B77</f>
        <v>36180.739642856672</v>
      </c>
    </row>
    <row r="79" spans="1:6">
      <c r="A79" s="60" t="s">
        <v>82</v>
      </c>
      <c r="B79" s="92">
        <f>F34</f>
        <v>83.5</v>
      </c>
    </row>
    <row r="80" spans="1:6">
      <c r="A80" s="68" t="s">
        <v>131</v>
      </c>
      <c r="B80" s="93">
        <f>IFERROR(B78/B79,0)</f>
        <v>433.30227117193618</v>
      </c>
    </row>
    <row r="82" spans="1:11" ht="18" customHeight="1">
      <c r="A82" s="56" t="s">
        <v>132</v>
      </c>
      <c r="B82" s="55"/>
      <c r="C82" s="55"/>
      <c r="D82" s="55"/>
      <c r="E82" s="55"/>
      <c r="F82" s="55"/>
    </row>
    <row r="83" spans="1:11">
      <c r="A83" s="47"/>
      <c r="B83" s="55"/>
      <c r="C83" s="55"/>
      <c r="D83" s="55"/>
      <c r="E83" s="55"/>
      <c r="F83" s="55"/>
    </row>
    <row r="84" spans="1:11" ht="22.5" customHeight="1">
      <c r="A84" s="57" t="s">
        <v>133</v>
      </c>
      <c r="B84" s="57" t="s">
        <v>134</v>
      </c>
      <c r="C84" s="57" t="s">
        <v>135</v>
      </c>
      <c r="D84" s="57" t="s">
        <v>136</v>
      </c>
      <c r="E84" s="57" t="s">
        <v>137</v>
      </c>
      <c r="F84" s="57" t="s">
        <v>70</v>
      </c>
      <c r="G84" s="57" t="s">
        <v>138</v>
      </c>
      <c r="H84" s="57" t="s">
        <v>139</v>
      </c>
      <c r="I84" s="57" t="s">
        <v>140</v>
      </c>
      <c r="J84" s="57" t="s">
        <v>141</v>
      </c>
      <c r="K84" s="57" t="s">
        <v>142</v>
      </c>
    </row>
    <row r="85" spans="1:11">
      <c r="A85" s="94" t="s">
        <v>188</v>
      </c>
      <c r="B85" s="101">
        <f>IFERROR(E85/F85,0)</f>
        <v>25.493544356518118</v>
      </c>
      <c r="C85" s="101">
        <f>IFERROR((H85+J85-K85)/I85,0)</f>
        <v>15.118246262906457</v>
      </c>
      <c r="D85" s="101">
        <f>IFERROR(E85/G85,0)</f>
        <v>2.872090840840841</v>
      </c>
      <c r="E85" s="96">
        <v>1224.2</v>
      </c>
      <c r="F85" s="97">
        <v>48.02</v>
      </c>
      <c r="G85" s="97">
        <v>426.24</v>
      </c>
      <c r="H85" s="97">
        <v>98795.9</v>
      </c>
      <c r="I85" s="97">
        <v>6489</v>
      </c>
      <c r="J85" s="96">
        <v>613.79999999999995</v>
      </c>
      <c r="K85" s="96">
        <v>1307.4000000000001</v>
      </c>
    </row>
    <row r="86" spans="1:11">
      <c r="A86" s="94" t="s">
        <v>189</v>
      </c>
      <c r="B86" s="101">
        <f>IFERROR(E86/F86,0)</f>
        <v>19.837962962962962</v>
      </c>
      <c r="C86" s="101">
        <f>IFERROR((H86+J86-K86)/I86,0)</f>
        <v>12.288522890872445</v>
      </c>
      <c r="D86" s="101">
        <f>IFERROR(E86/G86,0)</f>
        <v>4.7127232733864233</v>
      </c>
      <c r="E86" s="96">
        <v>2313.9</v>
      </c>
      <c r="F86" s="97">
        <v>116.64</v>
      </c>
      <c r="G86" s="97">
        <v>490.99</v>
      </c>
      <c r="H86" s="97">
        <v>105731.8</v>
      </c>
      <c r="I86" s="97">
        <v>8682.5</v>
      </c>
      <c r="J86" s="96">
        <v>6616.2</v>
      </c>
      <c r="K86" s="96">
        <v>5652.9</v>
      </c>
    </row>
    <row r="87" spans="1:11">
      <c r="A87" s="94" t="s">
        <v>190</v>
      </c>
      <c r="B87" s="101">
        <f>IFERROR(E87/F87,0)</f>
        <v>36.730769230769226</v>
      </c>
      <c r="C87" s="101">
        <f>IFERROR((H87+J87-K87)/I87,0)</f>
        <v>22.541874143817001</v>
      </c>
      <c r="D87" s="101">
        <f>IFERROR(E87/G87,0)</f>
        <v>5.0449312394131667</v>
      </c>
      <c r="E87" s="96">
        <v>1757.2</v>
      </c>
      <c r="F87" s="97">
        <v>47.84</v>
      </c>
      <c r="G87" s="97">
        <v>348.31</v>
      </c>
      <c r="H87" s="97">
        <v>421647.1</v>
      </c>
      <c r="I87" s="97">
        <v>18395.599999999999</v>
      </c>
      <c r="J87" s="96">
        <v>4627.3</v>
      </c>
      <c r="K87" s="96">
        <v>11603.1</v>
      </c>
    </row>
    <row r="88" spans="1:11">
      <c r="A88" s="94" t="s">
        <v>191</v>
      </c>
      <c r="B88" s="101">
        <f>IFERROR(E88/F88,0)</f>
        <v>17.389221556886227</v>
      </c>
      <c r="C88" s="101">
        <f>IFERROR((H88+J88-K88)/I88,0)</f>
        <v>11.66066367501181</v>
      </c>
      <c r="D88" s="101">
        <f>IFERROR(E88/G88,0)</f>
        <v>3.2326530612244899</v>
      </c>
      <c r="E88" s="96">
        <v>871.2</v>
      </c>
      <c r="F88" s="97">
        <v>50.1</v>
      </c>
      <c r="G88" s="97">
        <v>269.5</v>
      </c>
      <c r="H88" s="97">
        <v>87663.1</v>
      </c>
      <c r="I88" s="97">
        <v>8468</v>
      </c>
      <c r="J88" s="96">
        <v>12496</v>
      </c>
      <c r="K88" s="96">
        <v>1416.6</v>
      </c>
    </row>
    <row r="89" spans="1:11">
      <c r="A89" s="68" t="s">
        <v>147</v>
      </c>
      <c r="B89" s="98">
        <f>IFERROR(AVERAGE(B85:B88),0)</f>
        <v>24.862874526784132</v>
      </c>
      <c r="C89" s="98">
        <f>IFERROR(AVERAGE(C85:C88),0)</f>
        <v>15.40232674315193</v>
      </c>
      <c r="D89" s="98">
        <f>IFERROR(AVERAGE(D85:D88),0)</f>
        <v>3.96559960371623</v>
      </c>
    </row>
    <row r="90" spans="1:11">
      <c r="A90" s="68"/>
      <c r="B90" s="8"/>
      <c r="C90" s="8"/>
      <c r="D90" s="8"/>
    </row>
    <row r="91" spans="1:11">
      <c r="A91" s="68" t="s">
        <v>192</v>
      </c>
    </row>
    <row r="92" spans="1:11">
      <c r="A92" s="60" t="s">
        <v>70</v>
      </c>
      <c r="B92" s="78">
        <f>F22</f>
        <v>50.27</v>
      </c>
    </row>
    <row r="93" spans="1:11">
      <c r="A93" s="60" t="s">
        <v>64</v>
      </c>
      <c r="B93" s="75">
        <f>F16</f>
        <v>6454</v>
      </c>
    </row>
    <row r="94" spans="1:11">
      <c r="A94" s="60" t="s">
        <v>149</v>
      </c>
      <c r="B94" s="78">
        <f>IFERROR(F33/F34,0)</f>
        <v>453.79640718562877</v>
      </c>
    </row>
    <row r="96" spans="1:11" ht="26.45" customHeight="1">
      <c r="A96" s="57" t="s">
        <v>150</v>
      </c>
      <c r="B96" s="57" t="s">
        <v>151</v>
      </c>
      <c r="C96" s="57" t="s">
        <v>152</v>
      </c>
      <c r="D96" s="57" t="s">
        <v>153</v>
      </c>
    </row>
    <row r="97" spans="1:6">
      <c r="A97" s="60" t="s">
        <v>154</v>
      </c>
      <c r="B97" s="95">
        <f>B89</f>
        <v>24.862874526784132</v>
      </c>
      <c r="C97" s="99">
        <f>B92</f>
        <v>50.27</v>
      </c>
      <c r="D97" s="99">
        <f>B97*C97</f>
        <v>1249.8567024614383</v>
      </c>
    </row>
    <row r="98" spans="1:6">
      <c r="A98" s="60" t="s">
        <v>155</v>
      </c>
      <c r="B98" s="95">
        <f>C89</f>
        <v>15.40232674315193</v>
      </c>
      <c r="C98" s="90">
        <f>B93</f>
        <v>6454</v>
      </c>
      <c r="D98" s="99">
        <f>IFERROR(((B98*C98)-F28+F32)/F34,0)</f>
        <v>1161.1690634766774</v>
      </c>
    </row>
    <row r="99" spans="1:6">
      <c r="A99" s="60" t="s">
        <v>156</v>
      </c>
      <c r="B99" s="95">
        <f>D89</f>
        <v>3.96559960371623</v>
      </c>
      <c r="C99" s="99">
        <f>B94</f>
        <v>453.79640718562877</v>
      </c>
      <c r="D99" s="99">
        <f>B99*C99</f>
        <v>1799.5748525031784</v>
      </c>
    </row>
    <row r="100" spans="1:6">
      <c r="A100" s="68" t="s">
        <v>157</v>
      </c>
      <c r="D100" s="93">
        <f>AVERAGE(D97:D99)</f>
        <v>1403.5335394804315</v>
      </c>
    </row>
    <row r="102" spans="1:6" ht="18" customHeight="1">
      <c r="A102" s="56" t="s">
        <v>158</v>
      </c>
      <c r="B102" s="55"/>
      <c r="C102" s="55"/>
      <c r="D102" s="55"/>
      <c r="E102" s="55"/>
      <c r="F102" s="55"/>
    </row>
    <row r="103" spans="1:6">
      <c r="A103" s="60" t="s">
        <v>131</v>
      </c>
      <c r="B103" s="78">
        <f>B80</f>
        <v>433.30227117193618</v>
      </c>
    </row>
    <row r="104" spans="1:6" ht="26.45" customHeight="1">
      <c r="A104" s="60" t="s">
        <v>193</v>
      </c>
      <c r="B104" s="78">
        <f>D100</f>
        <v>1403.5335394804315</v>
      </c>
    </row>
    <row r="105" spans="1:6" ht="26.45" customHeight="1">
      <c r="A105" s="68" t="s">
        <v>160</v>
      </c>
      <c r="B105" s="81">
        <f>AVERAGE(B103:B104)</f>
        <v>918.41790532618381</v>
      </c>
    </row>
    <row r="106" spans="1:6">
      <c r="A106" s="60" t="s">
        <v>194</v>
      </c>
      <c r="B106" s="78">
        <f>F35</f>
        <v>1154.4000000000001</v>
      </c>
    </row>
    <row r="107" spans="1:6">
      <c r="A107" s="68" t="s">
        <v>162</v>
      </c>
      <c r="B107" s="84">
        <f>IFERROR(B105/B106-1,"")</f>
        <v>-0.20441969393088721</v>
      </c>
    </row>
    <row r="108" spans="1:6" ht="26.45" customHeight="1">
      <c r="A108" s="68" t="s">
        <v>163</v>
      </c>
      <c r="B108" s="103" t="s">
        <v>179</v>
      </c>
    </row>
    <row r="110" spans="1:6">
      <c r="A110" s="9" t="s">
        <v>165</v>
      </c>
    </row>
    <row r="141" spans="2:2" ht="15" customHeight="1" thickBot="1">
      <c r="B141" s="28"/>
    </row>
    <row r="182" spans="2:2" ht="15" customHeight="1" thickBot="1">
      <c r="B182" s="28"/>
    </row>
    <row r="348" spans="2:2" ht="15" customHeight="1" thickBot="1">
      <c r="B348" s="28"/>
    </row>
    <row r="383" spans="2:2" ht="15" customHeight="1" thickBot="1">
      <c r="B383" s="28"/>
    </row>
    <row r="396" spans="2:2" ht="15" customHeight="1" thickBot="1">
      <c r="B396" s="28"/>
    </row>
    <row r="441" spans="2:2" ht="15" customHeight="1" thickBot="1">
      <c r="B441" s="28"/>
    </row>
  </sheetData>
  <mergeCells count="15">
    <mergeCell ref="A102:F102"/>
    <mergeCell ref="A1:F1"/>
    <mergeCell ref="A37:F37"/>
    <mergeCell ref="B5:F5"/>
    <mergeCell ref="A83:F83"/>
    <mergeCell ref="A12:F12"/>
    <mergeCell ref="B8:F8"/>
    <mergeCell ref="A3:F3"/>
    <mergeCell ref="B9:F9"/>
    <mergeCell ref="B4:F4"/>
    <mergeCell ref="A11:F11"/>
    <mergeCell ref="A52:F52"/>
    <mergeCell ref="B7:F7"/>
    <mergeCell ref="A82:F82"/>
    <mergeCell ref="B6:F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7"/>
  <sheetViews>
    <sheetView showGridLines="0" topLeftCell="A7" workbookViewId="0">
      <selection activeCell="F29" sqref="F29"/>
    </sheetView>
  </sheetViews>
  <sheetFormatPr defaultRowHeight="14.45"/>
  <cols>
    <col min="1" max="1" width="34" customWidth="1"/>
    <col min="2" max="2" width="13" customWidth="1"/>
    <col min="3" max="3" width="13.85546875" customWidth="1"/>
    <col min="4" max="6" width="13" customWidth="1"/>
    <col min="7" max="7" width="11.85546875" customWidth="1"/>
    <col min="8" max="8" width="16" bestFit="1" customWidth="1"/>
    <col min="9" max="9" width="12.7109375" bestFit="1" customWidth="1"/>
    <col min="10" max="10" width="15.140625" bestFit="1" customWidth="1"/>
    <col min="11" max="11" width="10.42578125" bestFit="1" customWidth="1"/>
  </cols>
  <sheetData>
    <row r="1" spans="1:7" ht="22.15" customHeight="1">
      <c r="A1" s="48" t="s">
        <v>195</v>
      </c>
      <c r="B1" s="55"/>
      <c r="C1" s="55"/>
      <c r="D1" s="55"/>
      <c r="E1" s="55"/>
      <c r="F1" s="55"/>
    </row>
    <row r="3" spans="1:7" ht="18" customHeight="1">
      <c r="A3" s="56" t="s">
        <v>42</v>
      </c>
      <c r="B3" s="55"/>
      <c r="C3" s="55"/>
      <c r="D3" s="55"/>
      <c r="E3" s="55"/>
      <c r="F3" s="55"/>
    </row>
    <row r="4" spans="1:7" ht="30" customHeight="1">
      <c r="A4" s="68" t="s">
        <v>43</v>
      </c>
      <c r="B4" s="72" t="s">
        <v>196</v>
      </c>
      <c r="C4" s="73"/>
      <c r="D4" s="73"/>
      <c r="E4" s="73"/>
      <c r="F4" s="74"/>
    </row>
    <row r="5" spans="1:7" ht="77.45" customHeight="1">
      <c r="A5" s="68" t="s">
        <v>45</v>
      </c>
      <c r="B5" s="72" t="s">
        <v>197</v>
      </c>
      <c r="C5" s="73"/>
      <c r="D5" s="73"/>
      <c r="E5" s="73"/>
      <c r="F5" s="74"/>
    </row>
    <row r="6" spans="1:7" ht="27" customHeight="1">
      <c r="A6" s="68" t="s">
        <v>47</v>
      </c>
      <c r="B6" s="72" t="s">
        <v>198</v>
      </c>
      <c r="C6" s="73"/>
      <c r="D6" s="73"/>
      <c r="E6" s="73"/>
      <c r="F6" s="74"/>
    </row>
    <row r="7" spans="1:7" ht="22.15" customHeight="1">
      <c r="A7" s="68" t="s">
        <v>49</v>
      </c>
      <c r="B7" s="72" t="s">
        <v>199</v>
      </c>
      <c r="C7" s="73"/>
      <c r="D7" s="73"/>
      <c r="E7" s="73"/>
      <c r="F7" s="74"/>
    </row>
    <row r="8" spans="1:7" ht="43.15" customHeight="1">
      <c r="A8" s="68" t="s">
        <v>51</v>
      </c>
      <c r="B8" s="72" t="s">
        <v>200</v>
      </c>
      <c r="C8" s="73"/>
      <c r="D8" s="73"/>
      <c r="E8" s="73"/>
      <c r="F8" s="74"/>
    </row>
    <row r="9" spans="1:7" ht="22.15" customHeight="1">
      <c r="A9" s="68" t="s">
        <v>53</v>
      </c>
      <c r="B9" s="72" t="s">
        <v>201</v>
      </c>
      <c r="C9" s="73"/>
      <c r="D9" s="73"/>
      <c r="E9" s="73"/>
      <c r="F9" s="74"/>
      <c r="G9" s="2"/>
    </row>
    <row r="11" spans="1:7" ht="18" customHeight="1">
      <c r="A11" s="56" t="s">
        <v>55</v>
      </c>
      <c r="B11" s="55"/>
      <c r="C11" s="55"/>
      <c r="D11" s="55"/>
      <c r="E11" s="55"/>
      <c r="F11" s="55"/>
    </row>
    <row r="12" spans="1:7">
      <c r="A12" s="47"/>
      <c r="B12" s="55"/>
      <c r="C12" s="55"/>
      <c r="D12" s="55"/>
      <c r="E12" s="55"/>
      <c r="F12" s="55"/>
    </row>
    <row r="13" spans="1:7">
      <c r="A13" s="57" t="s">
        <v>56</v>
      </c>
      <c r="B13" s="57" t="s">
        <v>57</v>
      </c>
      <c r="C13" s="57" t="s">
        <v>58</v>
      </c>
      <c r="D13" s="57" t="s">
        <v>59</v>
      </c>
      <c r="E13" s="57" t="s">
        <v>60</v>
      </c>
      <c r="F13" s="57" t="s">
        <v>61</v>
      </c>
    </row>
    <row r="14" spans="1:7">
      <c r="A14" s="68" t="s">
        <v>62</v>
      </c>
      <c r="B14" s="75">
        <v>14136</v>
      </c>
      <c r="C14" s="75">
        <v>16301</v>
      </c>
      <c r="D14" s="75">
        <v>16769</v>
      </c>
      <c r="E14" s="75">
        <v>17943</v>
      </c>
      <c r="F14" s="75">
        <v>19152</v>
      </c>
      <c r="G14" s="2"/>
    </row>
    <row r="15" spans="1:7">
      <c r="A15" s="60" t="s">
        <v>63</v>
      </c>
      <c r="B15" s="76"/>
      <c r="C15" s="77">
        <f>IFERROR(C14/B14-1,"")</f>
        <v>0.15315506508205989</v>
      </c>
      <c r="D15" s="77">
        <f>IFERROR(D14/C14-1,"")</f>
        <v>2.8709895098460114E-2</v>
      </c>
      <c r="E15" s="77">
        <f>IFERROR(E14/D14-1,"")</f>
        <v>7.0010137754189294E-2</v>
      </c>
      <c r="F15" s="77">
        <f>IFERROR(F14/E14-1,"")</f>
        <v>6.7380036783146524E-2</v>
      </c>
    </row>
    <row r="16" spans="1:7">
      <c r="A16" s="68" t="s">
        <v>64</v>
      </c>
      <c r="B16" s="75">
        <v>2201</v>
      </c>
      <c r="C16" s="75">
        <v>2831</v>
      </c>
      <c r="D16" s="75">
        <v>3167</v>
      </c>
      <c r="E16" s="75">
        <v>3176</v>
      </c>
      <c r="F16" s="75">
        <v>3514</v>
      </c>
      <c r="G16" s="2"/>
    </row>
    <row r="17" spans="1:7">
      <c r="A17" s="60" t="s">
        <v>65</v>
      </c>
      <c r="B17" s="77">
        <f>IFERROR(B16/B14,"")</f>
        <v>0.15570175438596492</v>
      </c>
      <c r="C17" s="77">
        <f>IFERROR(C16/C14,"")</f>
        <v>0.1736703269738053</v>
      </c>
      <c r="D17" s="77">
        <f>IFERROR(D16/D14,"")</f>
        <v>0.18886039716142883</v>
      </c>
      <c r="E17" s="77">
        <f>IFERROR(E16/E14,"")</f>
        <v>0.17700496015159115</v>
      </c>
      <c r="F17" s="77">
        <f>IFERROR(F16/F14,"")</f>
        <v>0.18347953216374269</v>
      </c>
    </row>
    <row r="18" spans="1:7">
      <c r="A18" s="68" t="s">
        <v>66</v>
      </c>
      <c r="B18" s="75">
        <v>2000</v>
      </c>
      <c r="C18" s="75">
        <v>2605</v>
      </c>
      <c r="D18" s="75">
        <v>2867</v>
      </c>
      <c r="E18" s="75">
        <v>2863</v>
      </c>
      <c r="F18" s="75">
        <v>3177</v>
      </c>
      <c r="G18" s="2"/>
    </row>
    <row r="19" spans="1:7">
      <c r="A19" s="60" t="s">
        <v>67</v>
      </c>
      <c r="B19" s="77">
        <f>IFERROR(B18/B14,"")</f>
        <v>0.14148273910582909</v>
      </c>
      <c r="C19" s="77">
        <f>IFERROR(C18/C14,"")</f>
        <v>0.15980614686215569</v>
      </c>
      <c r="D19" s="77">
        <f>IFERROR(D18/D14,"")</f>
        <v>0.17097024270976205</v>
      </c>
      <c r="E19" s="77">
        <f>IFERROR(E18/E14,"")</f>
        <v>0.15956083152204203</v>
      </c>
      <c r="F19" s="77">
        <f>IFERROR(F18/F14,"")</f>
        <v>0.16588345864661655</v>
      </c>
    </row>
    <row r="20" spans="1:7">
      <c r="A20" s="68" t="s">
        <v>68</v>
      </c>
      <c r="B20" s="75">
        <v>1516</v>
      </c>
      <c r="C20" s="75">
        <v>2316</v>
      </c>
      <c r="D20" s="75">
        <v>2134</v>
      </c>
      <c r="E20" s="75">
        <v>2178</v>
      </c>
      <c r="F20" s="75">
        <v>2537</v>
      </c>
      <c r="G20" s="2"/>
    </row>
    <row r="21" spans="1:7">
      <c r="A21" s="60" t="s">
        <v>69</v>
      </c>
      <c r="B21" s="77">
        <f>IFERROR(B20/B14,"")</f>
        <v>0.10724391624221845</v>
      </c>
      <c r="C21" s="77">
        <f>IFERROR(C20/C14,"")</f>
        <v>0.14207717317955953</v>
      </c>
      <c r="D21" s="77">
        <f>IFERROR(D20/D14,"")</f>
        <v>0.12725863199952292</v>
      </c>
      <c r="E21" s="77">
        <f>IFERROR(E20/E14,"")</f>
        <v>0.12138438388229393</v>
      </c>
      <c r="F21" s="77">
        <f>IFERROR(F20/F14,"")</f>
        <v>0.13246658312447787</v>
      </c>
    </row>
    <row r="22" spans="1:7">
      <c r="A22" s="60" t="s">
        <v>70</v>
      </c>
      <c r="B22" s="78">
        <v>63.31</v>
      </c>
      <c r="C22" s="78">
        <v>96.39</v>
      </c>
      <c r="D22" s="78">
        <v>88.84</v>
      </c>
      <c r="E22" s="78">
        <v>90.45</v>
      </c>
      <c r="F22" s="78">
        <v>105.18</v>
      </c>
      <c r="G22" s="2"/>
    </row>
    <row r="23" spans="1:7">
      <c r="A23" s="60" t="s">
        <v>71</v>
      </c>
      <c r="B23" s="75">
        <v>580</v>
      </c>
      <c r="C23" s="75">
        <v>697</v>
      </c>
      <c r="D23" s="75">
        <v>499</v>
      </c>
      <c r="E23" s="75">
        <v>347</v>
      </c>
      <c r="F23" s="75">
        <v>233</v>
      </c>
      <c r="G23" s="2"/>
    </row>
    <row r="24" spans="1:7">
      <c r="A24" s="60" t="s">
        <v>72</v>
      </c>
      <c r="B24" s="77">
        <f>B23/B14</f>
        <v>4.1029994340690434E-2</v>
      </c>
      <c r="C24" s="77">
        <f>C23/C14</f>
        <v>4.2758112999202506E-2</v>
      </c>
      <c r="D24" s="77">
        <f>D23/D14</f>
        <v>2.9757290237939053E-2</v>
      </c>
      <c r="E24" s="77">
        <f>E23/E14</f>
        <v>1.9339018001449031E-2</v>
      </c>
      <c r="F24" s="77">
        <f>F23/F14</f>
        <v>1.2165831244778613E-2</v>
      </c>
      <c r="G24" s="2"/>
    </row>
    <row r="25" spans="1:7">
      <c r="A25" s="60" t="s">
        <v>73</v>
      </c>
      <c r="B25" s="75">
        <v>201</v>
      </c>
      <c r="C25" s="75">
        <v>226</v>
      </c>
      <c r="D25" s="75">
        <v>300</v>
      </c>
      <c r="E25" s="75">
        <v>313</v>
      </c>
      <c r="F25" s="75">
        <v>337</v>
      </c>
      <c r="G25" s="2"/>
    </row>
    <row r="26" spans="1:7">
      <c r="A26" s="60" t="s">
        <v>74</v>
      </c>
      <c r="B26" s="77">
        <f>B25/B14</f>
        <v>1.4219015280135824E-2</v>
      </c>
      <c r="C26" s="77">
        <f>C25/C14</f>
        <v>1.3864180111649593E-2</v>
      </c>
      <c r="D26" s="77">
        <f>D25/D14</f>
        <v>1.7890154451666765E-2</v>
      </c>
      <c r="E26" s="77">
        <f>E25/E14</f>
        <v>1.7444128629549128E-2</v>
      </c>
      <c r="F26" s="77">
        <f>F25/F14</f>
        <v>1.7596073517126148E-2</v>
      </c>
      <c r="G26" s="2"/>
    </row>
    <row r="27" spans="1:7">
      <c r="A27" s="60" t="s">
        <v>75</v>
      </c>
      <c r="B27" s="75">
        <v>144</v>
      </c>
      <c r="C27" s="75">
        <v>169</v>
      </c>
      <c r="D27" s="75">
        <v>164</v>
      </c>
      <c r="E27" s="75">
        <v>139</v>
      </c>
      <c r="F27" s="75">
        <v>113</v>
      </c>
      <c r="G27" s="2"/>
    </row>
    <row r="28" spans="1:7">
      <c r="A28" s="60" t="s">
        <v>76</v>
      </c>
      <c r="B28" s="75">
        <v>2481</v>
      </c>
      <c r="C28" s="75">
        <v>2997</v>
      </c>
      <c r="D28" s="75">
        <v>2065</v>
      </c>
      <c r="E28" s="75">
        <v>1247</v>
      </c>
      <c r="F28" s="75">
        <v>1380</v>
      </c>
      <c r="G28" s="2"/>
    </row>
    <row r="29" spans="1:7">
      <c r="A29" s="60" t="s">
        <v>77</v>
      </c>
      <c r="B29" s="75">
        <v>988</v>
      </c>
      <c r="C29" s="75">
        <v>447</v>
      </c>
      <c r="D29" s="75">
        <v>281</v>
      </c>
      <c r="E29" s="75">
        <v>-257</v>
      </c>
      <c r="F29" s="75">
        <v>-11</v>
      </c>
      <c r="G29" s="2"/>
    </row>
    <row r="30" spans="1:7">
      <c r="A30" s="60" t="s">
        <v>78</v>
      </c>
      <c r="B30" s="75"/>
      <c r="C30" s="75">
        <f>C29-B29</f>
        <v>-541</v>
      </c>
      <c r="D30" s="75">
        <f>D29-C29</f>
        <v>-166</v>
      </c>
      <c r="E30" s="75">
        <f>E29-D29</f>
        <v>-538</v>
      </c>
      <c r="F30" s="75">
        <f>F29-E29</f>
        <v>246</v>
      </c>
      <c r="G30" s="2"/>
    </row>
    <row r="31" spans="1:7">
      <c r="A31" s="60" t="s">
        <v>79</v>
      </c>
      <c r="B31" s="77"/>
      <c r="C31" s="77">
        <f>C30/C14</f>
        <v>-3.3188147966382434E-2</v>
      </c>
      <c r="D31" s="77">
        <f>D30/D14</f>
        <v>-9.8992187965889437E-3</v>
      </c>
      <c r="E31" s="77">
        <f>E30/E14</f>
        <v>-2.9983837708298502E-2</v>
      </c>
      <c r="F31" s="77">
        <f>F30/F14</f>
        <v>1.2844611528822054E-2</v>
      </c>
      <c r="G31" s="2"/>
    </row>
    <row r="32" spans="1:7">
      <c r="A32" s="60" t="s">
        <v>80</v>
      </c>
      <c r="B32" s="75">
        <v>1762</v>
      </c>
      <c r="C32" s="75">
        <v>3324</v>
      </c>
      <c r="D32" s="75">
        <v>2767</v>
      </c>
      <c r="E32" s="75">
        <v>2865</v>
      </c>
      <c r="F32" s="75">
        <v>3610</v>
      </c>
      <c r="G32" s="2"/>
    </row>
    <row r="33" spans="1:7">
      <c r="A33" s="60" t="s">
        <v>81</v>
      </c>
      <c r="B33" s="75">
        <v>2558</v>
      </c>
      <c r="C33" s="75">
        <v>3534</v>
      </c>
      <c r="D33" s="75">
        <v>3941</v>
      </c>
      <c r="E33" s="75">
        <v>4356</v>
      </c>
      <c r="F33" s="75">
        <v>5106</v>
      </c>
      <c r="G33" s="2"/>
    </row>
    <row r="34" spans="1:7">
      <c r="A34" s="60" t="s">
        <v>82</v>
      </c>
      <c r="B34" s="79">
        <v>24.1</v>
      </c>
      <c r="C34" s="79">
        <v>24.1</v>
      </c>
      <c r="D34" s="79">
        <v>24.1</v>
      </c>
      <c r="E34" s="79">
        <v>24.1</v>
      </c>
      <c r="F34" s="79">
        <v>24.1</v>
      </c>
      <c r="G34" s="2"/>
    </row>
    <row r="35" spans="1:7">
      <c r="A35" s="60" t="s">
        <v>83</v>
      </c>
      <c r="B35" s="80"/>
      <c r="C35" s="80"/>
      <c r="D35" s="80"/>
      <c r="E35" s="80"/>
      <c r="F35" s="81">
        <v>5250</v>
      </c>
      <c r="G35" s="2"/>
    </row>
    <row r="36" spans="1:7">
      <c r="A36" s="3"/>
      <c r="B36" s="4"/>
      <c r="C36" s="4"/>
      <c r="D36" s="4"/>
      <c r="E36" s="4"/>
      <c r="F36" s="4"/>
      <c r="G36" s="2"/>
    </row>
    <row r="37" spans="1:7" ht="18" customHeight="1">
      <c r="A37" s="56" t="s">
        <v>84</v>
      </c>
      <c r="B37" s="55"/>
      <c r="C37" s="55"/>
      <c r="D37" s="55"/>
      <c r="E37" s="55"/>
      <c r="F37" s="55"/>
    </row>
    <row r="38" spans="1:7">
      <c r="A38" s="60" t="s">
        <v>85</v>
      </c>
      <c r="B38" s="82">
        <f>'Economic &amp; Industry Inputs'!$B$5</f>
        <v>6.9000000000000006E-2</v>
      </c>
    </row>
    <row r="39" spans="1:7">
      <c r="A39" s="60" t="s">
        <v>86</v>
      </c>
      <c r="B39" s="83">
        <f>'Portfolio Construction'!B2514</f>
        <v>0.50853000879572485</v>
      </c>
      <c r="G39" s="2"/>
    </row>
    <row r="40" spans="1:7">
      <c r="A40" s="60" t="s">
        <v>9</v>
      </c>
      <c r="B40" s="82">
        <f>'Economic &amp; Industry Inputs'!$B$7</f>
        <v>6.0999999999999999E-2</v>
      </c>
    </row>
    <row r="41" spans="1:7">
      <c r="A41" s="68" t="s">
        <v>87</v>
      </c>
      <c r="B41" s="84">
        <f>B38+B39*B40</f>
        <v>0.10002033053653922</v>
      </c>
    </row>
    <row r="42" spans="1:7">
      <c r="A42" s="60" t="s">
        <v>88</v>
      </c>
      <c r="B42" s="62">
        <f>AVERAGE((B27/B28),(C27/C28),(D27/D28),(E27/E28),(F27/F28))</f>
        <v>7.7440260346706771E-2</v>
      </c>
      <c r="G42" s="2"/>
    </row>
    <row r="43" spans="1:7">
      <c r="A43" s="60" t="s">
        <v>89</v>
      </c>
      <c r="B43" s="82">
        <f>'Economic &amp; Industry Inputs'!$B$8</f>
        <v>0.25169999999999998</v>
      </c>
    </row>
    <row r="44" spans="1:7">
      <c r="A44" s="60" t="s">
        <v>90</v>
      </c>
      <c r="B44" s="62">
        <f>B42*(1-B43)</f>
        <v>5.7948546817440674E-2</v>
      </c>
    </row>
    <row r="45" spans="1:7">
      <c r="A45" s="60" t="s">
        <v>91</v>
      </c>
      <c r="B45" s="85">
        <f>F35*F34</f>
        <v>126525.00000000001</v>
      </c>
    </row>
    <row r="46" spans="1:7">
      <c r="A46" s="60" t="s">
        <v>92</v>
      </c>
      <c r="B46" s="85">
        <f>F28</f>
        <v>1380</v>
      </c>
    </row>
    <row r="47" spans="1:7">
      <c r="A47" s="60" t="s">
        <v>93</v>
      </c>
      <c r="B47" s="62">
        <f>IFERROR(B45/(B45+B46),0)</f>
        <v>0.98921074234783624</v>
      </c>
    </row>
    <row r="48" spans="1:7">
      <c r="A48" s="60" t="s">
        <v>94</v>
      </c>
      <c r="B48" s="62">
        <f>IFERROR(B46/(B45+B46),0)</f>
        <v>1.0789257652163714E-2</v>
      </c>
    </row>
    <row r="49" spans="1:7">
      <c r="A49" s="68" t="s">
        <v>95</v>
      </c>
      <c r="B49" s="84">
        <f>B47*B41+B48*B44</f>
        <v>9.9566407222107758E-2</v>
      </c>
    </row>
    <row r="50" spans="1:7">
      <c r="A50" s="60" t="s">
        <v>96</v>
      </c>
      <c r="B50" s="82">
        <f>'Economic &amp; Industry Inputs'!$B$10</f>
        <v>0.06</v>
      </c>
      <c r="G50" s="2"/>
    </row>
    <row r="52" spans="1:7" ht="18" customHeight="1">
      <c r="A52" s="56" t="s">
        <v>97</v>
      </c>
      <c r="B52" s="55"/>
      <c r="C52" s="55"/>
      <c r="D52" s="55"/>
      <c r="E52" s="55"/>
      <c r="F52" s="55"/>
    </row>
    <row r="53" spans="1:7">
      <c r="A53" s="57" t="s">
        <v>56</v>
      </c>
      <c r="B53" s="57" t="s">
        <v>98</v>
      </c>
      <c r="C53" s="57" t="s">
        <v>99</v>
      </c>
      <c r="D53" s="57" t="s">
        <v>100</v>
      </c>
      <c r="E53" s="57" t="s">
        <v>101</v>
      </c>
      <c r="F53" s="57" t="s">
        <v>102</v>
      </c>
      <c r="G53" s="5" t="s">
        <v>103</v>
      </c>
    </row>
    <row r="54" spans="1:7">
      <c r="A54" s="60" t="s">
        <v>104</v>
      </c>
      <c r="B54" s="77">
        <v>0.08</v>
      </c>
      <c r="C54" s="77">
        <v>0.08</v>
      </c>
      <c r="D54" s="77">
        <v>0.08</v>
      </c>
      <c r="E54" s="77">
        <v>0.08</v>
      </c>
      <c r="F54" s="77">
        <v>0.08</v>
      </c>
      <c r="G54" s="6" t="s">
        <v>202</v>
      </c>
    </row>
    <row r="55" spans="1:7">
      <c r="A55" s="68" t="s">
        <v>106</v>
      </c>
      <c r="B55" s="75">
        <f>F14*(1+B54)</f>
        <v>20684.16</v>
      </c>
      <c r="C55" s="75">
        <f>B55*(1+C54)</f>
        <v>22338.892800000001</v>
      </c>
      <c r="D55" s="75">
        <f>C55*(1+D54)</f>
        <v>24126.004224000004</v>
      </c>
      <c r="E55" s="75">
        <f>D55*(1+E54)</f>
        <v>26056.084561920004</v>
      </c>
      <c r="F55" s="75">
        <f>E55*(1+F54)</f>
        <v>28140.571326873607</v>
      </c>
    </row>
    <row r="56" spans="1:7">
      <c r="A56" s="60" t="s">
        <v>107</v>
      </c>
      <c r="B56" s="77">
        <f>AVERAGE(B17:F17)</f>
        <v>0.17574339416730661</v>
      </c>
      <c r="C56" s="77">
        <f>$B$56</f>
        <v>0.17574339416730661</v>
      </c>
      <c r="D56" s="77">
        <f>$B$56</f>
        <v>0.17574339416730661</v>
      </c>
      <c r="E56" s="77">
        <f>$B$56</f>
        <v>0.17574339416730661</v>
      </c>
      <c r="F56" s="77">
        <f>$B$56</f>
        <v>0.17574339416730661</v>
      </c>
      <c r="G56" s="6" t="s">
        <v>108</v>
      </c>
    </row>
    <row r="57" spans="1:7">
      <c r="A57" s="60" t="s">
        <v>109</v>
      </c>
      <c r="B57" s="75">
        <f>B55*B56</f>
        <v>3635.1044838996368</v>
      </c>
      <c r="C57" s="75">
        <f>C55*C56</f>
        <v>3925.9128426116081</v>
      </c>
      <c r="D57" s="75">
        <f>D55*D56</f>
        <v>4239.9858700205368</v>
      </c>
      <c r="E57" s="75">
        <f>E55*E56</f>
        <v>4579.1847396221801</v>
      </c>
      <c r="F57" s="75">
        <f>F55*F56</f>
        <v>4945.5195187919544</v>
      </c>
    </row>
    <row r="58" spans="1:7">
      <c r="A58" s="60" t="s">
        <v>110</v>
      </c>
      <c r="B58" s="75">
        <f>B57*$B$43</f>
        <v>914.95579859753855</v>
      </c>
      <c r="C58" s="75">
        <f>C57*$B$43</f>
        <v>988.15226248534168</v>
      </c>
      <c r="D58" s="75">
        <f>D57*$B$43</f>
        <v>1067.2044434841691</v>
      </c>
      <c r="E58" s="75">
        <f>E57*$B$43</f>
        <v>1152.5807989629027</v>
      </c>
      <c r="F58" s="75">
        <f>F57*$B$43</f>
        <v>1244.7872628799348</v>
      </c>
    </row>
    <row r="59" spans="1:7">
      <c r="A59" s="68" t="s">
        <v>111</v>
      </c>
      <c r="B59" s="75">
        <f>B57-B58</f>
        <v>2720.1486853020983</v>
      </c>
      <c r="C59" s="75">
        <f>C57-C58</f>
        <v>2937.7605801262662</v>
      </c>
      <c r="D59" s="75">
        <f>D57-D58</f>
        <v>3172.7814265363677</v>
      </c>
      <c r="E59" s="75">
        <f>E57-E58</f>
        <v>3426.6039406592772</v>
      </c>
      <c r="F59" s="75">
        <f>F57-F58</f>
        <v>3700.7322559120194</v>
      </c>
    </row>
    <row r="60" spans="1:7">
      <c r="A60" s="60" t="s">
        <v>112</v>
      </c>
      <c r="B60" s="77">
        <f>AVERAGE(B26:F26)</f>
        <v>1.620271039802549E-2</v>
      </c>
      <c r="C60" s="77">
        <f>$B$60</f>
        <v>1.620271039802549E-2</v>
      </c>
      <c r="D60" s="77">
        <f>$B$60</f>
        <v>1.620271039802549E-2</v>
      </c>
      <c r="E60" s="77">
        <f>$B$60</f>
        <v>1.620271039802549E-2</v>
      </c>
      <c r="F60" s="77">
        <f>$B$60</f>
        <v>1.620271039802549E-2</v>
      </c>
      <c r="G60" s="6" t="s">
        <v>108</v>
      </c>
    </row>
    <row r="61" spans="1:7">
      <c r="A61" s="60" t="s">
        <v>113</v>
      </c>
      <c r="B61" s="75">
        <f>B55*B60</f>
        <v>335.13945430642292</v>
      </c>
      <c r="C61" s="75">
        <f>C55*C60</f>
        <v>361.95061065093677</v>
      </c>
      <c r="D61" s="75">
        <f>D55*D60</f>
        <v>390.90665950301172</v>
      </c>
      <c r="E61" s="75">
        <f>E55*E60</f>
        <v>422.17919226325267</v>
      </c>
      <c r="F61" s="75">
        <f>F55*F60</f>
        <v>455.95352764431294</v>
      </c>
    </row>
    <row r="62" spans="1:7">
      <c r="A62" s="60" t="s">
        <v>114</v>
      </c>
      <c r="B62" s="77">
        <f>AVERAGE(B24:F24)</f>
        <v>2.9010049364811923E-2</v>
      </c>
      <c r="C62" s="77">
        <f>$B$62</f>
        <v>2.9010049364811923E-2</v>
      </c>
      <c r="D62" s="77">
        <f>$B$62</f>
        <v>2.9010049364811923E-2</v>
      </c>
      <c r="E62" s="77">
        <f>$B$62</f>
        <v>2.9010049364811923E-2</v>
      </c>
      <c r="F62" s="77">
        <f>$B$62</f>
        <v>2.9010049364811923E-2</v>
      </c>
      <c r="G62" s="6" t="s">
        <v>108</v>
      </c>
    </row>
    <row r="63" spans="1:7">
      <c r="A63" s="60" t="s">
        <v>115</v>
      </c>
      <c r="B63" s="75">
        <f>B55*B62</f>
        <v>600.04850266966821</v>
      </c>
      <c r="C63" s="75">
        <f>C55*C62</f>
        <v>648.05238288324165</v>
      </c>
      <c r="D63" s="75">
        <f>D55*D62</f>
        <v>699.8965735139011</v>
      </c>
      <c r="E63" s="75">
        <f>E55*E62</f>
        <v>755.88829939501318</v>
      </c>
      <c r="F63" s="75">
        <f>F55*F62</f>
        <v>816.35936334661426</v>
      </c>
    </row>
    <row r="64" spans="1:7" ht="26.45" customHeight="1">
      <c r="A64" s="60" t="s">
        <v>116</v>
      </c>
      <c r="B64" s="77">
        <f>AVERAGE(C31:F31)</f>
        <v>-1.5056648235611958E-2</v>
      </c>
      <c r="C64" s="77">
        <f>$B$64</f>
        <v>-1.5056648235611958E-2</v>
      </c>
      <c r="D64" s="77">
        <f>$B$64</f>
        <v>-1.5056648235611958E-2</v>
      </c>
      <c r="E64" s="77">
        <f>$B$64</f>
        <v>-1.5056648235611958E-2</v>
      </c>
      <c r="F64" s="77">
        <f>$B$64</f>
        <v>-1.5056648235611958E-2</v>
      </c>
      <c r="G64" s="6" t="s">
        <v>108</v>
      </c>
    </row>
    <row r="65" spans="1:6">
      <c r="A65" s="60" t="s">
        <v>118</v>
      </c>
      <c r="B65" s="75">
        <f>B55*B64</f>
        <v>-311.43412116911543</v>
      </c>
      <c r="C65" s="75">
        <f>C55*C64</f>
        <v>-336.34885086264467</v>
      </c>
      <c r="D65" s="75">
        <f>D55*D64</f>
        <v>-363.25675893165629</v>
      </c>
      <c r="E65" s="75">
        <f>E55*E64</f>
        <v>-392.31729964618881</v>
      </c>
      <c r="F65" s="75">
        <f>F55*F64</f>
        <v>-423.70268361788396</v>
      </c>
    </row>
    <row r="66" spans="1:6">
      <c r="A66" s="68" t="s">
        <v>119</v>
      </c>
      <c r="B66" s="86">
        <f>B59+B61-B63-B65</f>
        <v>2766.6737581079683</v>
      </c>
      <c r="C66" s="86">
        <f>C59+C61-C63-C65</f>
        <v>2988.0076587566059</v>
      </c>
      <c r="D66" s="86">
        <f>D59+D61-D63-D65</f>
        <v>3227.0482714571349</v>
      </c>
      <c r="E66" s="86">
        <f>E59+E61-E63-E65</f>
        <v>3485.2121331737058</v>
      </c>
      <c r="F66" s="86">
        <f>F59+F61-F63-F65</f>
        <v>3764.0291038276018</v>
      </c>
    </row>
    <row r="67" spans="1:6">
      <c r="A67" s="60" t="s">
        <v>120</v>
      </c>
      <c r="B67" s="87">
        <v>1</v>
      </c>
      <c r="C67" s="87">
        <v>2</v>
      </c>
      <c r="D67" s="87">
        <v>3</v>
      </c>
      <c r="E67" s="87">
        <v>4</v>
      </c>
      <c r="F67" s="87">
        <v>5</v>
      </c>
    </row>
    <row r="68" spans="1:6">
      <c r="A68" s="60" t="s">
        <v>121</v>
      </c>
      <c r="B68" s="88">
        <f>1/(1+$B$49)^B67</f>
        <v>0.90944939153457072</v>
      </c>
      <c r="C68" s="88">
        <f>1/(1+$B$49)^C67</f>
        <v>0.82709819576260091</v>
      </c>
      <c r="D68" s="88">
        <f>1/(1+$B$49)^D67</f>
        <v>0.75220395087563874</v>
      </c>
      <c r="E68" s="88">
        <f>1/(1+$B$49)^E67</f>
        <v>0.68409142543374968</v>
      </c>
      <c r="F68" s="88">
        <f>1/(1+$B$49)^F67</f>
        <v>0.6221465306147409</v>
      </c>
    </row>
    <row r="69" spans="1:6">
      <c r="A69" s="60" t="s">
        <v>122</v>
      </c>
      <c r="B69" s="75">
        <f>B66*B68</f>
        <v>2516.1497658859557</v>
      </c>
      <c r="C69" s="75">
        <f>C66*C68</f>
        <v>2471.375743482422</v>
      </c>
      <c r="D69" s="75">
        <f>D66*D68</f>
        <v>2427.3984594564577</v>
      </c>
      <c r="E69" s="75">
        <f>E66*E68</f>
        <v>2384.2037361217999</v>
      </c>
      <c r="F69" s="75">
        <f>F66*F68</f>
        <v>2341.777648079255</v>
      </c>
    </row>
    <row r="71" spans="1:6">
      <c r="A71" s="68" t="s">
        <v>123</v>
      </c>
      <c r="F71" s="89">
        <f>F66*(1+$B$50)/($B$49-$B$50)</f>
        <v>100839.85709543813</v>
      </c>
    </row>
    <row r="72" spans="1:6">
      <c r="A72" s="60" t="s">
        <v>124</v>
      </c>
      <c r="F72" s="89">
        <f>F71*F68</f>
        <v>62737.167239613096</v>
      </c>
    </row>
    <row r="73" spans="1:6">
      <c r="A73" s="60" t="s">
        <v>125</v>
      </c>
      <c r="B73" s="90">
        <f>SUM(B69:F69)</f>
        <v>12140.905353025888</v>
      </c>
    </row>
    <row r="74" spans="1:6">
      <c r="A74" s="60" t="s">
        <v>126</v>
      </c>
      <c r="B74" s="90">
        <f>F72</f>
        <v>62737.167239613096</v>
      </c>
    </row>
    <row r="75" spans="1:6">
      <c r="A75" s="68" t="s">
        <v>127</v>
      </c>
      <c r="B75" s="91">
        <f>B73+B74</f>
        <v>74878.072592638986</v>
      </c>
    </row>
    <row r="76" spans="1:6">
      <c r="A76" s="60" t="s">
        <v>128</v>
      </c>
      <c r="B76" s="90">
        <f>-F28</f>
        <v>-1380</v>
      </c>
    </row>
    <row r="77" spans="1:6">
      <c r="A77" s="60" t="s">
        <v>129</v>
      </c>
      <c r="B77" s="90">
        <f>F32</f>
        <v>3610</v>
      </c>
    </row>
    <row r="78" spans="1:6">
      <c r="A78" s="68" t="s">
        <v>130</v>
      </c>
      <c r="B78" s="90">
        <f>B75+B76+B77</f>
        <v>77108.072592638986</v>
      </c>
    </row>
    <row r="79" spans="1:6">
      <c r="A79" s="60" t="s">
        <v>82</v>
      </c>
      <c r="B79" s="92">
        <f>F34</f>
        <v>24.1</v>
      </c>
    </row>
    <row r="80" spans="1:6">
      <c r="A80" s="68" t="s">
        <v>131</v>
      </c>
      <c r="B80" s="93">
        <f>IFERROR(B78/B79,0)</f>
        <v>3199.5050868314929</v>
      </c>
    </row>
    <row r="82" spans="1:11" ht="18" customHeight="1">
      <c r="A82" s="56" t="s">
        <v>132</v>
      </c>
      <c r="B82" s="55"/>
      <c r="C82" s="55"/>
      <c r="D82" s="55"/>
      <c r="E82" s="55"/>
      <c r="F82" s="55"/>
    </row>
    <row r="83" spans="1:11">
      <c r="A83" s="47"/>
      <c r="B83" s="55"/>
      <c r="C83" s="55"/>
      <c r="D83" s="55"/>
      <c r="E83" s="55"/>
      <c r="F83" s="55"/>
    </row>
    <row r="84" spans="1:11" ht="22.5" customHeight="1">
      <c r="A84" s="57" t="s">
        <v>133</v>
      </c>
      <c r="B84" s="57" t="s">
        <v>134</v>
      </c>
      <c r="C84" s="57" t="s">
        <v>135</v>
      </c>
      <c r="D84" s="57" t="s">
        <v>136</v>
      </c>
      <c r="E84" s="57" t="s">
        <v>137</v>
      </c>
      <c r="F84" s="57" t="s">
        <v>70</v>
      </c>
      <c r="G84" s="57" t="s">
        <v>138</v>
      </c>
      <c r="H84" s="57" t="s">
        <v>139</v>
      </c>
      <c r="I84" s="57" t="s">
        <v>140</v>
      </c>
      <c r="J84" s="57" t="s">
        <v>141</v>
      </c>
      <c r="K84" s="57" t="s">
        <v>142</v>
      </c>
    </row>
    <row r="85" spans="1:11">
      <c r="A85" s="94" t="s">
        <v>203</v>
      </c>
      <c r="B85" s="101">
        <f>IFERROR(E85/F85,0)</f>
        <v>54.139637163276518</v>
      </c>
      <c r="C85" s="101">
        <f>IFERROR((H85+J85-K85)/I85,0)</f>
        <v>32.538670581620543</v>
      </c>
      <c r="D85" s="101">
        <f>IFERROR(E85/G85,0)</f>
        <v>7.966992961734487</v>
      </c>
      <c r="E85" s="96">
        <v>984.8</v>
      </c>
      <c r="F85" s="97">
        <v>18.190000000000001</v>
      </c>
      <c r="G85" s="97">
        <v>123.61</v>
      </c>
      <c r="H85" s="97">
        <v>100758.9</v>
      </c>
      <c r="I85" s="97">
        <v>3201.4</v>
      </c>
      <c r="J85" s="96">
        <v>4415.8</v>
      </c>
      <c r="K85" s="96">
        <v>1005.4</v>
      </c>
    </row>
    <row r="86" spans="1:11">
      <c r="A86" s="94" t="s">
        <v>204</v>
      </c>
      <c r="B86" s="101">
        <f>IFERROR(E86/F86,0)</f>
        <v>38.431647940074903</v>
      </c>
      <c r="C86" s="101">
        <f>IFERROR((H86+J86-K86)/I86,0)</f>
        <v>24.224792408066428</v>
      </c>
      <c r="D86" s="101">
        <f>IFERROR(E86/G86,0)</f>
        <v>6.3754271512892204</v>
      </c>
      <c r="E86" s="96">
        <v>410.45</v>
      </c>
      <c r="F86" s="97">
        <v>10.68</v>
      </c>
      <c r="G86" s="97">
        <v>64.38</v>
      </c>
      <c r="H86" s="97">
        <v>72792.2</v>
      </c>
      <c r="I86" s="97">
        <v>3034.8</v>
      </c>
      <c r="J86" s="96">
        <v>1287.3</v>
      </c>
      <c r="K86" s="96">
        <v>562.1</v>
      </c>
    </row>
    <row r="87" spans="1:11">
      <c r="A87" s="94" t="s">
        <v>205</v>
      </c>
      <c r="B87" s="101">
        <f>IFERROR(E87/F87,0)</f>
        <v>54.313653136531364</v>
      </c>
      <c r="C87" s="101">
        <f>IFERROR((H87+J87-K87)/I87,0)</f>
        <v>37.772590837282777</v>
      </c>
      <c r="D87" s="101">
        <f>IFERROR(E87/G87,0)</f>
        <v>22.728536133415687</v>
      </c>
      <c r="E87" s="96">
        <v>735.95</v>
      </c>
      <c r="F87" s="97">
        <v>13.55</v>
      </c>
      <c r="G87" s="97">
        <v>32.380000000000003</v>
      </c>
      <c r="H87" s="97">
        <v>95576.2</v>
      </c>
      <c r="I87" s="97">
        <v>2532</v>
      </c>
      <c r="J87" s="96">
        <v>557</v>
      </c>
      <c r="K87" s="96">
        <v>493</v>
      </c>
    </row>
    <row r="88" spans="1:11">
      <c r="A88" s="94" t="s">
        <v>206</v>
      </c>
      <c r="B88" s="101">
        <f>IFERROR(E88/F88,0)</f>
        <v>65.093008338678644</v>
      </c>
      <c r="C88" s="101">
        <f>IFERROR((H88+J88-K88)/I88,0)</f>
        <v>33.980963732334416</v>
      </c>
      <c r="D88" s="101">
        <f>IFERROR(E88/G88,0)</f>
        <v>4.6091656447290728</v>
      </c>
      <c r="E88" s="96">
        <v>1014.8</v>
      </c>
      <c r="F88" s="97">
        <v>15.59</v>
      </c>
      <c r="G88" s="97">
        <v>220.17</v>
      </c>
      <c r="H88" s="97">
        <v>100386.1</v>
      </c>
      <c r="I88" s="97">
        <v>2936.5</v>
      </c>
      <c r="J88" s="96">
        <v>2819.5</v>
      </c>
      <c r="K88" s="96">
        <v>3420.5</v>
      </c>
    </row>
    <row r="89" spans="1:11">
      <c r="A89" s="68" t="s">
        <v>147</v>
      </c>
      <c r="B89" s="98">
        <f>IFERROR(AVERAGE(B85:B88),0)</f>
        <v>52.994486644640361</v>
      </c>
      <c r="C89" s="98">
        <f>IFERROR(AVERAGE(C85:C88),0)</f>
        <v>32.129254389826045</v>
      </c>
      <c r="D89" s="98">
        <f>IFERROR(AVERAGE(D85:D88),0)</f>
        <v>10.420030472792117</v>
      </c>
    </row>
    <row r="90" spans="1:11">
      <c r="A90" s="68" t="s">
        <v>178</v>
      </c>
    </row>
    <row r="91" spans="1:11">
      <c r="A91" s="60" t="s">
        <v>70</v>
      </c>
      <c r="B91" s="78">
        <f>F22</f>
        <v>105.18</v>
      </c>
    </row>
    <row r="92" spans="1:11">
      <c r="A92" s="60" t="s">
        <v>64</v>
      </c>
      <c r="B92" s="75">
        <f>F16</f>
        <v>3514</v>
      </c>
    </row>
    <row r="93" spans="1:11">
      <c r="A93" s="60" t="s">
        <v>149</v>
      </c>
      <c r="B93" s="78">
        <f>IFERROR(F33/F34,0)</f>
        <v>211.86721991701245</v>
      </c>
    </row>
    <row r="95" spans="1:11" ht="26.45" customHeight="1">
      <c r="A95" s="57" t="s">
        <v>150</v>
      </c>
      <c r="B95" s="57" t="s">
        <v>151</v>
      </c>
      <c r="C95" s="57" t="s">
        <v>152</v>
      </c>
      <c r="D95" s="57" t="s">
        <v>153</v>
      </c>
    </row>
    <row r="96" spans="1:11">
      <c r="A96" s="60" t="s">
        <v>154</v>
      </c>
      <c r="B96" s="95">
        <f>B89</f>
        <v>52.994486644640361</v>
      </c>
      <c r="C96" s="99">
        <f>B91</f>
        <v>105.18</v>
      </c>
      <c r="D96" s="99">
        <f>B96*C96</f>
        <v>5573.9601052832732</v>
      </c>
    </row>
    <row r="97" spans="1:6">
      <c r="A97" s="60" t="s">
        <v>155</v>
      </c>
      <c r="B97" s="95">
        <f>C89</f>
        <v>32.129254389826045</v>
      </c>
      <c r="C97" s="90">
        <f>B92</f>
        <v>3514</v>
      </c>
      <c r="D97" s="99">
        <f>IFERROR(((B97*C97)-F28+F32)/F34,0)</f>
        <v>4777.2697064667518</v>
      </c>
    </row>
    <row r="98" spans="1:6">
      <c r="A98" s="60" t="s">
        <v>156</v>
      </c>
      <c r="B98" s="95">
        <f>D89</f>
        <v>10.420030472792117</v>
      </c>
      <c r="C98" s="99">
        <f>B93</f>
        <v>211.86721991701245</v>
      </c>
      <c r="D98" s="99">
        <f>B98*C98</f>
        <v>2207.6628877210187</v>
      </c>
    </row>
    <row r="99" spans="1:6">
      <c r="A99" s="68" t="s">
        <v>157</v>
      </c>
      <c r="D99" s="93">
        <f>AVERAGE(D96:D98)</f>
        <v>4186.2975664903479</v>
      </c>
    </row>
    <row r="101" spans="1:6" ht="18" customHeight="1">
      <c r="A101" s="56" t="s">
        <v>158</v>
      </c>
      <c r="B101" s="55"/>
      <c r="C101" s="55"/>
      <c r="D101" s="55"/>
      <c r="E101" s="55"/>
      <c r="F101" s="55"/>
    </row>
    <row r="102" spans="1:6">
      <c r="A102" s="60" t="s">
        <v>131</v>
      </c>
      <c r="B102" s="78">
        <f>B80</f>
        <v>3199.5050868314929</v>
      </c>
    </row>
    <row r="103" spans="1:6" ht="26.45" customHeight="1">
      <c r="A103" s="60" t="s">
        <v>193</v>
      </c>
      <c r="B103" s="78">
        <f>D99</f>
        <v>4186.2975664903479</v>
      </c>
    </row>
    <row r="104" spans="1:6" ht="26.45" customHeight="1">
      <c r="A104" s="68" t="s">
        <v>160</v>
      </c>
      <c r="B104" s="81">
        <f>AVERAGE(B102:B103)</f>
        <v>3692.9013266609204</v>
      </c>
    </row>
    <row r="105" spans="1:6">
      <c r="A105" s="60" t="s">
        <v>194</v>
      </c>
      <c r="B105" s="78">
        <f>F35</f>
        <v>5250</v>
      </c>
    </row>
    <row r="106" spans="1:6">
      <c r="A106" s="68" t="s">
        <v>162</v>
      </c>
      <c r="B106" s="84">
        <f>IFERROR(B104/B105-1,"")</f>
        <v>-0.296590223493158</v>
      </c>
    </row>
    <row r="107" spans="1:6" ht="26.45" customHeight="1">
      <c r="A107" s="68" t="s">
        <v>163</v>
      </c>
      <c r="B107" s="103" t="s">
        <v>179</v>
      </c>
    </row>
  </sheetData>
  <mergeCells count="15">
    <mergeCell ref="A101:F101"/>
    <mergeCell ref="B9:F9"/>
    <mergeCell ref="A3:F3"/>
    <mergeCell ref="A1:F1"/>
    <mergeCell ref="A37:F37"/>
    <mergeCell ref="B5:F5"/>
    <mergeCell ref="A83:F83"/>
    <mergeCell ref="A12:F12"/>
    <mergeCell ref="B8:F8"/>
    <mergeCell ref="B4:F4"/>
    <mergeCell ref="A11:F11"/>
    <mergeCell ref="A52:F52"/>
    <mergeCell ref="B7:F7"/>
    <mergeCell ref="A82:F82"/>
    <mergeCell ref="B6:F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39"/>
  <sheetViews>
    <sheetView showGridLines="0" workbookViewId="0">
      <pane xSplit="1" ySplit="3" topLeftCell="B2518" activePane="bottomRight" state="frozen"/>
      <selection pane="bottomRight" activeCell="E2529" sqref="E2529"/>
      <selection pane="bottomLeft" activeCell="D2356" sqref="D2356"/>
      <selection pane="topRight" activeCell="D2356" sqref="D2356"/>
    </sheetView>
  </sheetViews>
  <sheetFormatPr defaultColWidth="8.85546875" defaultRowHeight="14.45"/>
  <cols>
    <col min="1" max="1" width="30" style="10" customWidth="1"/>
    <col min="2" max="6" width="14" style="10" customWidth="1"/>
    <col min="7" max="9" width="8.85546875" style="10" customWidth="1"/>
    <col min="10" max="16384" width="8.85546875" style="10"/>
  </cols>
  <sheetData>
    <row r="1" spans="1:6" ht="22.15" customHeight="1">
      <c r="A1" s="46" t="s">
        <v>207</v>
      </c>
      <c r="B1" s="108"/>
      <c r="C1" s="108"/>
      <c r="D1" s="108"/>
      <c r="E1" s="108"/>
      <c r="F1" s="108"/>
    </row>
    <row r="2" spans="1:6" ht="18" customHeight="1">
      <c r="A2" s="109" t="s">
        <v>208</v>
      </c>
      <c r="B2" s="108"/>
      <c r="C2" s="108"/>
      <c r="D2" s="108"/>
      <c r="E2" s="108"/>
      <c r="F2" s="108"/>
    </row>
    <row r="3" spans="1:6">
      <c r="A3" s="11" t="s">
        <v>209</v>
      </c>
      <c r="B3" s="11" t="s">
        <v>210</v>
      </c>
      <c r="C3" s="11" t="s">
        <v>211</v>
      </c>
      <c r="D3" s="11" t="s">
        <v>212</v>
      </c>
      <c r="E3" s="11" t="s">
        <v>213</v>
      </c>
      <c r="F3" s="11" t="s">
        <v>214</v>
      </c>
    </row>
    <row r="4" spans="1:6">
      <c r="A4" s="12">
        <v>44440</v>
      </c>
      <c r="B4" s="13">
        <v>769.9</v>
      </c>
      <c r="C4" s="14">
        <v>1033.51</v>
      </c>
      <c r="D4" s="13">
        <v>952.69</v>
      </c>
      <c r="E4" s="14">
        <v>4015.35</v>
      </c>
      <c r="F4" s="14">
        <v>17076.25</v>
      </c>
    </row>
    <row r="5" spans="1:6">
      <c r="A5" s="12">
        <v>44441</v>
      </c>
      <c r="B5" s="13">
        <v>752.45</v>
      </c>
      <c r="C5" s="14">
        <v>1031.5899999999999</v>
      </c>
      <c r="D5" s="13">
        <v>971.94</v>
      </c>
      <c r="E5" s="14">
        <v>4086.1</v>
      </c>
      <c r="F5" s="14">
        <v>17234.150000000001</v>
      </c>
    </row>
    <row r="6" spans="1:6">
      <c r="A6" s="12">
        <v>44442</v>
      </c>
      <c r="B6" s="13">
        <v>749.9</v>
      </c>
      <c r="C6" s="14">
        <v>1048.6500000000001</v>
      </c>
      <c r="D6" s="13">
        <v>979.71</v>
      </c>
      <c r="E6" s="14">
        <v>4124.2</v>
      </c>
      <c r="F6" s="14">
        <v>17323.599999999999</v>
      </c>
    </row>
    <row r="7" spans="1:6">
      <c r="A7" s="12">
        <v>44445</v>
      </c>
      <c r="B7" s="13">
        <v>754.75</v>
      </c>
      <c r="C7" s="14">
        <v>1056.2</v>
      </c>
      <c r="D7" s="13">
        <v>983.19</v>
      </c>
      <c r="E7" s="14">
        <v>4079.05</v>
      </c>
      <c r="F7" s="14">
        <v>17377.8</v>
      </c>
    </row>
    <row r="8" spans="1:6">
      <c r="A8" s="12">
        <v>44446</v>
      </c>
      <c r="B8" s="13">
        <v>753.1</v>
      </c>
      <c r="C8" s="14">
        <v>1035.9100000000001</v>
      </c>
      <c r="D8" s="13">
        <v>979.49</v>
      </c>
      <c r="E8" s="14">
        <v>4095.45</v>
      </c>
      <c r="F8" s="14">
        <v>17362.099999999999</v>
      </c>
    </row>
    <row r="9" spans="1:6">
      <c r="A9" s="12">
        <v>44447</v>
      </c>
      <c r="B9" s="13">
        <v>754.75</v>
      </c>
      <c r="C9" s="14">
        <v>1027.22</v>
      </c>
      <c r="D9" s="13">
        <v>982.26</v>
      </c>
      <c r="E9" s="14">
        <v>4061.4</v>
      </c>
      <c r="F9" s="14">
        <v>17353.5</v>
      </c>
    </row>
    <row r="10" spans="1:6">
      <c r="A10" s="12">
        <v>44448</v>
      </c>
      <c r="B10" s="13">
        <v>750.75</v>
      </c>
      <c r="C10" s="14">
        <v>1022.99</v>
      </c>
      <c r="D10" s="13">
        <v>982.41</v>
      </c>
      <c r="E10" s="14">
        <v>4070.8</v>
      </c>
      <c r="F10" s="14">
        <v>17369.25</v>
      </c>
    </row>
    <row r="11" spans="1:6">
      <c r="A11" s="12">
        <v>44452</v>
      </c>
      <c r="B11" s="13">
        <v>745.55</v>
      </c>
      <c r="C11" s="14">
        <v>1035.57</v>
      </c>
      <c r="D11" s="13">
        <v>986.28</v>
      </c>
      <c r="E11" s="14">
        <v>4093.85</v>
      </c>
      <c r="F11" s="14">
        <v>17355.3</v>
      </c>
    </row>
    <row r="12" spans="1:6">
      <c r="A12" s="12">
        <v>44453</v>
      </c>
      <c r="B12" s="13">
        <v>750.2</v>
      </c>
      <c r="C12" s="14">
        <v>1059.1099999999999</v>
      </c>
      <c r="D12" s="13">
        <v>986.15</v>
      </c>
      <c r="E12" s="14">
        <v>4101.5</v>
      </c>
      <c r="F12" s="14">
        <v>17380</v>
      </c>
    </row>
    <row r="13" spans="1:6">
      <c r="A13" s="12">
        <v>44454</v>
      </c>
      <c r="B13" s="13">
        <v>755.1</v>
      </c>
      <c r="C13" s="14">
        <v>1073.8599999999999</v>
      </c>
      <c r="D13" s="13">
        <v>992.52</v>
      </c>
      <c r="E13" s="14">
        <v>4086.35</v>
      </c>
      <c r="F13" s="14">
        <v>17519.45</v>
      </c>
    </row>
    <row r="14" spans="1:6">
      <c r="A14" s="12">
        <v>44455</v>
      </c>
      <c r="B14" s="13">
        <v>756.95</v>
      </c>
      <c r="C14" s="14">
        <v>1093.0899999999999</v>
      </c>
      <c r="D14" s="13">
        <v>986.39</v>
      </c>
      <c r="E14" s="14">
        <v>4073.05</v>
      </c>
      <c r="F14" s="14">
        <v>17629.5</v>
      </c>
    </row>
    <row r="15" spans="1:6">
      <c r="A15" s="12">
        <v>44456</v>
      </c>
      <c r="B15" s="13">
        <v>754.15</v>
      </c>
      <c r="C15" s="14">
        <v>1088.94</v>
      </c>
      <c r="D15" s="13">
        <v>976.91</v>
      </c>
      <c r="E15" s="14">
        <v>4051.85</v>
      </c>
      <c r="F15" s="14">
        <v>17585.150000000001</v>
      </c>
    </row>
    <row r="16" spans="1:6">
      <c r="A16" s="12">
        <v>44459</v>
      </c>
      <c r="B16" s="13">
        <v>738.05</v>
      </c>
      <c r="C16" s="14">
        <v>1070.1300000000001</v>
      </c>
      <c r="D16" s="13">
        <v>954.99</v>
      </c>
      <c r="E16" s="14">
        <v>4084.5</v>
      </c>
      <c r="F16" s="14">
        <v>17396.900000000001</v>
      </c>
    </row>
    <row r="17" spans="1:6">
      <c r="A17" s="12">
        <v>44460</v>
      </c>
      <c r="B17" s="13">
        <v>738.45</v>
      </c>
      <c r="C17" s="14">
        <v>1106.3</v>
      </c>
      <c r="D17" s="13">
        <v>970.73</v>
      </c>
      <c r="E17" s="14">
        <v>4075.55</v>
      </c>
      <c r="F17" s="14">
        <v>17562</v>
      </c>
    </row>
    <row r="18" spans="1:6">
      <c r="A18" s="12">
        <v>44461</v>
      </c>
      <c r="B18" s="13">
        <v>752.5</v>
      </c>
      <c r="C18" s="14">
        <v>1112.07</v>
      </c>
      <c r="D18" s="13">
        <v>969.27</v>
      </c>
      <c r="E18" s="14">
        <v>4058.5</v>
      </c>
      <c r="F18" s="14">
        <v>17546.650000000001</v>
      </c>
    </row>
    <row r="19" spans="1:6">
      <c r="A19" s="12">
        <v>44462</v>
      </c>
      <c r="B19" s="13">
        <v>758.45</v>
      </c>
      <c r="C19" s="14">
        <v>1130.55</v>
      </c>
      <c r="D19" s="13">
        <v>959.46</v>
      </c>
      <c r="E19" s="14">
        <v>4042.35</v>
      </c>
      <c r="F19" s="14">
        <v>17822.95</v>
      </c>
    </row>
    <row r="20" spans="1:6">
      <c r="A20" s="12">
        <v>44463</v>
      </c>
      <c r="B20" s="13">
        <v>779.45</v>
      </c>
      <c r="C20" s="14">
        <v>1129.8</v>
      </c>
      <c r="D20" s="13">
        <v>958.07</v>
      </c>
      <c r="E20" s="14">
        <v>4042.9</v>
      </c>
      <c r="F20" s="14">
        <v>17853.2</v>
      </c>
    </row>
    <row r="21" spans="1:6">
      <c r="A21" s="12">
        <v>44466</v>
      </c>
      <c r="B21" s="13">
        <v>811.35</v>
      </c>
      <c r="C21" s="14">
        <v>1083.02</v>
      </c>
      <c r="D21" s="13">
        <v>958.33</v>
      </c>
      <c r="E21" s="14">
        <v>4009.6</v>
      </c>
      <c r="F21" s="14">
        <v>17855.099999999999</v>
      </c>
    </row>
    <row r="22" spans="1:6">
      <c r="A22" s="12">
        <v>44467</v>
      </c>
      <c r="B22" s="13">
        <v>806.05</v>
      </c>
      <c r="C22" s="14">
        <v>1042.96</v>
      </c>
      <c r="D22" s="13">
        <v>966.63</v>
      </c>
      <c r="E22" s="14">
        <v>4003.65</v>
      </c>
      <c r="F22" s="14">
        <v>17748.599999999999</v>
      </c>
    </row>
    <row r="23" spans="1:6">
      <c r="A23" s="12">
        <v>44468</v>
      </c>
      <c r="B23" s="13">
        <v>812.1</v>
      </c>
      <c r="C23" s="14">
        <v>1052.1400000000001</v>
      </c>
      <c r="D23" s="13">
        <v>976.2</v>
      </c>
      <c r="E23" s="14">
        <v>3972.75</v>
      </c>
      <c r="F23" s="14">
        <v>17711.3</v>
      </c>
    </row>
    <row r="24" spans="1:6">
      <c r="A24" s="12">
        <v>44469</v>
      </c>
      <c r="B24" s="13">
        <v>803.05</v>
      </c>
      <c r="C24" s="14">
        <v>1048.26</v>
      </c>
      <c r="D24" s="13">
        <v>976.14</v>
      </c>
      <c r="E24" s="14">
        <v>3948.95</v>
      </c>
      <c r="F24" s="14">
        <v>17618.150000000001</v>
      </c>
    </row>
    <row r="25" spans="1:6">
      <c r="A25" s="12">
        <v>44470</v>
      </c>
      <c r="B25" s="13">
        <v>827.85</v>
      </c>
      <c r="C25" s="14">
        <v>1055.9000000000001</v>
      </c>
      <c r="D25" s="13">
        <v>991.17</v>
      </c>
      <c r="E25" s="14">
        <v>3921.1</v>
      </c>
      <c r="F25" s="14">
        <v>17532.05</v>
      </c>
    </row>
    <row r="26" spans="1:6">
      <c r="A26" s="12">
        <v>44473</v>
      </c>
      <c r="B26" s="13">
        <v>841.15</v>
      </c>
      <c r="C26" s="14">
        <v>1067.5899999999999</v>
      </c>
      <c r="D26" s="14">
        <v>1008.54</v>
      </c>
      <c r="E26" s="14">
        <v>3892.9</v>
      </c>
      <c r="F26" s="14">
        <v>17691.25</v>
      </c>
    </row>
    <row r="27" spans="1:6">
      <c r="A27" s="12">
        <v>44474</v>
      </c>
      <c r="B27" s="13">
        <v>843.05</v>
      </c>
      <c r="C27" s="14">
        <v>1076.48</v>
      </c>
      <c r="D27" s="14">
        <v>1006.92</v>
      </c>
      <c r="E27" s="14">
        <v>3882.2</v>
      </c>
      <c r="F27" s="14">
        <v>17822.3</v>
      </c>
    </row>
    <row r="28" spans="1:6">
      <c r="A28" s="12">
        <v>44475</v>
      </c>
      <c r="B28" s="13">
        <v>834.1</v>
      </c>
      <c r="C28" s="14">
        <v>1060.3599999999999</v>
      </c>
      <c r="D28" s="13">
        <v>991.32</v>
      </c>
      <c r="E28" s="14">
        <v>3938.6</v>
      </c>
      <c r="F28" s="14">
        <v>17646</v>
      </c>
    </row>
    <row r="29" spans="1:6">
      <c r="A29" s="12">
        <v>44476</v>
      </c>
      <c r="B29" s="13">
        <v>878.25</v>
      </c>
      <c r="C29" s="14">
        <v>1089.79</v>
      </c>
      <c r="D29" s="13">
        <v>978.22</v>
      </c>
      <c r="E29" s="14">
        <v>3900.6</v>
      </c>
      <c r="F29" s="14">
        <v>17790.349999999999</v>
      </c>
    </row>
    <row r="30" spans="1:6">
      <c r="A30" s="12">
        <v>44477</v>
      </c>
      <c r="B30" s="13">
        <v>877.8</v>
      </c>
      <c r="C30" s="14">
        <v>1129.17</v>
      </c>
      <c r="D30" s="13">
        <v>969.84</v>
      </c>
      <c r="E30" s="14">
        <v>3883.3</v>
      </c>
      <c r="F30" s="14">
        <v>17895.2</v>
      </c>
    </row>
    <row r="31" spans="1:6">
      <c r="A31" s="12">
        <v>44480</v>
      </c>
      <c r="B31" s="13">
        <v>895.6</v>
      </c>
      <c r="C31" s="14">
        <v>1072.4100000000001</v>
      </c>
      <c r="D31" s="13">
        <v>978.87</v>
      </c>
      <c r="E31" s="14">
        <v>3840.6</v>
      </c>
      <c r="F31" s="14">
        <v>17945.95</v>
      </c>
    </row>
    <row r="32" spans="1:6">
      <c r="A32" s="12">
        <v>44481</v>
      </c>
      <c r="B32" s="13">
        <v>890.1</v>
      </c>
      <c r="C32" s="14">
        <v>1055.8800000000001</v>
      </c>
      <c r="D32" s="13">
        <v>982.06</v>
      </c>
      <c r="E32" s="14">
        <v>3867.95</v>
      </c>
      <c r="F32" s="14">
        <v>17991.95</v>
      </c>
    </row>
    <row r="33" spans="1:6">
      <c r="A33" s="12">
        <v>44482</v>
      </c>
      <c r="B33" s="13">
        <v>935.35</v>
      </c>
      <c r="C33" s="14">
        <v>1067.56</v>
      </c>
      <c r="D33" s="13">
        <v>985.69</v>
      </c>
      <c r="E33" s="14">
        <v>3883.7</v>
      </c>
      <c r="F33" s="14">
        <v>18161.75</v>
      </c>
    </row>
    <row r="34" spans="1:6">
      <c r="A34" s="12">
        <v>44483</v>
      </c>
      <c r="B34" s="13">
        <v>931.4</v>
      </c>
      <c r="C34" s="14">
        <v>1120.82</v>
      </c>
      <c r="D34" s="13">
        <v>991.74</v>
      </c>
      <c r="E34" s="14">
        <v>3894.85</v>
      </c>
      <c r="F34" s="14">
        <v>18338.55</v>
      </c>
    </row>
    <row r="35" spans="1:6">
      <c r="A35" s="12">
        <v>44487</v>
      </c>
      <c r="B35" s="13">
        <v>910.95</v>
      </c>
      <c r="C35" s="14">
        <v>1120.97</v>
      </c>
      <c r="D35" s="13">
        <v>975.5</v>
      </c>
      <c r="E35" s="14">
        <v>3837.35</v>
      </c>
      <c r="F35" s="14">
        <v>18477.05</v>
      </c>
    </row>
    <row r="36" spans="1:6">
      <c r="A36" s="12">
        <v>44488</v>
      </c>
      <c r="B36" s="13">
        <v>917.5</v>
      </c>
      <c r="C36" s="14">
        <v>1172.28</v>
      </c>
      <c r="D36" s="13">
        <v>960.36</v>
      </c>
      <c r="E36" s="14">
        <v>3795.9</v>
      </c>
      <c r="F36" s="14">
        <v>18418.75</v>
      </c>
    </row>
    <row r="37" spans="1:6">
      <c r="A37" s="12">
        <v>44489</v>
      </c>
      <c r="B37" s="13">
        <v>899.35</v>
      </c>
      <c r="C37" s="14">
        <v>1164.08</v>
      </c>
      <c r="D37" s="13">
        <v>950.78</v>
      </c>
      <c r="E37" s="14">
        <v>3762</v>
      </c>
      <c r="F37" s="14">
        <v>18266.599999999999</v>
      </c>
    </row>
    <row r="38" spans="1:6">
      <c r="A38" s="12">
        <v>44490</v>
      </c>
      <c r="B38" s="13">
        <v>897</v>
      </c>
      <c r="C38" s="14">
        <v>1089.69</v>
      </c>
      <c r="D38" s="13">
        <v>930.33</v>
      </c>
      <c r="E38" s="14">
        <v>3714.35</v>
      </c>
      <c r="F38" s="14">
        <v>18178.099999999999</v>
      </c>
    </row>
    <row r="39" spans="1:6">
      <c r="A39" s="12">
        <v>44491</v>
      </c>
      <c r="B39" s="13">
        <v>887.85</v>
      </c>
      <c r="C39" s="14">
        <v>1079.5</v>
      </c>
      <c r="D39" s="13">
        <v>927.49</v>
      </c>
      <c r="E39" s="14">
        <v>3690</v>
      </c>
      <c r="F39" s="14">
        <v>18114.900000000001</v>
      </c>
    </row>
    <row r="40" spans="1:6">
      <c r="A40" s="12">
        <v>44494</v>
      </c>
      <c r="B40" s="13">
        <v>890.7</v>
      </c>
      <c r="C40" s="14">
        <v>1013.86</v>
      </c>
      <c r="D40" s="13">
        <v>935.23</v>
      </c>
      <c r="E40" s="14">
        <v>3631.05</v>
      </c>
      <c r="F40" s="14">
        <v>18125.400000000001</v>
      </c>
    </row>
    <row r="41" spans="1:6">
      <c r="A41" s="12">
        <v>44495</v>
      </c>
      <c r="B41" s="13">
        <v>894.55</v>
      </c>
      <c r="C41" s="14">
        <v>1017.61</v>
      </c>
      <c r="D41" s="13">
        <v>933.24</v>
      </c>
      <c r="E41" s="14">
        <v>3692.8</v>
      </c>
      <c r="F41" s="14">
        <v>18268.400000000001</v>
      </c>
    </row>
    <row r="42" spans="1:6">
      <c r="A42" s="12">
        <v>44496</v>
      </c>
      <c r="B42" s="13">
        <v>886.8</v>
      </c>
      <c r="C42" s="14">
        <v>1008.57</v>
      </c>
      <c r="D42" s="13">
        <v>932.54</v>
      </c>
      <c r="E42" s="14">
        <v>3697.85</v>
      </c>
      <c r="F42" s="14">
        <v>18210.95</v>
      </c>
    </row>
    <row r="43" spans="1:6">
      <c r="A43" s="12">
        <v>44497</v>
      </c>
      <c r="B43" s="13">
        <v>883.85</v>
      </c>
      <c r="C43" s="14">
        <v>1006.65</v>
      </c>
      <c r="D43" s="13">
        <v>913.99</v>
      </c>
      <c r="E43" s="14">
        <v>3681.9</v>
      </c>
      <c r="F43" s="14">
        <v>17857.25</v>
      </c>
    </row>
    <row r="44" spans="1:6">
      <c r="A44" s="12">
        <v>44498</v>
      </c>
      <c r="B44" s="13">
        <v>884.25</v>
      </c>
      <c r="C44" s="13">
        <v>974.09</v>
      </c>
      <c r="D44" s="13">
        <v>931.84</v>
      </c>
      <c r="E44" s="14">
        <v>3675.75</v>
      </c>
      <c r="F44" s="14">
        <v>17671.650000000001</v>
      </c>
    </row>
    <row r="45" spans="1:6">
      <c r="A45" s="12">
        <v>44501</v>
      </c>
      <c r="B45" s="13">
        <v>870.35</v>
      </c>
      <c r="C45" s="14">
        <v>1015.49</v>
      </c>
      <c r="D45" s="13">
        <v>960.29</v>
      </c>
      <c r="E45" s="14">
        <v>3678.15</v>
      </c>
      <c r="F45" s="14">
        <v>17929.650000000001</v>
      </c>
    </row>
    <row r="46" spans="1:6">
      <c r="A46" s="12">
        <v>44502</v>
      </c>
      <c r="B46" s="13">
        <v>861.5</v>
      </c>
      <c r="C46" s="14">
        <v>1008.7</v>
      </c>
      <c r="D46" s="13">
        <v>949.22</v>
      </c>
      <c r="E46" s="14">
        <v>3682.9</v>
      </c>
      <c r="F46" s="14">
        <v>17888.95</v>
      </c>
    </row>
    <row r="47" spans="1:6">
      <c r="A47" s="12">
        <v>44503</v>
      </c>
      <c r="B47" s="13">
        <v>849</v>
      </c>
      <c r="C47" s="14">
        <v>1012.98</v>
      </c>
      <c r="D47" s="13">
        <v>954.33</v>
      </c>
      <c r="E47" s="14">
        <v>3629.85</v>
      </c>
      <c r="F47" s="14">
        <v>17829.2</v>
      </c>
    </row>
    <row r="48" spans="1:6">
      <c r="A48" s="12">
        <v>44504</v>
      </c>
      <c r="B48" s="13">
        <v>872.85</v>
      </c>
      <c r="C48" s="14">
        <v>1016.28</v>
      </c>
      <c r="D48" s="13">
        <v>953.23</v>
      </c>
      <c r="E48" s="14">
        <v>3652.6</v>
      </c>
      <c r="F48" s="14">
        <v>17916.8</v>
      </c>
    </row>
    <row r="49" spans="1:6">
      <c r="A49" s="12">
        <v>44508</v>
      </c>
      <c r="B49" s="13">
        <v>859.5</v>
      </c>
      <c r="C49" s="14">
        <v>1050.33</v>
      </c>
      <c r="D49" s="13">
        <v>957.75</v>
      </c>
      <c r="E49" s="14">
        <v>3717.7</v>
      </c>
      <c r="F49" s="14">
        <v>18068.55</v>
      </c>
    </row>
    <row r="50" spans="1:6">
      <c r="A50" s="12">
        <v>44509</v>
      </c>
      <c r="B50" s="13">
        <v>892.15</v>
      </c>
      <c r="C50" s="14">
        <v>1076.3900000000001</v>
      </c>
      <c r="D50" s="13">
        <v>958.47</v>
      </c>
      <c r="E50" s="14">
        <v>3621.6</v>
      </c>
      <c r="F50" s="14">
        <v>18044.25</v>
      </c>
    </row>
    <row r="51" spans="1:6">
      <c r="A51" s="12">
        <v>44510</v>
      </c>
      <c r="B51" s="13">
        <v>919.65</v>
      </c>
      <c r="C51" s="14">
        <v>1070.83</v>
      </c>
      <c r="D51" s="13">
        <v>965.87</v>
      </c>
      <c r="E51" s="14">
        <v>3698.5</v>
      </c>
      <c r="F51" s="14">
        <v>18017.2</v>
      </c>
    </row>
    <row r="52" spans="1:6">
      <c r="A52" s="12">
        <v>44511</v>
      </c>
      <c r="B52" s="13">
        <v>924.75</v>
      </c>
      <c r="C52" s="14">
        <v>1075.24</v>
      </c>
      <c r="D52" s="13">
        <v>962.99</v>
      </c>
      <c r="E52" s="14">
        <v>3643.4</v>
      </c>
      <c r="F52" s="14">
        <v>17873.599999999999</v>
      </c>
    </row>
    <row r="53" spans="1:6">
      <c r="A53" s="12">
        <v>44512</v>
      </c>
      <c r="B53" s="13">
        <v>937.8</v>
      </c>
      <c r="C53" s="14">
        <v>1083.5999999999999</v>
      </c>
      <c r="D53" s="13">
        <v>968.65</v>
      </c>
      <c r="E53" s="14">
        <v>3687.95</v>
      </c>
      <c r="F53" s="14">
        <v>18102.75</v>
      </c>
    </row>
    <row r="54" spans="1:6">
      <c r="A54" s="12">
        <v>44515</v>
      </c>
      <c r="B54" s="13">
        <v>928.4</v>
      </c>
      <c r="C54" s="14">
        <v>1099.24</v>
      </c>
      <c r="D54" s="13">
        <v>974.73</v>
      </c>
      <c r="E54" s="14">
        <v>3742.6</v>
      </c>
      <c r="F54" s="14">
        <v>18109.45</v>
      </c>
    </row>
    <row r="55" spans="1:6">
      <c r="A55" s="12">
        <v>44516</v>
      </c>
      <c r="B55" s="13">
        <v>960.3</v>
      </c>
      <c r="C55" s="14">
        <v>1144.3499999999999</v>
      </c>
      <c r="D55" s="13">
        <v>963.52</v>
      </c>
      <c r="E55" s="14">
        <v>3690.75</v>
      </c>
      <c r="F55" s="14">
        <v>17999.2</v>
      </c>
    </row>
    <row r="56" spans="1:6">
      <c r="A56" s="12">
        <v>44517</v>
      </c>
      <c r="B56" s="13">
        <v>954.45</v>
      </c>
      <c r="C56" s="14">
        <v>1167.8699999999999</v>
      </c>
      <c r="D56" s="13">
        <v>953.66</v>
      </c>
      <c r="E56" s="14">
        <v>3615.05</v>
      </c>
      <c r="F56" s="14">
        <v>17898.650000000001</v>
      </c>
    </row>
    <row r="57" spans="1:6">
      <c r="A57" s="12">
        <v>44518</v>
      </c>
      <c r="B57" s="13">
        <v>923.7</v>
      </c>
      <c r="C57" s="14">
        <v>1114.42</v>
      </c>
      <c r="D57" s="13">
        <v>934.29</v>
      </c>
      <c r="E57" s="14">
        <v>3571.6</v>
      </c>
      <c r="F57" s="14">
        <v>17764.8</v>
      </c>
    </row>
    <row r="58" spans="1:6">
      <c r="A58" s="12">
        <v>44522</v>
      </c>
      <c r="B58" s="13">
        <v>900.85</v>
      </c>
      <c r="C58" s="14">
        <v>1085.6500000000001</v>
      </c>
      <c r="D58" s="13">
        <v>921.52</v>
      </c>
      <c r="E58" s="14">
        <v>3581.6</v>
      </c>
      <c r="F58" s="14">
        <v>17416.55</v>
      </c>
    </row>
    <row r="59" spans="1:6">
      <c r="A59" s="12">
        <v>44523</v>
      </c>
      <c r="B59" s="13">
        <v>901.35</v>
      </c>
      <c r="C59" s="14">
        <v>1091.18</v>
      </c>
      <c r="D59" s="13">
        <v>926.39</v>
      </c>
      <c r="E59" s="14">
        <v>3662.15</v>
      </c>
      <c r="F59" s="14">
        <v>17503.349999999999</v>
      </c>
    </row>
    <row r="60" spans="1:6">
      <c r="A60" s="12">
        <v>44524</v>
      </c>
      <c r="B60" s="13">
        <v>893.2</v>
      </c>
      <c r="C60" s="14">
        <v>1075.54</v>
      </c>
      <c r="D60" s="13">
        <v>919.61</v>
      </c>
      <c r="E60" s="14">
        <v>3623.35</v>
      </c>
      <c r="F60" s="14">
        <v>17415.05</v>
      </c>
    </row>
    <row r="61" spans="1:6">
      <c r="A61" s="12">
        <v>44525</v>
      </c>
      <c r="B61" s="13">
        <v>891.2</v>
      </c>
      <c r="C61" s="14">
        <v>1100.56</v>
      </c>
      <c r="D61" s="13">
        <v>918.32</v>
      </c>
      <c r="E61" s="14">
        <v>3573.4</v>
      </c>
      <c r="F61" s="14">
        <v>17536.25</v>
      </c>
    </row>
    <row r="62" spans="1:6">
      <c r="A62" s="12">
        <v>44526</v>
      </c>
      <c r="B62" s="13">
        <v>853.75</v>
      </c>
      <c r="C62" s="14">
        <v>1053.53</v>
      </c>
      <c r="D62" s="13">
        <v>950.18</v>
      </c>
      <c r="E62" s="14">
        <v>3555.3</v>
      </c>
      <c r="F62" s="14">
        <v>17026.45</v>
      </c>
    </row>
    <row r="63" spans="1:6">
      <c r="A63" s="12">
        <v>44529</v>
      </c>
      <c r="B63" s="13">
        <v>850.8</v>
      </c>
      <c r="C63" s="14">
        <v>1058.55</v>
      </c>
      <c r="D63" s="13">
        <v>939.52</v>
      </c>
      <c r="E63" s="14">
        <v>3528.6</v>
      </c>
      <c r="F63" s="14">
        <v>17053.95</v>
      </c>
    </row>
    <row r="64" spans="1:6">
      <c r="A64" s="12">
        <v>44530</v>
      </c>
      <c r="B64" s="13">
        <v>835.5</v>
      </c>
      <c r="C64" s="14">
        <v>1086.32</v>
      </c>
      <c r="D64" s="13">
        <v>935.17</v>
      </c>
      <c r="E64" s="14">
        <v>3545.5</v>
      </c>
      <c r="F64" s="14">
        <v>16983.2</v>
      </c>
    </row>
    <row r="65" spans="1:6">
      <c r="A65" s="12">
        <v>44531</v>
      </c>
      <c r="B65" s="13">
        <v>834.7</v>
      </c>
      <c r="C65" s="14">
        <v>1075.72</v>
      </c>
      <c r="D65" s="13">
        <v>921.27</v>
      </c>
      <c r="E65" s="14">
        <v>3535.25</v>
      </c>
      <c r="F65" s="14">
        <v>17166.900000000001</v>
      </c>
    </row>
    <row r="66" spans="1:6">
      <c r="A66" s="12">
        <v>44532</v>
      </c>
      <c r="B66" s="13">
        <v>849.55</v>
      </c>
      <c r="C66" s="14">
        <v>1082.83</v>
      </c>
      <c r="D66" s="13">
        <v>932.55</v>
      </c>
      <c r="E66" s="14">
        <v>3578.5</v>
      </c>
      <c r="F66" s="14">
        <v>17401.650000000001</v>
      </c>
    </row>
    <row r="67" spans="1:6">
      <c r="A67" s="12">
        <v>44533</v>
      </c>
      <c r="B67" s="13">
        <v>836.95</v>
      </c>
      <c r="C67" s="14">
        <v>1070.03</v>
      </c>
      <c r="D67" s="13">
        <v>919.3</v>
      </c>
      <c r="E67" s="14">
        <v>3553.75</v>
      </c>
      <c r="F67" s="14">
        <v>17196.7</v>
      </c>
    </row>
    <row r="68" spans="1:6">
      <c r="A68" s="12">
        <v>44536</v>
      </c>
      <c r="B68" s="13">
        <v>822.15</v>
      </c>
      <c r="C68" s="14">
        <v>1025.05</v>
      </c>
      <c r="D68" s="13">
        <v>899.74</v>
      </c>
      <c r="E68" s="14">
        <v>3496.2</v>
      </c>
      <c r="F68" s="14">
        <v>16912.25</v>
      </c>
    </row>
    <row r="69" spans="1:6">
      <c r="A69" s="12">
        <v>44537</v>
      </c>
      <c r="B69" s="13">
        <v>825.95</v>
      </c>
      <c r="C69" s="14">
        <v>1041.7</v>
      </c>
      <c r="D69" s="13">
        <v>904.14</v>
      </c>
      <c r="E69" s="14">
        <v>3474.2</v>
      </c>
      <c r="F69" s="14">
        <v>17176.7</v>
      </c>
    </row>
    <row r="70" spans="1:6">
      <c r="A70" s="12">
        <v>44538</v>
      </c>
      <c r="B70" s="13">
        <v>840.75</v>
      </c>
      <c r="C70" s="14">
        <v>1050.49</v>
      </c>
      <c r="D70" s="13">
        <v>914.14</v>
      </c>
      <c r="E70" s="14">
        <v>3575.75</v>
      </c>
      <c r="F70" s="14">
        <v>17469.75</v>
      </c>
    </row>
    <row r="71" spans="1:6">
      <c r="A71" s="12">
        <v>44539</v>
      </c>
      <c r="B71" s="13">
        <v>851.1</v>
      </c>
      <c r="C71" s="14">
        <v>1054.05</v>
      </c>
      <c r="D71" s="13">
        <v>918.85</v>
      </c>
      <c r="E71" s="14">
        <v>3623.9</v>
      </c>
      <c r="F71" s="14">
        <v>17516.849999999999</v>
      </c>
    </row>
    <row r="72" spans="1:6">
      <c r="A72" s="12">
        <v>44540</v>
      </c>
      <c r="B72" s="13">
        <v>859.7</v>
      </c>
      <c r="C72" s="14">
        <v>1063.07</v>
      </c>
      <c r="D72" s="13">
        <v>918.66</v>
      </c>
      <c r="E72" s="14">
        <v>3632.45</v>
      </c>
      <c r="F72" s="14">
        <v>17511.3</v>
      </c>
    </row>
    <row r="73" spans="1:6">
      <c r="A73" s="12">
        <v>44543</v>
      </c>
      <c r="B73" s="13">
        <v>843.1</v>
      </c>
      <c r="C73" s="14">
        <v>1095.29</v>
      </c>
      <c r="D73" s="13">
        <v>919.96</v>
      </c>
      <c r="E73" s="14">
        <v>3588.75</v>
      </c>
      <c r="F73" s="14">
        <v>17368.25</v>
      </c>
    </row>
    <row r="74" spans="1:6">
      <c r="A74" s="12">
        <v>44544</v>
      </c>
      <c r="B74" s="13">
        <v>836.85</v>
      </c>
      <c r="C74" s="14">
        <v>1087.8900000000001</v>
      </c>
      <c r="D74" s="13">
        <v>929.31</v>
      </c>
      <c r="E74" s="14">
        <v>3579.65</v>
      </c>
      <c r="F74" s="14">
        <v>17324.900000000001</v>
      </c>
    </row>
    <row r="75" spans="1:6">
      <c r="A75" s="12">
        <v>44545</v>
      </c>
      <c r="B75" s="13">
        <v>846.2</v>
      </c>
      <c r="C75" s="14">
        <v>1062.56</v>
      </c>
      <c r="D75" s="13">
        <v>920.06</v>
      </c>
      <c r="E75" s="14">
        <v>3541.6</v>
      </c>
      <c r="F75" s="14">
        <v>17221.400000000001</v>
      </c>
    </row>
    <row r="76" spans="1:6">
      <c r="A76" s="12">
        <v>44546</v>
      </c>
      <c r="B76" s="13">
        <v>853.3</v>
      </c>
      <c r="C76" s="14">
        <v>1071.07</v>
      </c>
      <c r="D76" s="13">
        <v>919.47</v>
      </c>
      <c r="E76" s="14">
        <v>3560.6</v>
      </c>
      <c r="F76" s="14">
        <v>17248.400000000001</v>
      </c>
    </row>
    <row r="77" spans="1:6">
      <c r="A77" s="12">
        <v>44547</v>
      </c>
      <c r="B77" s="13">
        <v>834.6</v>
      </c>
      <c r="C77" s="14">
        <v>1078.5899999999999</v>
      </c>
      <c r="D77" s="13">
        <v>903.59</v>
      </c>
      <c r="E77" s="14">
        <v>3536.15</v>
      </c>
      <c r="F77" s="14">
        <v>16985.2</v>
      </c>
    </row>
    <row r="78" spans="1:6">
      <c r="A78" s="12">
        <v>44550</v>
      </c>
      <c r="B78" s="13">
        <v>814.3</v>
      </c>
      <c r="C78" s="14">
        <v>1036.3900000000001</v>
      </c>
      <c r="D78" s="13">
        <v>912.14</v>
      </c>
      <c r="E78" s="14">
        <v>3471.9</v>
      </c>
      <c r="F78" s="14">
        <v>16614.2</v>
      </c>
    </row>
    <row r="79" spans="1:6">
      <c r="A79" s="12">
        <v>44551</v>
      </c>
      <c r="B79" s="13">
        <v>812.2</v>
      </c>
      <c r="C79" s="14">
        <v>1079.3800000000001</v>
      </c>
      <c r="D79" s="13">
        <v>924.18</v>
      </c>
      <c r="E79" s="14">
        <v>3505.75</v>
      </c>
      <c r="F79" s="14">
        <v>16770.849999999999</v>
      </c>
    </row>
    <row r="80" spans="1:6">
      <c r="A80" s="12">
        <v>44552</v>
      </c>
      <c r="B80" s="13">
        <v>818.7</v>
      </c>
      <c r="C80" s="14">
        <v>1094.8399999999999</v>
      </c>
      <c r="D80" s="13">
        <v>929.7</v>
      </c>
      <c r="E80" s="14">
        <v>3497</v>
      </c>
      <c r="F80" s="14">
        <v>16955.45</v>
      </c>
    </row>
    <row r="81" spans="1:6">
      <c r="A81" s="12">
        <v>44553</v>
      </c>
      <c r="B81" s="13">
        <v>826.85</v>
      </c>
      <c r="C81" s="14">
        <v>1091.0999999999999</v>
      </c>
      <c r="D81" s="13">
        <v>938.96</v>
      </c>
      <c r="E81" s="14">
        <v>3554.6</v>
      </c>
      <c r="F81" s="14">
        <v>17072.599999999999</v>
      </c>
    </row>
    <row r="82" spans="1:6">
      <c r="A82" s="12">
        <v>44554</v>
      </c>
      <c r="B82" s="13">
        <v>812.65</v>
      </c>
      <c r="C82" s="14">
        <v>1129.1199999999999</v>
      </c>
      <c r="D82" s="13">
        <v>927.73</v>
      </c>
      <c r="E82" s="14">
        <v>3541.3</v>
      </c>
      <c r="F82" s="14">
        <v>17003.75</v>
      </c>
    </row>
    <row r="83" spans="1:6">
      <c r="A83" s="12">
        <v>44557</v>
      </c>
      <c r="B83" s="13">
        <v>818.55</v>
      </c>
      <c r="C83" s="14">
        <v>1123.6300000000001</v>
      </c>
      <c r="D83" s="13">
        <v>947.38</v>
      </c>
      <c r="E83" s="14">
        <v>3513.2</v>
      </c>
      <c r="F83" s="14">
        <v>17086.25</v>
      </c>
    </row>
    <row r="84" spans="1:6">
      <c r="A84" s="12">
        <v>44558</v>
      </c>
      <c r="B84" s="13">
        <v>838.7</v>
      </c>
      <c r="C84" s="14">
        <v>1131.1400000000001</v>
      </c>
      <c r="D84" s="13">
        <v>948.76</v>
      </c>
      <c r="E84" s="14">
        <v>3550.65</v>
      </c>
      <c r="F84" s="14">
        <v>17233.25</v>
      </c>
    </row>
    <row r="85" spans="1:6">
      <c r="A85" s="12">
        <v>44559</v>
      </c>
      <c r="B85" s="13">
        <v>832.7</v>
      </c>
      <c r="C85" s="14">
        <v>1129.82</v>
      </c>
      <c r="D85" s="13">
        <v>966.63</v>
      </c>
      <c r="E85" s="14">
        <v>3559.6</v>
      </c>
      <c r="F85" s="14">
        <v>17213.599999999999</v>
      </c>
    </row>
    <row r="86" spans="1:6">
      <c r="A86" s="12">
        <v>44560</v>
      </c>
      <c r="B86" s="13">
        <v>829.3</v>
      </c>
      <c r="C86" s="14">
        <v>1172.1300000000001</v>
      </c>
      <c r="D86" s="13">
        <v>980.94</v>
      </c>
      <c r="E86" s="14">
        <v>3573.9</v>
      </c>
      <c r="F86" s="14">
        <v>17203.95</v>
      </c>
    </row>
    <row r="87" spans="1:6">
      <c r="A87" s="12">
        <v>44561</v>
      </c>
      <c r="B87" s="13">
        <v>837.15</v>
      </c>
      <c r="C87" s="14">
        <v>1178.07</v>
      </c>
      <c r="D87" s="13">
        <v>981.4</v>
      </c>
      <c r="E87" s="14">
        <v>3606</v>
      </c>
      <c r="F87" s="14">
        <v>17354.05</v>
      </c>
    </row>
    <row r="88" spans="1:6">
      <c r="A88" s="12">
        <v>44564</v>
      </c>
      <c r="B88" s="13">
        <v>829.8</v>
      </c>
      <c r="C88" s="14">
        <v>1194.6300000000001</v>
      </c>
      <c r="D88" s="13">
        <v>970.63</v>
      </c>
      <c r="E88" s="14">
        <v>3617.55</v>
      </c>
      <c r="F88" s="14">
        <v>17625.7</v>
      </c>
    </row>
    <row r="89" spans="1:6">
      <c r="A89" s="12">
        <v>44565</v>
      </c>
      <c r="B89" s="13">
        <v>831.85</v>
      </c>
      <c r="C89" s="14">
        <v>1221.08</v>
      </c>
      <c r="D89" s="13">
        <v>967.09</v>
      </c>
      <c r="E89" s="14">
        <v>3638.45</v>
      </c>
      <c r="F89" s="14">
        <v>17805.25</v>
      </c>
    </row>
    <row r="90" spans="1:6">
      <c r="A90" s="12">
        <v>44566</v>
      </c>
      <c r="B90" s="13">
        <v>839.5</v>
      </c>
      <c r="C90" s="14">
        <v>1187.9000000000001</v>
      </c>
      <c r="D90" s="13">
        <v>958.08</v>
      </c>
      <c r="E90" s="14">
        <v>3659.7</v>
      </c>
      <c r="F90" s="14">
        <v>17925.25</v>
      </c>
    </row>
    <row r="91" spans="1:6">
      <c r="A91" s="12">
        <v>44567</v>
      </c>
      <c r="B91" s="13">
        <v>839.85</v>
      </c>
      <c r="C91" s="14">
        <v>1186.23</v>
      </c>
      <c r="D91" s="13">
        <v>947.89</v>
      </c>
      <c r="E91" s="14">
        <v>3675.1</v>
      </c>
      <c r="F91" s="14">
        <v>17745.900000000001</v>
      </c>
    </row>
    <row r="92" spans="1:6">
      <c r="A92" s="12">
        <v>44568</v>
      </c>
      <c r="B92" s="13">
        <v>829</v>
      </c>
      <c r="C92" s="14">
        <v>1151.24</v>
      </c>
      <c r="D92" s="13">
        <v>941.68</v>
      </c>
      <c r="E92" s="14">
        <v>3737.35</v>
      </c>
      <c r="F92" s="14">
        <v>17812.7</v>
      </c>
    </row>
    <row r="93" spans="1:6">
      <c r="A93" s="12">
        <v>44571</v>
      </c>
      <c r="B93" s="13">
        <v>841.95</v>
      </c>
      <c r="C93" s="14">
        <v>1116.1099999999999</v>
      </c>
      <c r="D93" s="13">
        <v>939.81</v>
      </c>
      <c r="E93" s="14">
        <v>3768.3</v>
      </c>
      <c r="F93" s="14">
        <v>18003.3</v>
      </c>
    </row>
    <row r="94" spans="1:6">
      <c r="A94" s="12">
        <v>44572</v>
      </c>
      <c r="B94" s="13">
        <v>841.4</v>
      </c>
      <c r="C94" s="14">
        <v>1153.43</v>
      </c>
      <c r="D94" s="13">
        <v>933.85</v>
      </c>
      <c r="E94" s="14">
        <v>3743.35</v>
      </c>
      <c r="F94" s="14">
        <v>18055.75</v>
      </c>
    </row>
    <row r="95" spans="1:6">
      <c r="A95" s="12">
        <v>44573</v>
      </c>
      <c r="B95" s="13">
        <v>880.55</v>
      </c>
      <c r="C95" s="14">
        <v>1157.67</v>
      </c>
      <c r="D95" s="13">
        <v>938.68</v>
      </c>
      <c r="E95" s="14">
        <v>3700.2</v>
      </c>
      <c r="F95" s="14">
        <v>18212.349999999999</v>
      </c>
    </row>
    <row r="96" spans="1:6">
      <c r="A96" s="12">
        <v>44574</v>
      </c>
      <c r="B96" s="13">
        <v>896</v>
      </c>
      <c r="C96" s="14">
        <v>1145.33</v>
      </c>
      <c r="D96" s="13">
        <v>945.19</v>
      </c>
      <c r="E96" s="14">
        <v>3749.05</v>
      </c>
      <c r="F96" s="14">
        <v>18257.8</v>
      </c>
    </row>
    <row r="97" spans="1:6">
      <c r="A97" s="12">
        <v>44575</v>
      </c>
      <c r="B97" s="13">
        <v>881.2</v>
      </c>
      <c r="C97" s="14">
        <v>1137.71</v>
      </c>
      <c r="D97" s="13">
        <v>937.84</v>
      </c>
      <c r="E97" s="14">
        <v>3712.05</v>
      </c>
      <c r="F97" s="14">
        <v>18255.75</v>
      </c>
    </row>
    <row r="98" spans="1:6">
      <c r="A98" s="12">
        <v>44578</v>
      </c>
      <c r="B98" s="13">
        <v>900.8</v>
      </c>
      <c r="C98" s="14">
        <v>1125.5999999999999</v>
      </c>
      <c r="D98" s="13">
        <v>934.48</v>
      </c>
      <c r="E98" s="14">
        <v>3665.15</v>
      </c>
      <c r="F98" s="14">
        <v>18308.099999999999</v>
      </c>
    </row>
    <row r="99" spans="1:6">
      <c r="A99" s="12">
        <v>44579</v>
      </c>
      <c r="B99" s="13">
        <v>892.15</v>
      </c>
      <c r="C99" s="14">
        <v>1082.04</v>
      </c>
      <c r="D99" s="13">
        <v>938.71</v>
      </c>
      <c r="E99" s="14">
        <v>3621.9</v>
      </c>
      <c r="F99" s="14">
        <v>18113.05</v>
      </c>
    </row>
    <row r="100" spans="1:6">
      <c r="A100" s="12">
        <v>44580</v>
      </c>
      <c r="B100" s="13">
        <v>894.4</v>
      </c>
      <c r="C100" s="14">
        <v>1081.6500000000001</v>
      </c>
      <c r="D100" s="13">
        <v>936.99</v>
      </c>
      <c r="E100" s="14">
        <v>3575.65</v>
      </c>
      <c r="F100" s="14">
        <v>17938.400000000001</v>
      </c>
    </row>
    <row r="101" spans="1:6">
      <c r="A101" s="12">
        <v>44581</v>
      </c>
      <c r="B101" s="13">
        <v>880.5</v>
      </c>
      <c r="C101" s="14">
        <v>1062.17</v>
      </c>
      <c r="D101" s="13">
        <v>918.31</v>
      </c>
      <c r="E101" s="14">
        <v>3605.15</v>
      </c>
      <c r="F101" s="14">
        <v>17757</v>
      </c>
    </row>
    <row r="102" spans="1:6">
      <c r="A102" s="12">
        <v>44582</v>
      </c>
      <c r="B102" s="13">
        <v>875.2</v>
      </c>
      <c r="C102" s="14">
        <v>1040.07</v>
      </c>
      <c r="D102" s="13">
        <v>899.23</v>
      </c>
      <c r="E102" s="14">
        <v>3618.3</v>
      </c>
      <c r="F102" s="14">
        <v>17617.150000000001</v>
      </c>
    </row>
    <row r="103" spans="1:6">
      <c r="A103" s="12">
        <v>44585</v>
      </c>
      <c r="B103" s="13">
        <v>854.7</v>
      </c>
      <c r="C103" s="13">
        <v>964.99</v>
      </c>
      <c r="D103" s="13">
        <v>872.87</v>
      </c>
      <c r="E103" s="14">
        <v>3523.85</v>
      </c>
      <c r="F103" s="14">
        <v>17149.099999999999</v>
      </c>
    </row>
    <row r="104" spans="1:6">
      <c r="A104" s="12">
        <v>44586</v>
      </c>
      <c r="B104" s="13">
        <v>854.5</v>
      </c>
      <c r="C104" s="13">
        <v>956.33</v>
      </c>
      <c r="D104" s="13">
        <v>880.57</v>
      </c>
      <c r="E104" s="14">
        <v>3539.3</v>
      </c>
      <c r="F104" s="14">
        <v>17277.95</v>
      </c>
    </row>
    <row r="105" spans="1:6">
      <c r="A105" s="12">
        <v>44588</v>
      </c>
      <c r="B105" s="13">
        <v>858.05</v>
      </c>
      <c r="C105" s="13">
        <v>880.16</v>
      </c>
      <c r="D105" s="13">
        <v>851.27</v>
      </c>
      <c r="E105" s="14">
        <v>3494.15</v>
      </c>
      <c r="F105" s="14">
        <v>17110.150000000001</v>
      </c>
    </row>
    <row r="106" spans="1:6">
      <c r="A106" s="12">
        <v>44589</v>
      </c>
      <c r="B106" s="13">
        <v>869.65</v>
      </c>
      <c r="C106" s="13">
        <v>942.65</v>
      </c>
      <c r="D106" s="13">
        <v>843.72</v>
      </c>
      <c r="E106" s="14">
        <v>3509.65</v>
      </c>
      <c r="F106" s="14">
        <v>17101.95</v>
      </c>
    </row>
    <row r="107" spans="1:6">
      <c r="A107" s="12">
        <v>44592</v>
      </c>
      <c r="B107" s="13">
        <v>885.8</v>
      </c>
      <c r="C107" s="13">
        <v>962.7</v>
      </c>
      <c r="D107" s="13">
        <v>860.56</v>
      </c>
      <c r="E107" s="14">
        <v>3535.3</v>
      </c>
      <c r="F107" s="14">
        <v>17339.849999999999</v>
      </c>
    </row>
    <row r="108" spans="1:6">
      <c r="A108" s="12">
        <v>44593</v>
      </c>
      <c r="B108" s="13">
        <v>869.7</v>
      </c>
      <c r="C108" s="13">
        <v>958.18</v>
      </c>
      <c r="D108" s="13">
        <v>861.89</v>
      </c>
      <c r="E108" s="14">
        <v>3656.6</v>
      </c>
      <c r="F108" s="14">
        <v>17576.849999999999</v>
      </c>
    </row>
    <row r="109" spans="1:6">
      <c r="A109" s="12">
        <v>44594</v>
      </c>
      <c r="B109" s="13">
        <v>869.35</v>
      </c>
      <c r="C109" s="13">
        <v>964.56</v>
      </c>
      <c r="D109" s="13">
        <v>883.07</v>
      </c>
      <c r="E109" s="14">
        <v>3621.05</v>
      </c>
      <c r="F109" s="14">
        <v>17780</v>
      </c>
    </row>
    <row r="110" spans="1:6">
      <c r="A110" s="12">
        <v>44595</v>
      </c>
      <c r="B110" s="13">
        <v>856.2</v>
      </c>
      <c r="C110" s="13">
        <v>935.7</v>
      </c>
      <c r="D110" s="13">
        <v>874.93</v>
      </c>
      <c r="E110" s="14">
        <v>3562.4</v>
      </c>
      <c r="F110" s="14">
        <v>17560.2</v>
      </c>
    </row>
    <row r="111" spans="1:6">
      <c r="A111" s="12">
        <v>44596</v>
      </c>
      <c r="B111" s="13">
        <v>841.7</v>
      </c>
      <c r="C111" s="13">
        <v>939.02</v>
      </c>
      <c r="D111" s="13">
        <v>870.39</v>
      </c>
      <c r="E111" s="14">
        <v>3562</v>
      </c>
      <c r="F111" s="14">
        <v>17516.3</v>
      </c>
    </row>
    <row r="112" spans="1:6">
      <c r="A112" s="12">
        <v>44599</v>
      </c>
      <c r="B112" s="13">
        <v>829.5</v>
      </c>
      <c r="C112" s="13">
        <v>931.77</v>
      </c>
      <c r="D112" s="13">
        <v>861.84</v>
      </c>
      <c r="E112" s="14">
        <v>3448.6</v>
      </c>
      <c r="F112" s="14">
        <v>17213.599999999999</v>
      </c>
    </row>
    <row r="113" spans="1:6">
      <c r="A113" s="12">
        <v>44600</v>
      </c>
      <c r="B113" s="13">
        <v>832.05</v>
      </c>
      <c r="C113" s="13">
        <v>916.28</v>
      </c>
      <c r="D113" s="13">
        <v>864.39</v>
      </c>
      <c r="E113" s="14">
        <v>3473.45</v>
      </c>
      <c r="F113" s="14">
        <v>17266.75</v>
      </c>
    </row>
    <row r="114" spans="1:6">
      <c r="A114" s="12">
        <v>44601</v>
      </c>
      <c r="B114" s="13">
        <v>840.2</v>
      </c>
      <c r="C114" s="13">
        <v>952.76</v>
      </c>
      <c r="D114" s="13">
        <v>873.75</v>
      </c>
      <c r="E114" s="14">
        <v>3517.35</v>
      </c>
      <c r="F114" s="14">
        <v>17463.8</v>
      </c>
    </row>
    <row r="115" spans="1:6">
      <c r="A115" s="12">
        <v>44602</v>
      </c>
      <c r="B115" s="13">
        <v>853.05</v>
      </c>
      <c r="C115" s="13">
        <v>945.91</v>
      </c>
      <c r="D115" s="13">
        <v>874.14</v>
      </c>
      <c r="E115" s="14">
        <v>3534.55</v>
      </c>
      <c r="F115" s="14">
        <v>17605.849999999999</v>
      </c>
    </row>
    <row r="116" spans="1:6">
      <c r="A116" s="12">
        <v>44603</v>
      </c>
      <c r="B116" s="13">
        <v>853.65</v>
      </c>
      <c r="C116" s="13">
        <v>908.32</v>
      </c>
      <c r="D116" s="13">
        <v>865.08</v>
      </c>
      <c r="E116" s="14">
        <v>3480.55</v>
      </c>
      <c r="F116" s="14">
        <v>17374.75</v>
      </c>
    </row>
    <row r="117" spans="1:6">
      <c r="A117" s="12">
        <v>44606</v>
      </c>
      <c r="B117" s="13">
        <v>825.05</v>
      </c>
      <c r="C117" s="13">
        <v>871.05</v>
      </c>
      <c r="D117" s="13">
        <v>840.92</v>
      </c>
      <c r="E117" s="14">
        <v>3398</v>
      </c>
      <c r="F117" s="14">
        <v>16842.8</v>
      </c>
    </row>
    <row r="118" spans="1:6">
      <c r="A118" s="12">
        <v>44607</v>
      </c>
      <c r="B118" s="13">
        <v>854.6</v>
      </c>
      <c r="C118" s="13">
        <v>900.88</v>
      </c>
      <c r="D118" s="13">
        <v>855.51</v>
      </c>
      <c r="E118" s="14">
        <v>3477.9</v>
      </c>
      <c r="F118" s="14">
        <v>17352.45</v>
      </c>
    </row>
    <row r="119" spans="1:6">
      <c r="A119" s="12">
        <v>44608</v>
      </c>
      <c r="B119" s="13">
        <v>864.25</v>
      </c>
      <c r="C119" s="13">
        <v>892.38</v>
      </c>
      <c r="D119" s="13">
        <v>863.29</v>
      </c>
      <c r="E119" s="14">
        <v>3462</v>
      </c>
      <c r="F119" s="14">
        <v>17322.2</v>
      </c>
    </row>
    <row r="120" spans="1:6">
      <c r="A120" s="12">
        <v>44609</v>
      </c>
      <c r="B120" s="13">
        <v>862.25</v>
      </c>
      <c r="C120" s="13">
        <v>877.72</v>
      </c>
      <c r="D120" s="13">
        <v>860.2</v>
      </c>
      <c r="E120" s="14">
        <v>3464.1</v>
      </c>
      <c r="F120" s="14">
        <v>17304.599999999999</v>
      </c>
    </row>
    <row r="121" spans="1:6">
      <c r="A121" s="12">
        <v>44610</v>
      </c>
      <c r="B121" s="13">
        <v>852</v>
      </c>
      <c r="C121" s="13">
        <v>864.09</v>
      </c>
      <c r="D121" s="13">
        <v>864.23</v>
      </c>
      <c r="E121" s="14">
        <v>3481.65</v>
      </c>
      <c r="F121" s="14">
        <v>17276.3</v>
      </c>
    </row>
    <row r="122" spans="1:6">
      <c r="A122" s="12">
        <v>44613</v>
      </c>
      <c r="B122" s="13">
        <v>841.1</v>
      </c>
      <c r="C122" s="13">
        <v>882.58</v>
      </c>
      <c r="D122" s="13">
        <v>859.65</v>
      </c>
      <c r="E122" s="14">
        <v>3475.25</v>
      </c>
      <c r="F122" s="14">
        <v>17206.650000000001</v>
      </c>
    </row>
    <row r="123" spans="1:6">
      <c r="A123" s="12">
        <v>44614</v>
      </c>
      <c r="B123" s="13">
        <v>853.25</v>
      </c>
      <c r="C123" s="13">
        <v>883.62</v>
      </c>
      <c r="D123" s="13">
        <v>843.7</v>
      </c>
      <c r="E123" s="14">
        <v>3489.75</v>
      </c>
      <c r="F123" s="14">
        <v>17092.2</v>
      </c>
    </row>
    <row r="124" spans="1:6">
      <c r="A124" s="12">
        <v>44615</v>
      </c>
      <c r="B124" s="13">
        <v>850.3</v>
      </c>
      <c r="C124" s="13">
        <v>887.33</v>
      </c>
      <c r="D124" s="13">
        <v>840.19</v>
      </c>
      <c r="E124" s="14">
        <v>3511.15</v>
      </c>
      <c r="F124" s="14">
        <v>17063.25</v>
      </c>
    </row>
    <row r="125" spans="1:6">
      <c r="A125" s="12">
        <v>44616</v>
      </c>
      <c r="B125" s="13">
        <v>795.8</v>
      </c>
      <c r="C125" s="13">
        <v>845.21</v>
      </c>
      <c r="D125" s="13">
        <v>818.5</v>
      </c>
      <c r="E125" s="14">
        <v>3446</v>
      </c>
      <c r="F125" s="14">
        <v>16247.95</v>
      </c>
    </row>
    <row r="126" spans="1:6">
      <c r="A126" s="12">
        <v>44617</v>
      </c>
      <c r="B126" s="13">
        <v>807.6</v>
      </c>
      <c r="C126" s="13">
        <v>900.38</v>
      </c>
      <c r="D126" s="13">
        <v>835.32</v>
      </c>
      <c r="E126" s="14">
        <v>3422.75</v>
      </c>
      <c r="F126" s="14">
        <v>16658.400000000001</v>
      </c>
    </row>
    <row r="127" spans="1:6">
      <c r="A127" s="12">
        <v>44620</v>
      </c>
      <c r="B127" s="13">
        <v>790.85</v>
      </c>
      <c r="C127" s="13">
        <v>907.1</v>
      </c>
      <c r="D127" s="13">
        <v>812.68</v>
      </c>
      <c r="E127" s="14">
        <v>3427.45</v>
      </c>
      <c r="F127" s="14">
        <v>16793.900000000001</v>
      </c>
    </row>
    <row r="128" spans="1:6">
      <c r="A128" s="12">
        <v>44622</v>
      </c>
      <c r="B128" s="13">
        <v>778.35</v>
      </c>
      <c r="C128" s="13">
        <v>898.49</v>
      </c>
      <c r="D128" s="13">
        <v>770.63</v>
      </c>
      <c r="E128" s="14">
        <v>3391.75</v>
      </c>
      <c r="F128" s="14">
        <v>16605.95</v>
      </c>
    </row>
    <row r="129" spans="1:6">
      <c r="A129" s="12">
        <v>44623</v>
      </c>
      <c r="B129" s="13">
        <v>762.05</v>
      </c>
      <c r="C129" s="13">
        <v>935.68</v>
      </c>
      <c r="D129" s="13">
        <v>743.77</v>
      </c>
      <c r="E129" s="14">
        <v>3366.4</v>
      </c>
      <c r="F129" s="14">
        <v>16498.05</v>
      </c>
    </row>
    <row r="130" spans="1:6">
      <c r="A130" s="12">
        <v>44624</v>
      </c>
      <c r="B130" s="13">
        <v>732.3</v>
      </c>
      <c r="C130" s="13">
        <v>932.49</v>
      </c>
      <c r="D130" s="13">
        <v>765.73</v>
      </c>
      <c r="E130" s="14">
        <v>3371.35</v>
      </c>
      <c r="F130" s="14">
        <v>16245.35</v>
      </c>
    </row>
    <row r="131" spans="1:6">
      <c r="A131" s="12">
        <v>44627</v>
      </c>
      <c r="B131" s="13">
        <v>690.55</v>
      </c>
      <c r="C131" s="13">
        <v>944.48</v>
      </c>
      <c r="D131" s="13">
        <v>753.88</v>
      </c>
      <c r="E131" s="14">
        <v>3153.45</v>
      </c>
      <c r="F131" s="14">
        <v>15863.15</v>
      </c>
    </row>
    <row r="132" spans="1:6">
      <c r="A132" s="12">
        <v>44628</v>
      </c>
      <c r="B132" s="13">
        <v>700.65</v>
      </c>
      <c r="C132" s="13">
        <v>962.57</v>
      </c>
      <c r="D132" s="13">
        <v>773.71</v>
      </c>
      <c r="E132" s="14">
        <v>3113.75</v>
      </c>
      <c r="F132" s="14">
        <v>16013.45</v>
      </c>
    </row>
    <row r="133" spans="1:6">
      <c r="A133" s="12">
        <v>44629</v>
      </c>
      <c r="B133" s="13">
        <v>734.85</v>
      </c>
      <c r="C133" s="13">
        <v>911.22</v>
      </c>
      <c r="D133" s="13">
        <v>786.09</v>
      </c>
      <c r="E133" s="14">
        <v>3123.85</v>
      </c>
      <c r="F133" s="14">
        <v>16345.35</v>
      </c>
    </row>
    <row r="134" spans="1:6">
      <c r="A134" s="12">
        <v>44630</v>
      </c>
      <c r="B134" s="13">
        <v>738.85</v>
      </c>
      <c r="C134" s="13">
        <v>852</v>
      </c>
      <c r="D134" s="13">
        <v>778.5</v>
      </c>
      <c r="E134" s="14">
        <v>3222.95</v>
      </c>
      <c r="F134" s="14">
        <v>16594.900000000001</v>
      </c>
    </row>
    <row r="135" spans="1:6">
      <c r="A135" s="12">
        <v>44631</v>
      </c>
      <c r="B135" s="13">
        <v>734.8</v>
      </c>
      <c r="C135" s="13">
        <v>859.66</v>
      </c>
      <c r="D135" s="13">
        <v>795.12</v>
      </c>
      <c r="E135" s="14">
        <v>3199.9</v>
      </c>
      <c r="F135" s="14">
        <v>16630.45</v>
      </c>
    </row>
    <row r="136" spans="1:6">
      <c r="A136" s="12">
        <v>44634</v>
      </c>
      <c r="B136" s="13">
        <v>743.2</v>
      </c>
      <c r="C136" s="13">
        <v>875.04</v>
      </c>
      <c r="D136" s="13">
        <v>791.46</v>
      </c>
      <c r="E136" s="14">
        <v>3185.85</v>
      </c>
      <c r="F136" s="14">
        <v>16871.3</v>
      </c>
    </row>
    <row r="137" spans="1:6">
      <c r="A137" s="12">
        <v>44635</v>
      </c>
      <c r="B137" s="13">
        <v>761.2</v>
      </c>
      <c r="C137" s="13">
        <v>830.32</v>
      </c>
      <c r="D137" s="13">
        <v>779.97</v>
      </c>
      <c r="E137" s="14">
        <v>3222.85</v>
      </c>
      <c r="F137" s="14">
        <v>16663</v>
      </c>
    </row>
    <row r="138" spans="1:6">
      <c r="A138" s="12">
        <v>44636</v>
      </c>
      <c r="B138" s="13">
        <v>773.65</v>
      </c>
      <c r="C138" s="13">
        <v>870.09</v>
      </c>
      <c r="D138" s="13">
        <v>788.76</v>
      </c>
      <c r="E138" s="14">
        <v>3313.65</v>
      </c>
      <c r="F138" s="14">
        <v>16975.349999999999</v>
      </c>
    </row>
    <row r="139" spans="1:6">
      <c r="A139" s="12">
        <v>44637</v>
      </c>
      <c r="B139" s="13">
        <v>794.4</v>
      </c>
      <c r="C139" s="13">
        <v>882.21</v>
      </c>
      <c r="D139" s="13">
        <v>808.43</v>
      </c>
      <c r="E139" s="14">
        <v>3355.95</v>
      </c>
      <c r="F139" s="14">
        <v>17287.05</v>
      </c>
    </row>
    <row r="140" spans="1:6">
      <c r="A140" s="12">
        <v>44641</v>
      </c>
      <c r="B140" s="13">
        <v>783.5</v>
      </c>
      <c r="C140" s="13">
        <v>886.78</v>
      </c>
      <c r="D140" s="13">
        <v>800.99</v>
      </c>
      <c r="E140" s="14">
        <v>3237.55</v>
      </c>
      <c r="F140" s="14">
        <v>17117.599999999999</v>
      </c>
    </row>
    <row r="141" spans="1:6">
      <c r="A141" s="12">
        <v>44642</v>
      </c>
      <c r="B141" s="13">
        <v>785.6</v>
      </c>
      <c r="C141" s="13">
        <v>891.54</v>
      </c>
      <c r="D141" s="13">
        <v>806.07</v>
      </c>
      <c r="E141" s="14">
        <v>3158.4</v>
      </c>
      <c r="F141" s="14">
        <v>17315.5</v>
      </c>
    </row>
    <row r="142" spans="1:6">
      <c r="A142" s="12">
        <v>44643</v>
      </c>
      <c r="B142" s="13">
        <v>774.1</v>
      </c>
      <c r="C142" s="13">
        <v>887.09</v>
      </c>
      <c r="D142" s="13">
        <v>825.46</v>
      </c>
      <c r="E142" s="14">
        <v>3102.25</v>
      </c>
      <c r="F142" s="14">
        <v>17245.650000000001</v>
      </c>
    </row>
    <row r="143" spans="1:6">
      <c r="A143" s="12">
        <v>44644</v>
      </c>
      <c r="B143" s="13">
        <v>765.65</v>
      </c>
      <c r="C143" s="13">
        <v>895.79</v>
      </c>
      <c r="D143" s="13">
        <v>865.7</v>
      </c>
      <c r="E143" s="14">
        <v>3103.85</v>
      </c>
      <c r="F143" s="14">
        <v>17222.75</v>
      </c>
    </row>
    <row r="144" spans="1:6">
      <c r="A144" s="12">
        <v>44645</v>
      </c>
      <c r="B144" s="13">
        <v>764.75</v>
      </c>
      <c r="C144" s="13">
        <v>884.61</v>
      </c>
      <c r="D144" s="13">
        <v>872.29</v>
      </c>
      <c r="E144" s="14">
        <v>3094.5</v>
      </c>
      <c r="F144" s="14">
        <v>17153</v>
      </c>
    </row>
    <row r="145" spans="1:6">
      <c r="A145" s="12">
        <v>44648</v>
      </c>
      <c r="B145" s="13">
        <v>769.25</v>
      </c>
      <c r="C145" s="13">
        <v>867.53</v>
      </c>
      <c r="D145" s="13">
        <v>857.09</v>
      </c>
      <c r="E145" s="14">
        <v>3094.8</v>
      </c>
      <c r="F145" s="14">
        <v>17222</v>
      </c>
    </row>
    <row r="146" spans="1:6">
      <c r="A146" s="12">
        <v>44649</v>
      </c>
      <c r="B146" s="13">
        <v>773.35</v>
      </c>
      <c r="C146" s="13">
        <v>881.59</v>
      </c>
      <c r="D146" s="13">
        <v>864.71</v>
      </c>
      <c r="E146" s="14">
        <v>3103.8</v>
      </c>
      <c r="F146" s="14">
        <v>17325.3</v>
      </c>
    </row>
    <row r="147" spans="1:6">
      <c r="A147" s="12">
        <v>44650</v>
      </c>
      <c r="B147" s="13">
        <v>793.35</v>
      </c>
      <c r="C147" s="13">
        <v>904.39</v>
      </c>
      <c r="D147" s="13">
        <v>870.88</v>
      </c>
      <c r="E147" s="14">
        <v>3148.4</v>
      </c>
      <c r="F147" s="14">
        <v>17498.25</v>
      </c>
    </row>
    <row r="148" spans="1:6">
      <c r="A148" s="12">
        <v>44651</v>
      </c>
      <c r="B148" s="13">
        <v>806.55</v>
      </c>
      <c r="C148" s="13">
        <v>891.5</v>
      </c>
      <c r="D148" s="13">
        <v>859.09</v>
      </c>
      <c r="E148" s="14">
        <v>3206.4</v>
      </c>
      <c r="F148" s="14">
        <v>17464.75</v>
      </c>
    </row>
    <row r="149" spans="1:6">
      <c r="A149" s="12">
        <v>44652</v>
      </c>
      <c r="B149" s="13">
        <v>826.55</v>
      </c>
      <c r="C149" s="13">
        <v>882.97</v>
      </c>
      <c r="D149" s="13">
        <v>855.89</v>
      </c>
      <c r="E149" s="14">
        <v>3230.65</v>
      </c>
      <c r="F149" s="14">
        <v>17670.45</v>
      </c>
    </row>
    <row r="150" spans="1:6">
      <c r="A150" s="12">
        <v>44655</v>
      </c>
      <c r="B150" s="13">
        <v>833.7</v>
      </c>
      <c r="C150" s="13">
        <v>902.32</v>
      </c>
      <c r="D150" s="13">
        <v>863.43</v>
      </c>
      <c r="E150" s="14">
        <v>3270</v>
      </c>
      <c r="F150" s="14">
        <v>18053.400000000001</v>
      </c>
    </row>
    <row r="151" spans="1:6">
      <c r="A151" s="12">
        <v>44656</v>
      </c>
      <c r="B151" s="13">
        <v>836.55</v>
      </c>
      <c r="C151" s="13">
        <v>911.52</v>
      </c>
      <c r="D151" s="13">
        <v>865.98</v>
      </c>
      <c r="E151" s="14">
        <v>3303.4</v>
      </c>
      <c r="F151" s="14">
        <v>17957.400000000001</v>
      </c>
    </row>
    <row r="152" spans="1:6">
      <c r="A152" s="12">
        <v>44657</v>
      </c>
      <c r="B152" s="13">
        <v>827.85</v>
      </c>
      <c r="C152" s="13">
        <v>892.85</v>
      </c>
      <c r="D152" s="13">
        <v>855.35</v>
      </c>
      <c r="E152" s="14">
        <v>3282.5</v>
      </c>
      <c r="F152" s="14">
        <v>17807.650000000001</v>
      </c>
    </row>
    <row r="153" spans="1:6">
      <c r="A153" s="12">
        <v>44658</v>
      </c>
      <c r="B153" s="13">
        <v>834.3</v>
      </c>
      <c r="C153" s="13">
        <v>877.83</v>
      </c>
      <c r="D153" s="13">
        <v>863.48</v>
      </c>
      <c r="E153" s="14">
        <v>3294.1</v>
      </c>
      <c r="F153" s="14">
        <v>17639.55</v>
      </c>
    </row>
    <row r="154" spans="1:6">
      <c r="A154" s="12">
        <v>44659</v>
      </c>
      <c r="B154" s="13">
        <v>857.4</v>
      </c>
      <c r="C154" s="13">
        <v>874.63</v>
      </c>
      <c r="D154" s="13">
        <v>886.07</v>
      </c>
      <c r="E154" s="14">
        <v>3347.9</v>
      </c>
      <c r="F154" s="14">
        <v>17784.349999999999</v>
      </c>
    </row>
    <row r="155" spans="1:6">
      <c r="A155" s="12">
        <v>44662</v>
      </c>
      <c r="B155" s="13">
        <v>856.85</v>
      </c>
      <c r="C155" s="13">
        <v>862.46</v>
      </c>
      <c r="D155" s="13">
        <v>876.1</v>
      </c>
      <c r="E155" s="14">
        <v>3350.65</v>
      </c>
      <c r="F155" s="14">
        <v>17674.95</v>
      </c>
    </row>
    <row r="156" spans="1:6">
      <c r="A156" s="12">
        <v>44663</v>
      </c>
      <c r="B156" s="13">
        <v>860.8</v>
      </c>
      <c r="C156" s="13">
        <v>829.42</v>
      </c>
      <c r="D156" s="13">
        <v>874.47</v>
      </c>
      <c r="E156" s="14">
        <v>3344.1</v>
      </c>
      <c r="F156" s="14">
        <v>17530.3</v>
      </c>
    </row>
    <row r="157" spans="1:6">
      <c r="A157" s="12">
        <v>44664</v>
      </c>
      <c r="B157" s="13">
        <v>866.1</v>
      </c>
      <c r="C157" s="13">
        <v>832.16</v>
      </c>
      <c r="D157" s="13">
        <v>859.84</v>
      </c>
      <c r="E157" s="14">
        <v>3349.65</v>
      </c>
      <c r="F157" s="14">
        <v>17475.650000000001</v>
      </c>
    </row>
    <row r="158" spans="1:6">
      <c r="A158" s="12">
        <v>44669</v>
      </c>
      <c r="B158" s="13">
        <v>874.1</v>
      </c>
      <c r="C158" s="13">
        <v>814.35</v>
      </c>
      <c r="D158" s="13">
        <v>856.99</v>
      </c>
      <c r="E158" s="14">
        <v>3343.9</v>
      </c>
      <c r="F158" s="14">
        <v>17173.650000000001</v>
      </c>
    </row>
    <row r="159" spans="1:6">
      <c r="A159" s="12">
        <v>44670</v>
      </c>
      <c r="B159" s="13">
        <v>872.5</v>
      </c>
      <c r="C159" s="13">
        <v>805.46</v>
      </c>
      <c r="D159" s="13">
        <v>841.94</v>
      </c>
      <c r="E159" s="14">
        <v>3267.9</v>
      </c>
      <c r="F159" s="14">
        <v>16958.650000000001</v>
      </c>
    </row>
    <row r="160" spans="1:6">
      <c r="A160" s="12">
        <v>44671</v>
      </c>
      <c r="B160" s="13">
        <v>881.25</v>
      </c>
      <c r="C160" s="13">
        <v>796.34</v>
      </c>
      <c r="D160" s="13">
        <v>858.68</v>
      </c>
      <c r="E160" s="14">
        <v>3304.2</v>
      </c>
      <c r="F160" s="14">
        <v>17136.55</v>
      </c>
    </row>
    <row r="161" spans="1:6">
      <c r="A161" s="12">
        <v>44672</v>
      </c>
      <c r="B161" s="13">
        <v>911</v>
      </c>
      <c r="C161" s="13">
        <v>818.61</v>
      </c>
      <c r="D161" s="13">
        <v>864.06</v>
      </c>
      <c r="E161" s="14">
        <v>3359.9</v>
      </c>
      <c r="F161" s="14">
        <v>17392.599999999999</v>
      </c>
    </row>
    <row r="162" spans="1:6">
      <c r="A162" s="12">
        <v>44673</v>
      </c>
      <c r="B162" s="13">
        <v>920.65</v>
      </c>
      <c r="C162" s="13">
        <v>825.85</v>
      </c>
      <c r="D162" s="13">
        <v>838.55</v>
      </c>
      <c r="E162" s="14">
        <v>3364.1</v>
      </c>
      <c r="F162" s="14">
        <v>17171.95</v>
      </c>
    </row>
    <row r="163" spans="1:6">
      <c r="A163" s="12">
        <v>44676</v>
      </c>
      <c r="B163" s="13">
        <v>904</v>
      </c>
      <c r="C163" s="13">
        <v>800.29</v>
      </c>
      <c r="D163" s="13">
        <v>823.09</v>
      </c>
      <c r="E163" s="14">
        <v>3295.9</v>
      </c>
      <c r="F163" s="14">
        <v>16953.95</v>
      </c>
    </row>
    <row r="164" spans="1:6">
      <c r="A164" s="12">
        <v>44677</v>
      </c>
      <c r="B164" s="13">
        <v>940.15</v>
      </c>
      <c r="C164" s="13">
        <v>808.57</v>
      </c>
      <c r="D164" s="13">
        <v>830.91</v>
      </c>
      <c r="E164" s="14">
        <v>3372.7</v>
      </c>
      <c r="F164" s="14">
        <v>17200.8</v>
      </c>
    </row>
    <row r="165" spans="1:6">
      <c r="A165" s="12">
        <v>44678</v>
      </c>
      <c r="B165" s="13">
        <v>926.85</v>
      </c>
      <c r="C165" s="13">
        <v>806.59</v>
      </c>
      <c r="D165" s="13">
        <v>815.41</v>
      </c>
      <c r="E165" s="14">
        <v>3338.25</v>
      </c>
      <c r="F165" s="14">
        <v>17038.400000000001</v>
      </c>
    </row>
    <row r="166" spans="1:6">
      <c r="A166" s="12">
        <v>44679</v>
      </c>
      <c r="B166" s="13">
        <v>922.9</v>
      </c>
      <c r="C166" s="13">
        <v>820.23</v>
      </c>
      <c r="D166" s="13">
        <v>824.43</v>
      </c>
      <c r="E166" s="14">
        <v>3357.9</v>
      </c>
      <c r="F166" s="14">
        <v>17245.05</v>
      </c>
    </row>
    <row r="167" spans="1:6">
      <c r="A167" s="12">
        <v>44680</v>
      </c>
      <c r="B167" s="13">
        <v>922.1</v>
      </c>
      <c r="C167" s="13">
        <v>840.04</v>
      </c>
      <c r="D167" s="13">
        <v>826.39</v>
      </c>
      <c r="E167" s="14">
        <v>3279.25</v>
      </c>
      <c r="F167" s="14">
        <v>17102.55</v>
      </c>
    </row>
    <row r="168" spans="1:6">
      <c r="A168" s="12">
        <v>44683</v>
      </c>
      <c r="B168" s="13">
        <v>921.35</v>
      </c>
      <c r="C168" s="13">
        <v>823.31</v>
      </c>
      <c r="D168" s="13">
        <v>824.78</v>
      </c>
      <c r="E168" s="14">
        <v>3271.3</v>
      </c>
      <c r="F168" s="14">
        <v>17069.099999999999</v>
      </c>
    </row>
    <row r="169" spans="1:6">
      <c r="A169" s="12">
        <v>44685</v>
      </c>
      <c r="B169" s="13">
        <v>896.1</v>
      </c>
      <c r="C169" s="13">
        <v>811.69</v>
      </c>
      <c r="D169" s="13">
        <v>798.47</v>
      </c>
      <c r="E169" s="14">
        <v>3385.45</v>
      </c>
      <c r="F169" s="14">
        <v>16677.599999999999</v>
      </c>
    </row>
    <row r="170" spans="1:6">
      <c r="A170" s="12">
        <v>44686</v>
      </c>
      <c r="B170" s="13">
        <v>899.05</v>
      </c>
      <c r="C170" s="13">
        <v>834.32</v>
      </c>
      <c r="D170" s="13">
        <v>792.76</v>
      </c>
      <c r="E170" s="14">
        <v>3277</v>
      </c>
      <c r="F170" s="14">
        <v>16682.650000000001</v>
      </c>
    </row>
    <row r="171" spans="1:6">
      <c r="A171" s="12">
        <v>44687</v>
      </c>
      <c r="B171" s="13">
        <v>893.85</v>
      </c>
      <c r="C171" s="13">
        <v>781.08</v>
      </c>
      <c r="D171" s="13">
        <v>786.13</v>
      </c>
      <c r="E171" s="14">
        <v>3307.8</v>
      </c>
      <c r="F171" s="14">
        <v>16411.25</v>
      </c>
    </row>
    <row r="172" spans="1:6">
      <c r="A172" s="12">
        <v>44690</v>
      </c>
      <c r="B172" s="13">
        <v>895.3</v>
      </c>
      <c r="C172" s="13">
        <v>771.51</v>
      </c>
      <c r="D172" s="13">
        <v>781.16</v>
      </c>
      <c r="E172" s="14">
        <v>3252.05</v>
      </c>
      <c r="F172" s="14">
        <v>16301.85</v>
      </c>
    </row>
    <row r="173" spans="1:6">
      <c r="A173" s="12">
        <v>44691</v>
      </c>
      <c r="B173" s="13">
        <v>888.35</v>
      </c>
      <c r="C173" s="13">
        <v>729.86</v>
      </c>
      <c r="D173" s="13">
        <v>782.8</v>
      </c>
      <c r="E173" s="14">
        <v>3246.55</v>
      </c>
      <c r="F173" s="14">
        <v>16240.05</v>
      </c>
    </row>
    <row r="174" spans="1:6">
      <c r="A174" s="12">
        <v>44692</v>
      </c>
      <c r="B174" s="13">
        <v>887.05</v>
      </c>
      <c r="C174" s="13">
        <v>744.32</v>
      </c>
      <c r="D174" s="13">
        <v>776.81</v>
      </c>
      <c r="E174" s="14">
        <v>3259.85</v>
      </c>
      <c r="F174" s="14">
        <v>16167.1</v>
      </c>
    </row>
    <row r="175" spans="1:6">
      <c r="A175" s="12">
        <v>44693</v>
      </c>
      <c r="B175" s="13">
        <v>865.25</v>
      </c>
      <c r="C175" s="13">
        <v>730.78</v>
      </c>
      <c r="D175" s="13">
        <v>776</v>
      </c>
      <c r="E175" s="14">
        <v>3216.85</v>
      </c>
      <c r="F175" s="14">
        <v>15808</v>
      </c>
    </row>
    <row r="176" spans="1:6">
      <c r="A176" s="12">
        <v>44694</v>
      </c>
      <c r="B176" s="13">
        <v>889.5</v>
      </c>
      <c r="C176" s="13">
        <v>748.65</v>
      </c>
      <c r="D176" s="13">
        <v>784.86</v>
      </c>
      <c r="E176" s="14">
        <v>3278.5</v>
      </c>
      <c r="F176" s="14">
        <v>15782.15</v>
      </c>
    </row>
    <row r="177" spans="1:6">
      <c r="A177" s="12">
        <v>44697</v>
      </c>
      <c r="B177" s="13">
        <v>903.35</v>
      </c>
      <c r="C177" s="13">
        <v>759.14</v>
      </c>
      <c r="D177" s="13">
        <v>777.68</v>
      </c>
      <c r="E177" s="14">
        <v>3284.9</v>
      </c>
      <c r="F177" s="14">
        <v>15842.3</v>
      </c>
    </row>
    <row r="178" spans="1:6">
      <c r="A178" s="12">
        <v>44698</v>
      </c>
      <c r="B178" s="13">
        <v>910.8</v>
      </c>
      <c r="C178" s="13">
        <v>788.13</v>
      </c>
      <c r="D178" s="13">
        <v>780.8</v>
      </c>
      <c r="E178" s="14">
        <v>3368.85</v>
      </c>
      <c r="F178" s="14">
        <v>16259.3</v>
      </c>
    </row>
    <row r="179" spans="1:6">
      <c r="A179" s="12">
        <v>44699</v>
      </c>
      <c r="B179" s="13">
        <v>913.3</v>
      </c>
      <c r="C179" s="13">
        <v>790.07</v>
      </c>
      <c r="D179" s="13">
        <v>781.16</v>
      </c>
      <c r="E179" s="14">
        <v>3394.35</v>
      </c>
      <c r="F179" s="14">
        <v>16240.3</v>
      </c>
    </row>
    <row r="180" spans="1:6">
      <c r="A180" s="12">
        <v>44700</v>
      </c>
      <c r="B180" s="13">
        <v>882.55</v>
      </c>
      <c r="C180" s="13">
        <v>732.96</v>
      </c>
      <c r="D180" s="13">
        <v>785.89</v>
      </c>
      <c r="E180" s="14">
        <v>3332.05</v>
      </c>
      <c r="F180" s="14">
        <v>15809.4</v>
      </c>
    </row>
    <row r="181" spans="1:6">
      <c r="A181" s="12">
        <v>44701</v>
      </c>
      <c r="B181" s="13">
        <v>903.8</v>
      </c>
      <c r="C181" s="13">
        <v>757.39</v>
      </c>
      <c r="D181" s="13">
        <v>849.82</v>
      </c>
      <c r="E181" s="14">
        <v>3450.25</v>
      </c>
      <c r="F181" s="14">
        <v>16266.15</v>
      </c>
    </row>
    <row r="182" spans="1:6">
      <c r="A182" s="12">
        <v>44704</v>
      </c>
      <c r="B182" s="13">
        <v>941.9</v>
      </c>
      <c r="C182" s="13">
        <v>770.64</v>
      </c>
      <c r="D182" s="13">
        <v>854.99</v>
      </c>
      <c r="E182" s="14">
        <v>3487.05</v>
      </c>
      <c r="F182" s="14">
        <v>16214.7</v>
      </c>
    </row>
    <row r="183" spans="1:6">
      <c r="A183" s="12">
        <v>44705</v>
      </c>
      <c r="B183" s="13">
        <v>946.85</v>
      </c>
      <c r="C183" s="13">
        <v>742.81</v>
      </c>
      <c r="D183" s="13">
        <v>869.42</v>
      </c>
      <c r="E183" s="14">
        <v>3470.45</v>
      </c>
      <c r="F183" s="14">
        <v>16125.15</v>
      </c>
    </row>
    <row r="184" spans="1:6">
      <c r="A184" s="12">
        <v>44706</v>
      </c>
      <c r="B184" s="13">
        <v>928.4</v>
      </c>
      <c r="C184" s="13">
        <v>690.79</v>
      </c>
      <c r="D184" s="13">
        <v>861.49</v>
      </c>
      <c r="E184" s="14">
        <v>3516.5</v>
      </c>
      <c r="F184" s="14">
        <v>16025.8</v>
      </c>
    </row>
    <row r="185" spans="1:6">
      <c r="A185" s="12">
        <v>44707</v>
      </c>
      <c r="B185" s="13">
        <v>929.8</v>
      </c>
      <c r="C185" s="13">
        <v>695.57</v>
      </c>
      <c r="D185" s="13">
        <v>860.83</v>
      </c>
      <c r="E185" s="14">
        <v>3560.95</v>
      </c>
      <c r="F185" s="14">
        <v>16170.15</v>
      </c>
    </row>
    <row r="186" spans="1:6">
      <c r="A186" s="12">
        <v>44708</v>
      </c>
      <c r="B186" s="13">
        <v>952.85</v>
      </c>
      <c r="C186" s="13">
        <v>734.29</v>
      </c>
      <c r="D186" s="13">
        <v>878.1</v>
      </c>
      <c r="E186" s="14">
        <v>3557.6</v>
      </c>
      <c r="F186" s="14">
        <v>16352.45</v>
      </c>
    </row>
    <row r="187" spans="1:6">
      <c r="A187" s="12">
        <v>44711</v>
      </c>
      <c r="B187" s="13">
        <v>998.35</v>
      </c>
      <c r="C187" s="13">
        <v>779.66</v>
      </c>
      <c r="D187" s="13">
        <v>874.06</v>
      </c>
      <c r="E187" s="14">
        <v>3576.25</v>
      </c>
      <c r="F187" s="14">
        <v>16661.400000000001</v>
      </c>
    </row>
    <row r="188" spans="1:6">
      <c r="A188" s="12">
        <v>44712</v>
      </c>
      <c r="B188" s="14">
        <v>1034.3499999999999</v>
      </c>
      <c r="C188" s="13">
        <v>782.3</v>
      </c>
      <c r="D188" s="13">
        <v>873.93</v>
      </c>
      <c r="E188" s="14">
        <v>3647.8</v>
      </c>
      <c r="F188" s="14">
        <v>16584.55</v>
      </c>
    </row>
    <row r="189" spans="1:6">
      <c r="A189" s="12">
        <v>44713</v>
      </c>
      <c r="B189" s="14">
        <v>1047.3499999999999</v>
      </c>
      <c r="C189" s="13">
        <v>758.69</v>
      </c>
      <c r="D189" s="13">
        <v>863.8</v>
      </c>
      <c r="E189" s="14">
        <v>3551.3</v>
      </c>
      <c r="F189" s="14">
        <v>16522.75</v>
      </c>
    </row>
    <row r="190" spans="1:6">
      <c r="A190" s="12">
        <v>44714</v>
      </c>
      <c r="B190" s="14">
        <v>1044.55</v>
      </c>
      <c r="C190" s="13">
        <v>768.03</v>
      </c>
      <c r="D190" s="13">
        <v>866.63</v>
      </c>
      <c r="E190" s="14">
        <v>3577.05</v>
      </c>
      <c r="F190" s="14">
        <v>16628</v>
      </c>
    </row>
    <row r="191" spans="1:6">
      <c r="A191" s="12">
        <v>44715</v>
      </c>
      <c r="B191" s="14">
        <v>1028.6500000000001</v>
      </c>
      <c r="C191" s="13">
        <v>752.02</v>
      </c>
      <c r="D191" s="13">
        <v>868</v>
      </c>
      <c r="E191" s="14">
        <v>3530</v>
      </c>
      <c r="F191" s="14">
        <v>16584.3</v>
      </c>
    </row>
    <row r="192" spans="1:6">
      <c r="A192" s="12">
        <v>44718</v>
      </c>
      <c r="B192" s="14">
        <v>1035.95</v>
      </c>
      <c r="C192" s="13">
        <v>721.37</v>
      </c>
      <c r="D192" s="13">
        <v>861.15</v>
      </c>
      <c r="E192" s="14">
        <v>3491.95</v>
      </c>
      <c r="F192" s="14">
        <v>16569.55</v>
      </c>
    </row>
    <row r="193" spans="1:6">
      <c r="A193" s="12">
        <v>44719</v>
      </c>
      <c r="B193" s="14">
        <v>1042.55</v>
      </c>
      <c r="C193" s="13">
        <v>710.07</v>
      </c>
      <c r="D193" s="13">
        <v>828.79</v>
      </c>
      <c r="E193" s="14">
        <v>3383.45</v>
      </c>
      <c r="F193" s="14">
        <v>16416.349999999999</v>
      </c>
    </row>
    <row r="194" spans="1:6">
      <c r="A194" s="12">
        <v>44720</v>
      </c>
      <c r="B194" s="14">
        <v>1045</v>
      </c>
      <c r="C194" s="13">
        <v>699.7</v>
      </c>
      <c r="D194" s="13">
        <v>839.83</v>
      </c>
      <c r="E194" s="14">
        <v>3361.5</v>
      </c>
      <c r="F194" s="14">
        <v>16356.25</v>
      </c>
    </row>
    <row r="195" spans="1:6">
      <c r="A195" s="12">
        <v>44721</v>
      </c>
      <c r="B195" s="14">
        <v>1045.0999999999999</v>
      </c>
      <c r="C195" s="13">
        <v>710.04</v>
      </c>
      <c r="D195" s="13">
        <v>864.58</v>
      </c>
      <c r="E195" s="14">
        <v>3347.25</v>
      </c>
      <c r="F195" s="14">
        <v>16478.099999999999</v>
      </c>
    </row>
    <row r="196" spans="1:6">
      <c r="A196" s="12">
        <v>44722</v>
      </c>
      <c r="B196" s="14">
        <v>1036.5</v>
      </c>
      <c r="C196" s="13">
        <v>696.64</v>
      </c>
      <c r="D196" s="13">
        <v>870.31</v>
      </c>
      <c r="E196" s="14">
        <v>3360.85</v>
      </c>
      <c r="F196" s="14">
        <v>16201.8</v>
      </c>
    </row>
    <row r="197" spans="1:6">
      <c r="A197" s="12">
        <v>44725</v>
      </c>
      <c r="B197" s="14">
        <v>1004.3</v>
      </c>
      <c r="C197" s="13">
        <v>662.3</v>
      </c>
      <c r="D197" s="13">
        <v>853.44</v>
      </c>
      <c r="E197" s="14">
        <v>3359</v>
      </c>
      <c r="F197" s="14">
        <v>15774.4</v>
      </c>
    </row>
    <row r="198" spans="1:6">
      <c r="A198" s="12">
        <v>44726</v>
      </c>
      <c r="B198" s="14">
        <v>1019.25</v>
      </c>
      <c r="C198" s="13">
        <v>646.76</v>
      </c>
      <c r="D198" s="13">
        <v>862.21</v>
      </c>
      <c r="E198" s="14">
        <v>3382.85</v>
      </c>
      <c r="F198" s="14">
        <v>15732.1</v>
      </c>
    </row>
    <row r="199" spans="1:6">
      <c r="A199" s="12">
        <v>44727</v>
      </c>
      <c r="B199" s="14">
        <v>1025.5</v>
      </c>
      <c r="C199" s="13">
        <v>655.49</v>
      </c>
      <c r="D199" s="13">
        <v>867.1</v>
      </c>
      <c r="E199" s="14">
        <v>3385.4</v>
      </c>
      <c r="F199" s="14">
        <v>15692.15</v>
      </c>
    </row>
    <row r="200" spans="1:6">
      <c r="A200" s="12">
        <v>44728</v>
      </c>
      <c r="B200" s="14">
        <v>1005.25</v>
      </c>
      <c r="C200" s="13">
        <v>659.19</v>
      </c>
      <c r="D200" s="13">
        <v>857.5</v>
      </c>
      <c r="E200" s="14">
        <v>3390.4</v>
      </c>
      <c r="F200" s="14">
        <v>15360.6</v>
      </c>
    </row>
    <row r="201" spans="1:6">
      <c r="A201" s="12">
        <v>44729</v>
      </c>
      <c r="B201" s="13">
        <v>997.65</v>
      </c>
      <c r="C201" s="13">
        <v>675.16</v>
      </c>
      <c r="D201" s="13">
        <v>829.34</v>
      </c>
      <c r="E201" s="14">
        <v>3332.1</v>
      </c>
      <c r="F201" s="14">
        <v>15293.5</v>
      </c>
    </row>
    <row r="202" spans="1:6">
      <c r="A202" s="12">
        <v>44732</v>
      </c>
      <c r="B202" s="13">
        <v>982.7</v>
      </c>
      <c r="C202" s="13">
        <v>673.94</v>
      </c>
      <c r="D202" s="13">
        <v>830.36</v>
      </c>
      <c r="E202" s="14">
        <v>3378.6</v>
      </c>
      <c r="F202" s="14">
        <v>15350.15</v>
      </c>
    </row>
    <row r="203" spans="1:6">
      <c r="A203" s="12">
        <v>44733</v>
      </c>
      <c r="B203" s="13">
        <v>997.95</v>
      </c>
      <c r="C203" s="13">
        <v>718.85</v>
      </c>
      <c r="D203" s="13">
        <v>853.73</v>
      </c>
      <c r="E203" s="14">
        <v>3429.3</v>
      </c>
      <c r="F203" s="14">
        <v>15638.8</v>
      </c>
    </row>
    <row r="204" spans="1:6">
      <c r="A204" s="12">
        <v>44734</v>
      </c>
      <c r="B204" s="13">
        <v>983.8</v>
      </c>
      <c r="C204" s="13">
        <v>700.61</v>
      </c>
      <c r="D204" s="13">
        <v>852.18</v>
      </c>
      <c r="E204" s="14">
        <v>3403.65</v>
      </c>
      <c r="F204" s="14">
        <v>15413.3</v>
      </c>
    </row>
    <row r="205" spans="1:6">
      <c r="A205" s="12">
        <v>44735</v>
      </c>
      <c r="B205" s="14">
        <v>1027.7</v>
      </c>
      <c r="C205" s="13">
        <v>735.77</v>
      </c>
      <c r="D205" s="13">
        <v>858.98</v>
      </c>
      <c r="E205" s="14">
        <v>3411.45</v>
      </c>
      <c r="F205" s="14">
        <v>15556.65</v>
      </c>
    </row>
    <row r="206" spans="1:6">
      <c r="A206" s="12">
        <v>44736</v>
      </c>
      <c r="B206" s="14">
        <v>1072.05</v>
      </c>
      <c r="C206" s="13">
        <v>729.47</v>
      </c>
      <c r="D206" s="13">
        <v>861.93</v>
      </c>
      <c r="E206" s="14">
        <v>3469.35</v>
      </c>
      <c r="F206" s="14">
        <v>15699.25</v>
      </c>
    </row>
    <row r="207" spans="1:6">
      <c r="A207" s="12">
        <v>44739</v>
      </c>
      <c r="B207" s="14">
        <v>1082.7</v>
      </c>
      <c r="C207" s="13">
        <v>758.22</v>
      </c>
      <c r="D207" s="13">
        <v>864.11</v>
      </c>
      <c r="E207" s="14">
        <v>3459.1</v>
      </c>
      <c r="F207" s="14">
        <v>15832.05</v>
      </c>
    </row>
    <row r="208" spans="1:6">
      <c r="A208" s="12">
        <v>44740</v>
      </c>
      <c r="B208" s="14">
        <v>1112</v>
      </c>
      <c r="C208" s="13">
        <v>747.04</v>
      </c>
      <c r="D208" s="13">
        <v>874.92</v>
      </c>
      <c r="E208" s="14">
        <v>3434.7</v>
      </c>
      <c r="F208" s="14">
        <v>15850.2</v>
      </c>
    </row>
    <row r="209" spans="1:6">
      <c r="A209" s="12">
        <v>44741</v>
      </c>
      <c r="B209" s="14">
        <v>1111.75</v>
      </c>
      <c r="C209" s="13">
        <v>732.45</v>
      </c>
      <c r="D209" s="13">
        <v>872.87</v>
      </c>
      <c r="E209" s="14">
        <v>3404.15</v>
      </c>
      <c r="F209" s="14">
        <v>15799.1</v>
      </c>
    </row>
    <row r="210" spans="1:6">
      <c r="A210" s="12">
        <v>44742</v>
      </c>
      <c r="B210" s="14">
        <v>1093.1500000000001</v>
      </c>
      <c r="C210" s="13">
        <v>707.86</v>
      </c>
      <c r="D210" s="13">
        <v>878.76</v>
      </c>
      <c r="E210" s="14">
        <v>3466.4</v>
      </c>
      <c r="F210" s="14">
        <v>15780.25</v>
      </c>
    </row>
    <row r="211" spans="1:6">
      <c r="A211" s="12">
        <v>44743</v>
      </c>
      <c r="B211" s="14">
        <v>1107.3499999999999</v>
      </c>
      <c r="C211" s="13">
        <v>697.61</v>
      </c>
      <c r="D211" s="13">
        <v>877.18</v>
      </c>
      <c r="E211" s="14">
        <v>3584.35</v>
      </c>
      <c r="F211" s="14">
        <v>15752.05</v>
      </c>
    </row>
    <row r="212" spans="1:6">
      <c r="A212" s="12">
        <v>44746</v>
      </c>
      <c r="B212" s="14">
        <v>1091.2</v>
      </c>
      <c r="C212" s="13">
        <v>701.17</v>
      </c>
      <c r="D212" s="13">
        <v>870.89</v>
      </c>
      <c r="E212" s="14">
        <v>3700.45</v>
      </c>
      <c r="F212" s="14">
        <v>15835.35</v>
      </c>
    </row>
    <row r="213" spans="1:6">
      <c r="A213" s="12">
        <v>44747</v>
      </c>
      <c r="B213" s="14">
        <v>1081.95</v>
      </c>
      <c r="C213" s="13">
        <v>708.51</v>
      </c>
      <c r="D213" s="13">
        <v>878.84</v>
      </c>
      <c r="E213" s="14">
        <v>3656.6</v>
      </c>
      <c r="F213" s="14">
        <v>15810.85</v>
      </c>
    </row>
    <row r="214" spans="1:6">
      <c r="A214" s="12">
        <v>44748</v>
      </c>
      <c r="B214" s="14">
        <v>1104.55</v>
      </c>
      <c r="C214" s="13">
        <v>721.64</v>
      </c>
      <c r="D214" s="13">
        <v>878</v>
      </c>
      <c r="E214" s="14">
        <v>3830.8</v>
      </c>
      <c r="F214" s="14">
        <v>15989.8</v>
      </c>
    </row>
    <row r="215" spans="1:6">
      <c r="A215" s="12">
        <v>44749</v>
      </c>
      <c r="B215" s="14">
        <v>1133.3</v>
      </c>
      <c r="C215" s="13">
        <v>721.89</v>
      </c>
      <c r="D215" s="13">
        <v>867.29</v>
      </c>
      <c r="E215" s="14">
        <v>3810.25</v>
      </c>
      <c r="F215" s="14">
        <v>16132.9</v>
      </c>
    </row>
    <row r="216" spans="1:6">
      <c r="A216" s="12">
        <v>44750</v>
      </c>
      <c r="B216" s="14">
        <v>1133.5999999999999</v>
      </c>
      <c r="C216" s="13">
        <v>721.33</v>
      </c>
      <c r="D216" s="13">
        <v>881.24</v>
      </c>
      <c r="E216" s="14">
        <v>3816.95</v>
      </c>
      <c r="F216" s="14">
        <v>16220.6</v>
      </c>
    </row>
    <row r="217" spans="1:6">
      <c r="A217" s="12">
        <v>44753</v>
      </c>
      <c r="B217" s="14">
        <v>1165.05</v>
      </c>
      <c r="C217" s="13">
        <v>700.57</v>
      </c>
      <c r="D217" s="13">
        <v>900.2</v>
      </c>
      <c r="E217" s="14">
        <v>3795.4</v>
      </c>
      <c r="F217" s="14">
        <v>16216</v>
      </c>
    </row>
    <row r="218" spans="1:6">
      <c r="A218" s="12">
        <v>44754</v>
      </c>
      <c r="B218" s="14">
        <v>1146.6500000000001</v>
      </c>
      <c r="C218" s="13">
        <v>703.64</v>
      </c>
      <c r="D218" s="13">
        <v>896.74</v>
      </c>
      <c r="E218" s="14">
        <v>3725.5</v>
      </c>
      <c r="F218" s="14">
        <v>16058.3</v>
      </c>
    </row>
    <row r="219" spans="1:6">
      <c r="A219" s="12">
        <v>44755</v>
      </c>
      <c r="B219" s="14">
        <v>1140.3499999999999</v>
      </c>
      <c r="C219" s="13">
        <v>701.06</v>
      </c>
      <c r="D219" s="13">
        <v>900.32</v>
      </c>
      <c r="E219" s="14">
        <v>3726</v>
      </c>
      <c r="F219" s="14">
        <v>15966.65</v>
      </c>
    </row>
    <row r="220" spans="1:6">
      <c r="A220" s="12">
        <v>44756</v>
      </c>
      <c r="B220" s="14">
        <v>1142.6500000000001</v>
      </c>
      <c r="C220" s="13">
        <v>683.45</v>
      </c>
      <c r="D220" s="13">
        <v>915.08</v>
      </c>
      <c r="E220" s="14">
        <v>3774.15</v>
      </c>
      <c r="F220" s="14">
        <v>15938.65</v>
      </c>
    </row>
    <row r="221" spans="1:6">
      <c r="A221" s="12">
        <v>44757</v>
      </c>
      <c r="B221" s="14">
        <v>1172.5</v>
      </c>
      <c r="C221" s="13">
        <v>675.73</v>
      </c>
      <c r="D221" s="13">
        <v>909.2</v>
      </c>
      <c r="E221" s="14">
        <v>3848.9</v>
      </c>
      <c r="F221" s="14">
        <v>16049.2</v>
      </c>
    </row>
    <row r="222" spans="1:6">
      <c r="A222" s="12">
        <v>44760</v>
      </c>
      <c r="B222" s="14">
        <v>1163.4000000000001</v>
      </c>
      <c r="C222" s="13">
        <v>688.33</v>
      </c>
      <c r="D222" s="13">
        <v>893.22</v>
      </c>
      <c r="E222" s="14">
        <v>3774.95</v>
      </c>
      <c r="F222" s="14">
        <v>16278.5</v>
      </c>
    </row>
    <row r="223" spans="1:6">
      <c r="A223" s="12">
        <v>44761</v>
      </c>
      <c r="B223" s="14">
        <v>1186.25</v>
      </c>
      <c r="C223" s="13">
        <v>682.32</v>
      </c>
      <c r="D223" s="13">
        <v>889.58</v>
      </c>
      <c r="E223" s="14">
        <v>3787.45</v>
      </c>
      <c r="F223" s="14">
        <v>16340.55</v>
      </c>
    </row>
    <row r="224" spans="1:6">
      <c r="A224" s="12">
        <v>44762</v>
      </c>
      <c r="B224" s="14">
        <v>1165.6500000000001</v>
      </c>
      <c r="C224" s="13">
        <v>707.18</v>
      </c>
      <c r="D224" s="13">
        <v>891.75</v>
      </c>
      <c r="E224" s="14">
        <v>3828.3</v>
      </c>
      <c r="F224" s="14">
        <v>16520.849999999999</v>
      </c>
    </row>
    <row r="225" spans="1:6">
      <c r="A225" s="12">
        <v>44763</v>
      </c>
      <c r="B225" s="14">
        <v>1175.1500000000001</v>
      </c>
      <c r="C225" s="13">
        <v>724.15</v>
      </c>
      <c r="D225" s="13">
        <v>874.22</v>
      </c>
      <c r="E225" s="14">
        <v>3855.5</v>
      </c>
      <c r="F225" s="14">
        <v>16605.25</v>
      </c>
    </row>
    <row r="226" spans="1:6">
      <c r="A226" s="12">
        <v>44764</v>
      </c>
      <c r="B226" s="14">
        <v>1181.0999999999999</v>
      </c>
      <c r="C226" s="13">
        <v>745.29</v>
      </c>
      <c r="D226" s="13">
        <v>874.7</v>
      </c>
      <c r="E226" s="14">
        <v>3871.45</v>
      </c>
      <c r="F226" s="14">
        <v>16719.45</v>
      </c>
    </row>
    <row r="227" spans="1:6">
      <c r="A227" s="12">
        <v>44767</v>
      </c>
      <c r="B227" s="14">
        <v>1135.8499999999999</v>
      </c>
      <c r="C227" s="13">
        <v>757.9</v>
      </c>
      <c r="D227" s="13">
        <v>866.11</v>
      </c>
      <c r="E227" s="14">
        <v>3885.9</v>
      </c>
      <c r="F227" s="14">
        <v>16631</v>
      </c>
    </row>
    <row r="228" spans="1:6">
      <c r="A228" s="12">
        <v>44768</v>
      </c>
      <c r="B228" s="14">
        <v>1136</v>
      </c>
      <c r="C228" s="13">
        <v>740.49</v>
      </c>
      <c r="D228" s="13">
        <v>842.4</v>
      </c>
      <c r="E228" s="14">
        <v>3807.15</v>
      </c>
      <c r="F228" s="14">
        <v>16483.849999999999</v>
      </c>
    </row>
    <row r="229" spans="1:6">
      <c r="A229" s="12">
        <v>44769</v>
      </c>
      <c r="B229" s="14">
        <v>1138.0999999999999</v>
      </c>
      <c r="C229" s="13">
        <v>757.49</v>
      </c>
      <c r="D229" s="13">
        <v>857.21</v>
      </c>
      <c r="E229" s="14">
        <v>3854.55</v>
      </c>
      <c r="F229" s="14">
        <v>16641.8</v>
      </c>
    </row>
    <row r="230" spans="1:6">
      <c r="A230" s="12">
        <v>44770</v>
      </c>
      <c r="B230" s="14">
        <v>1149.1500000000001</v>
      </c>
      <c r="C230" s="13">
        <v>769.21</v>
      </c>
      <c r="D230" s="13">
        <v>852.01</v>
      </c>
      <c r="E230" s="14">
        <v>3869.35</v>
      </c>
      <c r="F230" s="14">
        <v>16929.599999999999</v>
      </c>
    </row>
    <row r="231" spans="1:6">
      <c r="A231" s="12">
        <v>44771</v>
      </c>
      <c r="B231" s="14">
        <v>1164.45</v>
      </c>
      <c r="C231" s="13">
        <v>790.86</v>
      </c>
      <c r="D231" s="13">
        <v>818.07</v>
      </c>
      <c r="E231" s="14">
        <v>3900.4</v>
      </c>
      <c r="F231" s="14">
        <v>17158.25</v>
      </c>
    </row>
    <row r="232" spans="1:6">
      <c r="A232" s="12">
        <v>44774</v>
      </c>
      <c r="B232" s="14">
        <v>1237.75</v>
      </c>
      <c r="C232" s="13">
        <v>788.81</v>
      </c>
      <c r="D232" s="13">
        <v>822.09</v>
      </c>
      <c r="E232" s="14">
        <v>3855.65</v>
      </c>
      <c r="F232" s="14">
        <v>17340.05</v>
      </c>
    </row>
    <row r="233" spans="1:6">
      <c r="A233" s="12">
        <v>44775</v>
      </c>
      <c r="B233" s="14">
        <v>1254.5</v>
      </c>
      <c r="C233" s="13">
        <v>763.99</v>
      </c>
      <c r="D233" s="13">
        <v>817.08</v>
      </c>
      <c r="E233" s="14">
        <v>3788.15</v>
      </c>
      <c r="F233" s="14">
        <v>17345.45</v>
      </c>
    </row>
    <row r="234" spans="1:6">
      <c r="A234" s="12">
        <v>44776</v>
      </c>
      <c r="B234" s="14">
        <v>1253.7</v>
      </c>
      <c r="C234" s="13">
        <v>773.86</v>
      </c>
      <c r="D234" s="13">
        <v>819.26</v>
      </c>
      <c r="E234" s="14">
        <v>3770</v>
      </c>
      <c r="F234" s="14">
        <v>17388.150000000001</v>
      </c>
    </row>
    <row r="235" spans="1:6">
      <c r="A235" s="12">
        <v>44777</v>
      </c>
      <c r="B235" s="14">
        <v>1261.8</v>
      </c>
      <c r="C235" s="13">
        <v>780.22</v>
      </c>
      <c r="D235" s="13">
        <v>829.59</v>
      </c>
      <c r="E235" s="14">
        <v>3775.05</v>
      </c>
      <c r="F235" s="14">
        <v>17382</v>
      </c>
    </row>
    <row r="236" spans="1:6">
      <c r="A236" s="12">
        <v>44778</v>
      </c>
      <c r="B236" s="14">
        <v>1235.9000000000001</v>
      </c>
      <c r="C236" s="13">
        <v>786.9</v>
      </c>
      <c r="D236" s="13">
        <v>831.37</v>
      </c>
      <c r="E236" s="14">
        <v>3688.1</v>
      </c>
      <c r="F236" s="14">
        <v>17397.5</v>
      </c>
    </row>
    <row r="237" spans="1:6">
      <c r="A237" s="12">
        <v>44781</v>
      </c>
      <c r="B237" s="14">
        <v>1276.7</v>
      </c>
      <c r="C237" s="13">
        <v>777.2</v>
      </c>
      <c r="D237" s="13">
        <v>844.67</v>
      </c>
      <c r="E237" s="14">
        <v>3631.4</v>
      </c>
      <c r="F237" s="14">
        <v>17525.099999999999</v>
      </c>
    </row>
    <row r="238" spans="1:6">
      <c r="A238" s="12">
        <v>44783</v>
      </c>
      <c r="B238" s="14">
        <v>1268.05</v>
      </c>
      <c r="C238" s="13">
        <v>764.53</v>
      </c>
      <c r="D238" s="13">
        <v>848.66</v>
      </c>
      <c r="E238" s="14">
        <v>3647.75</v>
      </c>
      <c r="F238" s="14">
        <v>17534.75</v>
      </c>
    </row>
    <row r="239" spans="1:6">
      <c r="A239" s="12">
        <v>44784</v>
      </c>
      <c r="B239" s="14">
        <v>1266.2</v>
      </c>
      <c r="C239" s="13">
        <v>771.42</v>
      </c>
      <c r="D239" s="13">
        <v>851.66</v>
      </c>
      <c r="E239" s="14">
        <v>3640.3</v>
      </c>
      <c r="F239" s="14">
        <v>17659</v>
      </c>
    </row>
    <row r="240" spans="1:6">
      <c r="A240" s="12">
        <v>44785</v>
      </c>
      <c r="B240" s="14">
        <v>1259.45</v>
      </c>
      <c r="C240" s="13">
        <v>758.5</v>
      </c>
      <c r="D240" s="13">
        <v>852.16</v>
      </c>
      <c r="E240" s="14">
        <v>3659.75</v>
      </c>
      <c r="F240" s="14">
        <v>17698.150000000001</v>
      </c>
    </row>
    <row r="241" spans="1:6">
      <c r="A241" s="12">
        <v>44789</v>
      </c>
      <c r="B241" s="14">
        <v>1288.3</v>
      </c>
      <c r="C241" s="13">
        <v>765.32</v>
      </c>
      <c r="D241" s="13">
        <v>859.56</v>
      </c>
      <c r="E241" s="14">
        <v>3690.45</v>
      </c>
      <c r="F241" s="14">
        <v>17825.25</v>
      </c>
    </row>
    <row r="242" spans="1:6">
      <c r="A242" s="12">
        <v>44790</v>
      </c>
      <c r="B242" s="14">
        <v>1274.25</v>
      </c>
      <c r="C242" s="13">
        <v>778.94</v>
      </c>
      <c r="D242" s="13">
        <v>863.18</v>
      </c>
      <c r="E242" s="14">
        <v>3705.2</v>
      </c>
      <c r="F242" s="14">
        <v>17944.25</v>
      </c>
    </row>
    <row r="243" spans="1:6">
      <c r="A243" s="12">
        <v>44791</v>
      </c>
      <c r="B243" s="14">
        <v>1261.1500000000001</v>
      </c>
      <c r="C243" s="13">
        <v>780.12</v>
      </c>
      <c r="D243" s="13">
        <v>845.02</v>
      </c>
      <c r="E243" s="14">
        <v>3693.05</v>
      </c>
      <c r="F243" s="14">
        <v>17956.5</v>
      </c>
    </row>
    <row r="244" spans="1:6">
      <c r="A244" s="12">
        <v>44792</v>
      </c>
      <c r="B244" s="14">
        <v>1239.4000000000001</v>
      </c>
      <c r="C244" s="13">
        <v>784.74</v>
      </c>
      <c r="D244" s="13">
        <v>840.8</v>
      </c>
      <c r="E244" s="14">
        <v>3662.55</v>
      </c>
      <c r="F244" s="14">
        <v>17758.45</v>
      </c>
    </row>
    <row r="245" spans="1:6">
      <c r="A245" s="12">
        <v>44795</v>
      </c>
      <c r="B245" s="14">
        <v>1226.7</v>
      </c>
      <c r="C245" s="13">
        <v>752.58</v>
      </c>
      <c r="D245" s="13">
        <v>837.39</v>
      </c>
      <c r="E245" s="14">
        <v>3676.45</v>
      </c>
      <c r="F245" s="14">
        <v>17490.7</v>
      </c>
    </row>
    <row r="246" spans="1:6">
      <c r="A246" s="12">
        <v>44796</v>
      </c>
      <c r="B246" s="14">
        <v>1273.0999999999999</v>
      </c>
      <c r="C246" s="13">
        <v>740.01</v>
      </c>
      <c r="D246" s="13">
        <v>845.03</v>
      </c>
      <c r="E246" s="14">
        <v>3678.7</v>
      </c>
      <c r="F246" s="14">
        <v>17577.5</v>
      </c>
    </row>
    <row r="247" spans="1:6">
      <c r="A247" s="12">
        <v>44797</v>
      </c>
      <c r="B247" s="14">
        <v>1268.3</v>
      </c>
      <c r="C247" s="13">
        <v>739.61</v>
      </c>
      <c r="D247" s="13">
        <v>843.61</v>
      </c>
      <c r="E247" s="14">
        <v>3659.15</v>
      </c>
      <c r="F247" s="14">
        <v>17604.95</v>
      </c>
    </row>
    <row r="248" spans="1:6">
      <c r="A248" s="12">
        <v>44798</v>
      </c>
      <c r="B248" s="14">
        <v>1259.6500000000001</v>
      </c>
      <c r="C248" s="13">
        <v>736.84</v>
      </c>
      <c r="D248" s="13">
        <v>847.58</v>
      </c>
      <c r="E248" s="14">
        <v>3646.6</v>
      </c>
      <c r="F248" s="14">
        <v>17522.45</v>
      </c>
    </row>
    <row r="249" spans="1:6">
      <c r="A249" s="12">
        <v>44799</v>
      </c>
      <c r="B249" s="14">
        <v>1274.6500000000001</v>
      </c>
      <c r="C249" s="13">
        <v>732.37</v>
      </c>
      <c r="D249" s="13">
        <v>844.66</v>
      </c>
      <c r="E249" s="14">
        <v>3650.15</v>
      </c>
      <c r="F249" s="14">
        <v>17558.900000000001</v>
      </c>
    </row>
    <row r="250" spans="1:6">
      <c r="A250" s="12">
        <v>44802</v>
      </c>
      <c r="B250" s="14">
        <v>1276.8</v>
      </c>
      <c r="C250" s="13">
        <v>702.32</v>
      </c>
      <c r="D250" s="13">
        <v>842.03</v>
      </c>
      <c r="E250" s="14">
        <v>3707.65</v>
      </c>
      <c r="F250" s="14">
        <v>17312.900000000001</v>
      </c>
    </row>
    <row r="251" spans="1:6">
      <c r="A251" s="12">
        <v>44803</v>
      </c>
      <c r="B251" s="14">
        <v>1308.7</v>
      </c>
      <c r="C251" s="13">
        <v>712.07</v>
      </c>
      <c r="D251" s="13">
        <v>849.01</v>
      </c>
      <c r="E251" s="14">
        <v>3747.75</v>
      </c>
      <c r="F251" s="14">
        <v>17759.3</v>
      </c>
    </row>
    <row r="252" spans="1:6">
      <c r="A252" s="12">
        <v>44805</v>
      </c>
      <c r="B252" s="14">
        <v>1312.05</v>
      </c>
      <c r="C252" s="13">
        <v>700.19</v>
      </c>
      <c r="D252" s="13">
        <v>840.42</v>
      </c>
      <c r="E252" s="14">
        <v>3718.15</v>
      </c>
      <c r="F252" s="14">
        <v>17542.8</v>
      </c>
    </row>
    <row r="253" spans="1:6">
      <c r="A253" s="12">
        <v>44806</v>
      </c>
      <c r="B253" s="14">
        <v>1315.95</v>
      </c>
      <c r="C253" s="13">
        <v>693.52</v>
      </c>
      <c r="D253" s="13">
        <v>837.99</v>
      </c>
      <c r="E253" s="14">
        <v>3704.25</v>
      </c>
      <c r="F253" s="14">
        <v>17539.45</v>
      </c>
    </row>
    <row r="254" spans="1:6">
      <c r="A254" s="12">
        <v>44809</v>
      </c>
      <c r="B254" s="14">
        <v>1320.55</v>
      </c>
      <c r="C254" s="13">
        <v>695.03</v>
      </c>
      <c r="D254" s="13">
        <v>842.85</v>
      </c>
      <c r="E254" s="14">
        <v>3662.6</v>
      </c>
      <c r="F254" s="14">
        <v>17665.8</v>
      </c>
    </row>
    <row r="255" spans="1:6">
      <c r="A255" s="12">
        <v>44810</v>
      </c>
      <c r="B255" s="14">
        <v>1306.4000000000001</v>
      </c>
      <c r="C255" s="13">
        <v>693.31</v>
      </c>
      <c r="D255" s="13">
        <v>847.84</v>
      </c>
      <c r="E255" s="14">
        <v>3608.8</v>
      </c>
      <c r="F255" s="14">
        <v>17655.599999999999</v>
      </c>
    </row>
    <row r="256" spans="1:6">
      <c r="A256" s="12">
        <v>44811</v>
      </c>
      <c r="B256" s="14">
        <v>1289.7</v>
      </c>
      <c r="C256" s="13">
        <v>700.85</v>
      </c>
      <c r="D256" s="13">
        <v>849.86</v>
      </c>
      <c r="E256" s="14">
        <v>3667.9</v>
      </c>
      <c r="F256" s="14">
        <v>17624.400000000001</v>
      </c>
    </row>
    <row r="257" spans="1:6">
      <c r="A257" s="12">
        <v>44812</v>
      </c>
      <c r="B257" s="14">
        <v>1321.9</v>
      </c>
      <c r="C257" s="13">
        <v>700.78</v>
      </c>
      <c r="D257" s="13">
        <v>854.33</v>
      </c>
      <c r="E257" s="14">
        <v>3672.65</v>
      </c>
      <c r="F257" s="14">
        <v>17798.75</v>
      </c>
    </row>
    <row r="258" spans="1:6">
      <c r="A258" s="12">
        <v>44813</v>
      </c>
      <c r="B258" s="14">
        <v>1301.25</v>
      </c>
      <c r="C258" s="13">
        <v>713.59</v>
      </c>
      <c r="D258" s="13">
        <v>851.02</v>
      </c>
      <c r="E258" s="14">
        <v>3649.5</v>
      </c>
      <c r="F258" s="14">
        <v>17833.349999999999</v>
      </c>
    </row>
    <row r="259" spans="1:6">
      <c r="A259" s="12">
        <v>44816</v>
      </c>
      <c r="B259" s="14">
        <v>1297.05</v>
      </c>
      <c r="C259" s="13">
        <v>723.59</v>
      </c>
      <c r="D259" s="13">
        <v>852.23</v>
      </c>
      <c r="E259" s="14">
        <v>3671.85</v>
      </c>
      <c r="F259" s="14">
        <v>17936.349999999999</v>
      </c>
    </row>
    <row r="260" spans="1:6">
      <c r="A260" s="12">
        <v>44817</v>
      </c>
      <c r="B260" s="14">
        <v>1299.8499999999999</v>
      </c>
      <c r="C260" s="13">
        <v>721.34</v>
      </c>
      <c r="D260" s="13">
        <v>850.58</v>
      </c>
      <c r="E260" s="14">
        <v>3757.7</v>
      </c>
      <c r="F260" s="14">
        <v>18070.05</v>
      </c>
    </row>
    <row r="261" spans="1:6">
      <c r="A261" s="12">
        <v>44818</v>
      </c>
      <c r="B261" s="14">
        <v>1298.05</v>
      </c>
      <c r="C261" s="13">
        <v>694.2</v>
      </c>
      <c r="D261" s="13">
        <v>842.83</v>
      </c>
      <c r="E261" s="14">
        <v>3747</v>
      </c>
      <c r="F261" s="14">
        <v>18003.75</v>
      </c>
    </row>
    <row r="262" spans="1:6">
      <c r="A262" s="12">
        <v>44819</v>
      </c>
      <c r="B262" s="14">
        <v>1297.05</v>
      </c>
      <c r="C262" s="13">
        <v>683.77</v>
      </c>
      <c r="D262" s="13">
        <v>833.8</v>
      </c>
      <c r="E262" s="14">
        <v>3721.55</v>
      </c>
      <c r="F262" s="14">
        <v>17877.400000000001</v>
      </c>
    </row>
    <row r="263" spans="1:6">
      <c r="A263" s="12">
        <v>44820</v>
      </c>
      <c r="B263" s="14">
        <v>1250.0999999999999</v>
      </c>
      <c r="C263" s="13">
        <v>656.26</v>
      </c>
      <c r="D263" s="13">
        <v>815.47</v>
      </c>
      <c r="E263" s="14">
        <v>3639.55</v>
      </c>
      <c r="F263" s="14">
        <v>17530.849999999999</v>
      </c>
    </row>
    <row r="264" spans="1:6">
      <c r="A264" s="12">
        <v>44823</v>
      </c>
      <c r="B264" s="14">
        <v>1288.6500000000001</v>
      </c>
      <c r="C264" s="13">
        <v>647.19000000000005</v>
      </c>
      <c r="D264" s="13">
        <v>819.83</v>
      </c>
      <c r="E264" s="14">
        <v>3592.35</v>
      </c>
      <c r="F264" s="14">
        <v>17622.25</v>
      </c>
    </row>
    <row r="265" spans="1:6">
      <c r="A265" s="12">
        <v>44824</v>
      </c>
      <c r="B265" s="14">
        <v>1302.95</v>
      </c>
      <c r="C265" s="13">
        <v>667.67</v>
      </c>
      <c r="D265" s="13">
        <v>843.2</v>
      </c>
      <c r="E265" s="14">
        <v>3650.6</v>
      </c>
      <c r="F265" s="14">
        <v>17816.25</v>
      </c>
    </row>
    <row r="266" spans="1:6">
      <c r="A266" s="12">
        <v>44825</v>
      </c>
      <c r="B266" s="14">
        <v>1306.6500000000001</v>
      </c>
      <c r="C266" s="13">
        <v>664.98</v>
      </c>
      <c r="D266" s="13">
        <v>830.55</v>
      </c>
      <c r="E266" s="14">
        <v>3765.65</v>
      </c>
      <c r="F266" s="14">
        <v>17718.349999999999</v>
      </c>
    </row>
    <row r="267" spans="1:6">
      <c r="A267" s="12">
        <v>44826</v>
      </c>
      <c r="B267" s="14">
        <v>1310.4000000000001</v>
      </c>
      <c r="C267" s="13">
        <v>679.5</v>
      </c>
      <c r="D267" s="13">
        <v>836.48</v>
      </c>
      <c r="E267" s="14">
        <v>3825.95</v>
      </c>
      <c r="F267" s="14">
        <v>17629.8</v>
      </c>
    </row>
    <row r="268" spans="1:6">
      <c r="A268" s="12">
        <v>44827</v>
      </c>
      <c r="B268" s="14">
        <v>1272.3</v>
      </c>
      <c r="C268" s="13">
        <v>667.31</v>
      </c>
      <c r="D268" s="13">
        <v>827.84</v>
      </c>
      <c r="E268" s="14">
        <v>3796.7</v>
      </c>
      <c r="F268" s="14">
        <v>17327.349999999999</v>
      </c>
    </row>
    <row r="269" spans="1:6">
      <c r="A269" s="12">
        <v>44830</v>
      </c>
      <c r="B269" s="14">
        <v>1236.4000000000001</v>
      </c>
      <c r="C269" s="13">
        <v>676.85</v>
      </c>
      <c r="D269" s="13">
        <v>825.57</v>
      </c>
      <c r="E269" s="14">
        <v>3787.5</v>
      </c>
      <c r="F269" s="14">
        <v>17016.3</v>
      </c>
    </row>
    <row r="270" spans="1:6">
      <c r="A270" s="12">
        <v>44831</v>
      </c>
      <c r="B270" s="14">
        <v>1235.75</v>
      </c>
      <c r="C270" s="13">
        <v>692.45</v>
      </c>
      <c r="D270" s="13">
        <v>836.32</v>
      </c>
      <c r="E270" s="14">
        <v>3824.15</v>
      </c>
      <c r="F270" s="14">
        <v>17007.400000000001</v>
      </c>
    </row>
    <row r="271" spans="1:6">
      <c r="A271" s="12">
        <v>44832</v>
      </c>
      <c r="B271" s="14">
        <v>1242.4000000000001</v>
      </c>
      <c r="C271" s="13">
        <v>690.08</v>
      </c>
      <c r="D271" s="13">
        <v>853.94</v>
      </c>
      <c r="E271" s="14">
        <v>3853.2</v>
      </c>
      <c r="F271" s="14">
        <v>16858.599999999999</v>
      </c>
    </row>
    <row r="272" spans="1:6">
      <c r="A272" s="12">
        <v>44833</v>
      </c>
      <c r="B272" s="14">
        <v>1258.3499999999999</v>
      </c>
      <c r="C272" s="13">
        <v>672.77</v>
      </c>
      <c r="D272" s="13">
        <v>872.14</v>
      </c>
      <c r="E272" s="14">
        <v>3864.5</v>
      </c>
      <c r="F272" s="14">
        <v>16818.099999999999</v>
      </c>
    </row>
    <row r="273" spans="1:6">
      <c r="A273" s="12">
        <v>44834</v>
      </c>
      <c r="B273" s="14">
        <v>1268.2</v>
      </c>
      <c r="C273" s="13">
        <v>672.39</v>
      </c>
      <c r="D273" s="13">
        <v>867.14</v>
      </c>
      <c r="E273" s="14">
        <v>3843.05</v>
      </c>
      <c r="F273" s="14">
        <v>17094.349999999999</v>
      </c>
    </row>
    <row r="274" spans="1:6">
      <c r="A274" s="12">
        <v>44837</v>
      </c>
      <c r="B274" s="14">
        <v>1251.3499999999999</v>
      </c>
      <c r="C274" s="13">
        <v>665.77</v>
      </c>
      <c r="D274" s="13">
        <v>883.93</v>
      </c>
      <c r="E274" s="14">
        <v>3768.95</v>
      </c>
      <c r="F274" s="14">
        <v>16887.349999999999</v>
      </c>
    </row>
    <row r="275" spans="1:6">
      <c r="A275" s="12">
        <v>44838</v>
      </c>
      <c r="B275" s="14">
        <v>1260.3499999999999</v>
      </c>
      <c r="C275" s="13">
        <v>695.9</v>
      </c>
      <c r="D275" s="13">
        <v>882.79</v>
      </c>
      <c r="E275" s="14">
        <v>3818.15</v>
      </c>
      <c r="F275" s="14">
        <v>17274.3</v>
      </c>
    </row>
    <row r="276" spans="1:6">
      <c r="A276" s="12">
        <v>44840</v>
      </c>
      <c r="B276" s="14">
        <v>1256.9000000000001</v>
      </c>
      <c r="C276" s="13">
        <v>724.43</v>
      </c>
      <c r="D276" s="13">
        <v>879.51</v>
      </c>
      <c r="E276" s="14">
        <v>3767.55</v>
      </c>
      <c r="F276" s="14">
        <v>17331.8</v>
      </c>
    </row>
    <row r="277" spans="1:6">
      <c r="A277" s="12">
        <v>44841</v>
      </c>
      <c r="B277" s="14">
        <v>1238.8499999999999</v>
      </c>
      <c r="C277" s="13">
        <v>720.5</v>
      </c>
      <c r="D277" s="13">
        <v>875.33</v>
      </c>
      <c r="E277" s="14">
        <v>3785.65</v>
      </c>
      <c r="F277" s="14">
        <v>17314.650000000001</v>
      </c>
    </row>
    <row r="278" spans="1:6">
      <c r="A278" s="12">
        <v>44844</v>
      </c>
      <c r="B278" s="14">
        <v>1243</v>
      </c>
      <c r="C278" s="13">
        <v>727.61</v>
      </c>
      <c r="D278" s="13">
        <v>876</v>
      </c>
      <c r="E278" s="14">
        <v>3797.85</v>
      </c>
      <c r="F278" s="14">
        <v>17241</v>
      </c>
    </row>
    <row r="279" spans="1:6">
      <c r="A279" s="12">
        <v>44845</v>
      </c>
      <c r="B279" s="14">
        <v>1229.55</v>
      </c>
      <c r="C279" s="13">
        <v>718.56</v>
      </c>
      <c r="D279" s="13">
        <v>856.55</v>
      </c>
      <c r="E279" s="14">
        <v>3727.9</v>
      </c>
      <c r="F279" s="14">
        <v>16983.55</v>
      </c>
    </row>
    <row r="280" spans="1:6">
      <c r="A280" s="12">
        <v>44846</v>
      </c>
      <c r="B280" s="14">
        <v>1247.9000000000001</v>
      </c>
      <c r="C280" s="13">
        <v>723.94</v>
      </c>
      <c r="D280" s="13">
        <v>848.23</v>
      </c>
      <c r="E280" s="14">
        <v>3763</v>
      </c>
      <c r="F280" s="14">
        <v>17123.599999999999</v>
      </c>
    </row>
    <row r="281" spans="1:6">
      <c r="A281" s="12">
        <v>44847</v>
      </c>
      <c r="B281" s="14">
        <v>1248.2</v>
      </c>
      <c r="C281" s="13">
        <v>726.78</v>
      </c>
      <c r="D281" s="13">
        <v>850.93</v>
      </c>
      <c r="E281" s="14">
        <v>3784.6</v>
      </c>
      <c r="F281" s="14">
        <v>17014.349999999999</v>
      </c>
    </row>
    <row r="282" spans="1:6">
      <c r="A282" s="12">
        <v>44848</v>
      </c>
      <c r="B282" s="14">
        <v>1230.3</v>
      </c>
      <c r="C282" s="13">
        <v>748.4</v>
      </c>
      <c r="D282" s="13">
        <v>862.16</v>
      </c>
      <c r="E282" s="14">
        <v>3796.25</v>
      </c>
      <c r="F282" s="14">
        <v>17185.7</v>
      </c>
    </row>
    <row r="283" spans="1:6">
      <c r="A283" s="12">
        <v>44851</v>
      </c>
      <c r="B283" s="14">
        <v>1230</v>
      </c>
      <c r="C283" s="13">
        <v>752.62</v>
      </c>
      <c r="D283" s="13">
        <v>867.04</v>
      </c>
      <c r="E283" s="14">
        <v>3777.7</v>
      </c>
      <c r="F283" s="14">
        <v>17311.8</v>
      </c>
    </row>
    <row r="284" spans="1:6">
      <c r="A284" s="12">
        <v>44852</v>
      </c>
      <c r="B284" s="14">
        <v>1253.8</v>
      </c>
      <c r="C284" s="13">
        <v>767.35</v>
      </c>
      <c r="D284" s="13">
        <v>871.31</v>
      </c>
      <c r="E284" s="14">
        <v>3766.85</v>
      </c>
      <c r="F284" s="14">
        <v>17486.95</v>
      </c>
    </row>
    <row r="285" spans="1:6">
      <c r="A285" s="12">
        <v>44853</v>
      </c>
      <c r="B285" s="14">
        <v>1248.4000000000001</v>
      </c>
      <c r="C285" s="13">
        <v>762.47</v>
      </c>
      <c r="D285" s="13">
        <v>863.38</v>
      </c>
      <c r="E285" s="14">
        <v>3768.5</v>
      </c>
      <c r="F285" s="14">
        <v>17512.25</v>
      </c>
    </row>
    <row r="286" spans="1:6">
      <c r="A286" s="12">
        <v>44854</v>
      </c>
      <c r="B286" s="14">
        <v>1250</v>
      </c>
      <c r="C286" s="13">
        <v>771.66</v>
      </c>
      <c r="D286" s="13">
        <v>869.81</v>
      </c>
      <c r="E286" s="14">
        <v>3790.15</v>
      </c>
      <c r="F286" s="14">
        <v>17563.95</v>
      </c>
    </row>
    <row r="287" spans="1:6">
      <c r="A287" s="12">
        <v>44855</v>
      </c>
      <c r="B287" s="14">
        <v>1256.75</v>
      </c>
      <c r="C287" s="13">
        <v>772.42</v>
      </c>
      <c r="D287" s="13">
        <v>866.16</v>
      </c>
      <c r="E287" s="14">
        <v>3792.7</v>
      </c>
      <c r="F287" s="14">
        <v>17576.3</v>
      </c>
    </row>
    <row r="288" spans="1:6">
      <c r="A288" s="12">
        <v>44858</v>
      </c>
      <c r="B288" s="14">
        <v>1270.95</v>
      </c>
      <c r="C288" s="13">
        <v>775.46</v>
      </c>
      <c r="D288" s="13">
        <v>875.5</v>
      </c>
      <c r="E288" s="14">
        <v>3801.85</v>
      </c>
      <c r="F288" s="14">
        <v>17730.75</v>
      </c>
    </row>
    <row r="289" spans="1:6">
      <c r="A289" s="12">
        <v>44859</v>
      </c>
      <c r="B289" s="14">
        <v>1281.4000000000001</v>
      </c>
      <c r="C289" s="13">
        <v>779.06</v>
      </c>
      <c r="D289" s="13">
        <v>888.47</v>
      </c>
      <c r="E289" s="14">
        <v>3713.1</v>
      </c>
      <c r="F289" s="14">
        <v>17656.349999999999</v>
      </c>
    </row>
    <row r="290" spans="1:6">
      <c r="A290" s="12">
        <v>44861</v>
      </c>
      <c r="B290" s="14">
        <v>1294.1500000000001</v>
      </c>
      <c r="C290" s="13">
        <v>777.64</v>
      </c>
      <c r="D290" s="13">
        <v>898.24</v>
      </c>
      <c r="E290" s="14">
        <v>3755.3</v>
      </c>
      <c r="F290" s="14">
        <v>17736.95</v>
      </c>
    </row>
    <row r="291" spans="1:6">
      <c r="A291" s="12">
        <v>44862</v>
      </c>
      <c r="B291" s="14">
        <v>1311.65</v>
      </c>
      <c r="C291" s="13">
        <v>747.3</v>
      </c>
      <c r="D291" s="13">
        <v>891.99</v>
      </c>
      <c r="E291" s="14">
        <v>3777.7</v>
      </c>
      <c r="F291" s="14">
        <v>17786.8</v>
      </c>
    </row>
    <row r="292" spans="1:6">
      <c r="A292" s="12">
        <v>44865</v>
      </c>
      <c r="B292" s="14">
        <v>1348.6</v>
      </c>
      <c r="C292" s="13">
        <v>761.92</v>
      </c>
      <c r="D292" s="13">
        <v>886.74</v>
      </c>
      <c r="E292" s="14">
        <v>3766.55</v>
      </c>
      <c r="F292" s="14">
        <v>18012.2</v>
      </c>
    </row>
    <row r="293" spans="1:6">
      <c r="A293" s="12">
        <v>44866</v>
      </c>
      <c r="B293" s="14">
        <v>1354.05</v>
      </c>
      <c r="C293" s="13">
        <v>768.95</v>
      </c>
      <c r="D293" s="13">
        <v>907.06</v>
      </c>
      <c r="E293" s="14">
        <v>3788</v>
      </c>
      <c r="F293" s="14">
        <v>18145.400000000001</v>
      </c>
    </row>
    <row r="294" spans="1:6">
      <c r="A294" s="12">
        <v>44867</v>
      </c>
      <c r="B294" s="14">
        <v>1352.35</v>
      </c>
      <c r="C294" s="13">
        <v>767.54</v>
      </c>
      <c r="D294" s="13">
        <v>911.13</v>
      </c>
      <c r="E294" s="14">
        <v>3723.95</v>
      </c>
      <c r="F294" s="14">
        <v>18082.849999999999</v>
      </c>
    </row>
    <row r="295" spans="1:6">
      <c r="A295" s="12">
        <v>44868</v>
      </c>
      <c r="B295" s="14">
        <v>1335.4</v>
      </c>
      <c r="C295" s="13">
        <v>758.88</v>
      </c>
      <c r="D295" s="13">
        <v>917.98</v>
      </c>
      <c r="E295" s="14">
        <v>3748.05</v>
      </c>
      <c r="F295" s="14">
        <v>18052.7</v>
      </c>
    </row>
    <row r="296" spans="1:6">
      <c r="A296" s="12">
        <v>44869</v>
      </c>
      <c r="B296" s="14">
        <v>1338.3</v>
      </c>
      <c r="C296" s="13">
        <v>747.62</v>
      </c>
      <c r="D296" s="13">
        <v>905.02</v>
      </c>
      <c r="E296" s="14">
        <v>3804.2</v>
      </c>
      <c r="F296" s="14">
        <v>18117.150000000001</v>
      </c>
    </row>
    <row r="297" spans="1:6">
      <c r="A297" s="12">
        <v>44872</v>
      </c>
      <c r="B297" s="14">
        <v>1351.3</v>
      </c>
      <c r="C297" s="13">
        <v>742.73</v>
      </c>
      <c r="D297" s="13">
        <v>897.09</v>
      </c>
      <c r="E297" s="14">
        <v>4139.25</v>
      </c>
      <c r="F297" s="14">
        <v>18202.8</v>
      </c>
    </row>
    <row r="298" spans="1:6">
      <c r="A298" s="12">
        <v>44874</v>
      </c>
      <c r="B298" s="14">
        <v>1337.55</v>
      </c>
      <c r="C298" s="13">
        <v>736.16</v>
      </c>
      <c r="D298" s="13">
        <v>906.98</v>
      </c>
      <c r="E298" s="14">
        <v>4175.3500000000004</v>
      </c>
      <c r="F298" s="14">
        <v>18157</v>
      </c>
    </row>
    <row r="299" spans="1:6">
      <c r="A299" s="12">
        <v>44875</v>
      </c>
      <c r="B299" s="14">
        <v>1298.2</v>
      </c>
      <c r="C299" s="13">
        <v>735.22</v>
      </c>
      <c r="D299" s="13">
        <v>909.89</v>
      </c>
      <c r="E299" s="14">
        <v>4134.6499999999996</v>
      </c>
      <c r="F299" s="14">
        <v>18028.2</v>
      </c>
    </row>
    <row r="300" spans="1:6">
      <c r="A300" s="12">
        <v>44876</v>
      </c>
      <c r="B300" s="14">
        <v>1287.0999999999999</v>
      </c>
      <c r="C300" s="13">
        <v>779.53</v>
      </c>
      <c r="D300" s="13">
        <v>907.89</v>
      </c>
      <c r="E300" s="14">
        <v>4098.6499999999996</v>
      </c>
      <c r="F300" s="14">
        <v>18349.7</v>
      </c>
    </row>
    <row r="301" spans="1:6">
      <c r="A301" s="12">
        <v>44879</v>
      </c>
      <c r="B301" s="14">
        <v>1278.1500000000001</v>
      </c>
      <c r="C301" s="13">
        <v>803.67</v>
      </c>
      <c r="D301" s="13">
        <v>872.73</v>
      </c>
      <c r="E301" s="14">
        <v>4103.95</v>
      </c>
      <c r="F301" s="14">
        <v>18329.150000000001</v>
      </c>
    </row>
    <row r="302" spans="1:6">
      <c r="A302" s="12">
        <v>44880</v>
      </c>
      <c r="B302" s="14">
        <v>1291.7</v>
      </c>
      <c r="C302" s="13">
        <v>794.46</v>
      </c>
      <c r="D302" s="13">
        <v>886.74</v>
      </c>
      <c r="E302" s="14">
        <v>4139.3500000000004</v>
      </c>
      <c r="F302" s="14">
        <v>18403.400000000001</v>
      </c>
    </row>
    <row r="303" spans="1:6">
      <c r="A303" s="12">
        <v>44881</v>
      </c>
      <c r="B303" s="14">
        <v>1286.7</v>
      </c>
      <c r="C303" s="13">
        <v>788.89</v>
      </c>
      <c r="D303" s="13">
        <v>896.2</v>
      </c>
      <c r="E303" s="14">
        <v>4131.5</v>
      </c>
      <c r="F303" s="14">
        <v>18409.650000000001</v>
      </c>
    </row>
    <row r="304" spans="1:6">
      <c r="A304" s="12">
        <v>44882</v>
      </c>
      <c r="B304" s="14">
        <v>1259.3499999999999</v>
      </c>
      <c r="C304" s="13">
        <v>773.16</v>
      </c>
      <c r="D304" s="13">
        <v>884.26</v>
      </c>
      <c r="E304" s="14">
        <v>4125.2</v>
      </c>
      <c r="F304" s="14">
        <v>18343.900000000001</v>
      </c>
    </row>
    <row r="305" spans="1:6">
      <c r="A305" s="12">
        <v>44883</v>
      </c>
      <c r="B305" s="14">
        <v>1227.1500000000001</v>
      </c>
      <c r="C305" s="13">
        <v>761.75</v>
      </c>
      <c r="D305" s="13">
        <v>881.81</v>
      </c>
      <c r="E305" s="14">
        <v>4106.05</v>
      </c>
      <c r="F305" s="14">
        <v>18307.650000000001</v>
      </c>
    </row>
    <row r="306" spans="1:6">
      <c r="A306" s="12">
        <v>44886</v>
      </c>
      <c r="B306" s="14">
        <v>1218.25</v>
      </c>
      <c r="C306" s="13">
        <v>752.15</v>
      </c>
      <c r="D306" s="13">
        <v>869.97</v>
      </c>
      <c r="E306" s="14">
        <v>4120.05</v>
      </c>
      <c r="F306" s="14">
        <v>18159.95</v>
      </c>
    </row>
    <row r="307" spans="1:6">
      <c r="A307" s="12">
        <v>44887</v>
      </c>
      <c r="B307" s="14">
        <v>1228.45</v>
      </c>
      <c r="C307" s="13">
        <v>761.57</v>
      </c>
      <c r="D307" s="13">
        <v>872.5</v>
      </c>
      <c r="E307" s="14">
        <v>4157.6000000000004</v>
      </c>
      <c r="F307" s="14">
        <v>18244.2</v>
      </c>
    </row>
    <row r="308" spans="1:6">
      <c r="A308" s="12">
        <v>44888</v>
      </c>
      <c r="B308" s="14">
        <v>1235.7</v>
      </c>
      <c r="C308" s="13">
        <v>774.87</v>
      </c>
      <c r="D308" s="13">
        <v>881.13</v>
      </c>
      <c r="E308" s="14">
        <v>4155.1499999999996</v>
      </c>
      <c r="F308" s="14">
        <v>18267.25</v>
      </c>
    </row>
    <row r="309" spans="1:6">
      <c r="A309" s="12">
        <v>44889</v>
      </c>
      <c r="B309" s="14">
        <v>1254.05</v>
      </c>
      <c r="C309" s="13">
        <v>789.58</v>
      </c>
      <c r="D309" s="13">
        <v>882.77</v>
      </c>
      <c r="E309" s="14">
        <v>4191.2</v>
      </c>
      <c r="F309" s="14">
        <v>18484.099999999999</v>
      </c>
    </row>
    <row r="310" spans="1:6">
      <c r="A310" s="12">
        <v>44890</v>
      </c>
      <c r="B310" s="14">
        <v>1260.8</v>
      </c>
      <c r="C310" s="13">
        <v>788.96</v>
      </c>
      <c r="D310" s="13">
        <v>883.62</v>
      </c>
      <c r="E310" s="14">
        <v>4183.7</v>
      </c>
      <c r="F310" s="14">
        <v>18512.75</v>
      </c>
    </row>
    <row r="311" spans="1:6">
      <c r="A311" s="12">
        <v>44893</v>
      </c>
      <c r="B311" s="14">
        <v>1250.7</v>
      </c>
      <c r="C311" s="13">
        <v>795.88</v>
      </c>
      <c r="D311" s="13">
        <v>880.4</v>
      </c>
      <c r="E311" s="14">
        <v>4213.05</v>
      </c>
      <c r="F311" s="14">
        <v>18562.75</v>
      </c>
    </row>
    <row r="312" spans="1:6">
      <c r="A312" s="12">
        <v>44894</v>
      </c>
      <c r="B312" s="14">
        <v>1257.0999999999999</v>
      </c>
      <c r="C312" s="13">
        <v>795.55</v>
      </c>
      <c r="D312" s="13">
        <v>890.67</v>
      </c>
      <c r="E312" s="14">
        <v>4285.3500000000004</v>
      </c>
      <c r="F312" s="14">
        <v>18618.05</v>
      </c>
    </row>
    <row r="313" spans="1:6">
      <c r="A313" s="12">
        <v>44895</v>
      </c>
      <c r="B313" s="14">
        <v>1305.5999999999999</v>
      </c>
      <c r="C313" s="13">
        <v>807.26</v>
      </c>
      <c r="D313" s="13">
        <v>897.43</v>
      </c>
      <c r="E313" s="14">
        <v>4362.3</v>
      </c>
      <c r="F313" s="14">
        <v>18758.349999999999</v>
      </c>
    </row>
    <row r="314" spans="1:6">
      <c r="A314" s="12">
        <v>44896</v>
      </c>
      <c r="B314" s="14">
        <v>1293.45</v>
      </c>
      <c r="C314" s="13">
        <v>823.37</v>
      </c>
      <c r="D314" s="13">
        <v>894.87</v>
      </c>
      <c r="E314" s="14">
        <v>4401.25</v>
      </c>
      <c r="F314" s="14">
        <v>18812.5</v>
      </c>
    </row>
    <row r="315" spans="1:6">
      <c r="A315" s="12">
        <v>44897</v>
      </c>
      <c r="B315" s="14">
        <v>1264.5999999999999</v>
      </c>
      <c r="C315" s="13">
        <v>847.5</v>
      </c>
      <c r="D315" s="13">
        <v>902.08</v>
      </c>
      <c r="E315" s="14">
        <v>4432.8999999999996</v>
      </c>
      <c r="F315" s="14">
        <v>18696.099999999999</v>
      </c>
    </row>
    <row r="316" spans="1:6">
      <c r="A316" s="12">
        <v>44900</v>
      </c>
      <c r="B316" s="14">
        <v>1259.8</v>
      </c>
      <c r="C316" s="13">
        <v>838.36</v>
      </c>
      <c r="D316" s="13">
        <v>895.88</v>
      </c>
      <c r="E316" s="14">
        <v>4403.3500000000004</v>
      </c>
      <c r="F316" s="14">
        <v>18701.05</v>
      </c>
    </row>
    <row r="317" spans="1:6">
      <c r="A317" s="12">
        <v>44901</v>
      </c>
      <c r="B317" s="14">
        <v>1263.05</v>
      </c>
      <c r="C317" s="13">
        <v>815.98</v>
      </c>
      <c r="D317" s="13">
        <v>874.84</v>
      </c>
      <c r="E317" s="14">
        <v>4424.3500000000004</v>
      </c>
      <c r="F317" s="14">
        <v>18642.75</v>
      </c>
    </row>
    <row r="318" spans="1:6">
      <c r="A318" s="12">
        <v>44902</v>
      </c>
      <c r="B318" s="14">
        <v>1266.5999999999999</v>
      </c>
      <c r="C318" s="13">
        <v>804.79</v>
      </c>
      <c r="D318" s="13">
        <v>872.3</v>
      </c>
      <c r="E318" s="14">
        <v>4393.55</v>
      </c>
      <c r="F318" s="14">
        <v>18560.5</v>
      </c>
    </row>
    <row r="319" spans="1:6">
      <c r="A319" s="12">
        <v>44903</v>
      </c>
      <c r="B319" s="14">
        <v>1274.3499999999999</v>
      </c>
      <c r="C319" s="13">
        <v>797.16</v>
      </c>
      <c r="D319" s="13">
        <v>871.24</v>
      </c>
      <c r="E319" s="14">
        <v>4394.8999999999996</v>
      </c>
      <c r="F319" s="14">
        <v>18609.349999999999</v>
      </c>
    </row>
    <row r="320" spans="1:6">
      <c r="A320" s="12">
        <v>44904</v>
      </c>
      <c r="B320" s="14">
        <v>1265.4000000000001</v>
      </c>
      <c r="C320" s="13">
        <v>775.44</v>
      </c>
      <c r="D320" s="13">
        <v>881.42</v>
      </c>
      <c r="E320" s="14">
        <v>4410.3</v>
      </c>
      <c r="F320" s="14">
        <v>18496.599999999999</v>
      </c>
    </row>
    <row r="321" spans="1:6">
      <c r="A321" s="12">
        <v>44907</v>
      </c>
      <c r="B321" s="14">
        <v>1264</v>
      </c>
      <c r="C321" s="13">
        <v>781.25</v>
      </c>
      <c r="D321" s="13">
        <v>890.45</v>
      </c>
      <c r="E321" s="14">
        <v>4432.55</v>
      </c>
      <c r="F321" s="14">
        <v>18497.150000000001</v>
      </c>
    </row>
    <row r="322" spans="1:6">
      <c r="A322" s="12">
        <v>44908</v>
      </c>
      <c r="B322" s="14">
        <v>1283.3499999999999</v>
      </c>
      <c r="C322" s="13">
        <v>783.72</v>
      </c>
      <c r="D322" s="13">
        <v>891.63</v>
      </c>
      <c r="E322" s="14">
        <v>4426.55</v>
      </c>
      <c r="F322" s="14">
        <v>18608</v>
      </c>
    </row>
    <row r="323" spans="1:6">
      <c r="A323" s="12">
        <v>44909</v>
      </c>
      <c r="B323" s="14">
        <v>1286.45</v>
      </c>
      <c r="C323" s="13">
        <v>797.06</v>
      </c>
      <c r="D323" s="13">
        <v>900.91</v>
      </c>
      <c r="E323" s="14">
        <v>4409.7</v>
      </c>
      <c r="F323" s="14">
        <v>18660.3</v>
      </c>
    </row>
    <row r="324" spans="1:6">
      <c r="A324" s="12">
        <v>44910</v>
      </c>
      <c r="B324" s="14">
        <v>1286.95</v>
      </c>
      <c r="C324" s="13">
        <v>775.05</v>
      </c>
      <c r="D324" s="13">
        <v>893.79</v>
      </c>
      <c r="E324" s="14">
        <v>4465.45</v>
      </c>
      <c r="F324" s="14">
        <v>18414.900000000001</v>
      </c>
    </row>
    <row r="325" spans="1:6">
      <c r="A325" s="12">
        <v>44911</v>
      </c>
      <c r="B325" s="14">
        <v>1251.5999999999999</v>
      </c>
      <c r="C325" s="13">
        <v>790.52</v>
      </c>
      <c r="D325" s="13">
        <v>861.82</v>
      </c>
      <c r="E325" s="14">
        <v>4444.7</v>
      </c>
      <c r="F325" s="14">
        <v>18269</v>
      </c>
    </row>
    <row r="326" spans="1:6">
      <c r="A326" s="12">
        <v>44914</v>
      </c>
      <c r="B326" s="14">
        <v>1290.6500000000001</v>
      </c>
      <c r="C326" s="13">
        <v>779.13</v>
      </c>
      <c r="D326" s="13">
        <v>879.21</v>
      </c>
      <c r="E326" s="14">
        <v>4526.5</v>
      </c>
      <c r="F326" s="14">
        <v>18420.45</v>
      </c>
    </row>
    <row r="327" spans="1:6">
      <c r="A327" s="12">
        <v>44915</v>
      </c>
      <c r="B327" s="14">
        <v>1275.25</v>
      </c>
      <c r="C327" s="13">
        <v>779.19</v>
      </c>
      <c r="D327" s="13">
        <v>873.95</v>
      </c>
      <c r="E327" s="14">
        <v>4509.05</v>
      </c>
      <c r="F327" s="14">
        <v>18385.3</v>
      </c>
    </row>
    <row r="328" spans="1:6">
      <c r="A328" s="12">
        <v>44916</v>
      </c>
      <c r="B328" s="14">
        <v>1265.7</v>
      </c>
      <c r="C328" s="13">
        <v>784.08</v>
      </c>
      <c r="D328" s="13">
        <v>881.51</v>
      </c>
      <c r="E328" s="14">
        <v>4418.8500000000004</v>
      </c>
      <c r="F328" s="14">
        <v>18199.099999999999</v>
      </c>
    </row>
    <row r="329" spans="1:6">
      <c r="A329" s="12">
        <v>44917</v>
      </c>
      <c r="B329" s="14">
        <v>1233.95</v>
      </c>
      <c r="C329" s="13">
        <v>777.12</v>
      </c>
      <c r="D329" s="13">
        <v>869.85</v>
      </c>
      <c r="E329" s="14">
        <v>4391.45</v>
      </c>
      <c r="F329" s="14">
        <v>18127.349999999999</v>
      </c>
    </row>
    <row r="330" spans="1:6">
      <c r="A330" s="12">
        <v>44918</v>
      </c>
      <c r="B330" s="14">
        <v>1224.5999999999999</v>
      </c>
      <c r="C330" s="13">
        <v>747.09</v>
      </c>
      <c r="D330" s="13">
        <v>862.09</v>
      </c>
      <c r="E330" s="14">
        <v>4331.8999999999996</v>
      </c>
      <c r="F330" s="14">
        <v>17806.8</v>
      </c>
    </row>
    <row r="331" spans="1:6">
      <c r="A331" s="12">
        <v>44921</v>
      </c>
      <c r="B331" s="14">
        <v>1237.05</v>
      </c>
      <c r="C331" s="13">
        <v>754.13</v>
      </c>
      <c r="D331" s="13">
        <v>849.72</v>
      </c>
      <c r="E331" s="14">
        <v>4375.3500000000004</v>
      </c>
      <c r="F331" s="14">
        <v>18014.599999999999</v>
      </c>
    </row>
    <row r="332" spans="1:6">
      <c r="A332" s="12">
        <v>44922</v>
      </c>
      <c r="B332" s="14">
        <v>1234.25</v>
      </c>
      <c r="C332" s="13">
        <v>774.87</v>
      </c>
      <c r="D332" s="13">
        <v>850.17</v>
      </c>
      <c r="E332" s="14">
        <v>4369.25</v>
      </c>
      <c r="F332" s="14">
        <v>18132.3</v>
      </c>
    </row>
    <row r="333" spans="1:6">
      <c r="A333" s="12">
        <v>44923</v>
      </c>
      <c r="B333" s="14">
        <v>1252.3499999999999</v>
      </c>
      <c r="C333" s="13">
        <v>782.9</v>
      </c>
      <c r="D333" s="13">
        <v>850.55</v>
      </c>
      <c r="E333" s="14">
        <v>4385.95</v>
      </c>
      <c r="F333" s="14">
        <v>18122.5</v>
      </c>
    </row>
    <row r="334" spans="1:6">
      <c r="A334" s="12">
        <v>44924</v>
      </c>
      <c r="B334" s="14">
        <v>1262.3499999999999</v>
      </c>
      <c r="C334" s="13">
        <v>783.07</v>
      </c>
      <c r="D334" s="13">
        <v>852.12</v>
      </c>
      <c r="E334" s="14">
        <v>4348.3</v>
      </c>
      <c r="F334" s="14">
        <v>18191</v>
      </c>
    </row>
    <row r="335" spans="1:6">
      <c r="A335" s="12">
        <v>44925</v>
      </c>
      <c r="B335" s="14">
        <v>1249.2</v>
      </c>
      <c r="C335" s="13">
        <v>776.82</v>
      </c>
      <c r="D335" s="13">
        <v>847.51</v>
      </c>
      <c r="E335" s="14">
        <v>4307.45</v>
      </c>
      <c r="F335" s="14">
        <v>18105.3</v>
      </c>
    </row>
    <row r="336" spans="1:6">
      <c r="A336" s="12">
        <v>44928</v>
      </c>
      <c r="B336" s="14">
        <v>1262.8499999999999</v>
      </c>
      <c r="C336" s="13">
        <v>790.24</v>
      </c>
      <c r="D336" s="13">
        <v>847.01</v>
      </c>
      <c r="E336" s="14">
        <v>4292.1499999999996</v>
      </c>
      <c r="F336" s="14">
        <v>18197.45</v>
      </c>
    </row>
    <row r="337" spans="1:6">
      <c r="A337" s="12">
        <v>44929</v>
      </c>
      <c r="B337" s="14">
        <v>1249.3</v>
      </c>
      <c r="C337" s="13">
        <v>803.91</v>
      </c>
      <c r="D337" s="13">
        <v>847.67</v>
      </c>
      <c r="E337" s="14">
        <v>4241.8500000000004</v>
      </c>
      <c r="F337" s="14">
        <v>18232.55</v>
      </c>
    </row>
    <row r="338" spans="1:6">
      <c r="A338" s="12">
        <v>44930</v>
      </c>
      <c r="B338" s="14">
        <v>1236.2</v>
      </c>
      <c r="C338" s="13">
        <v>789.85</v>
      </c>
      <c r="D338" s="13">
        <v>850.7</v>
      </c>
      <c r="E338" s="14">
        <v>4235</v>
      </c>
      <c r="F338" s="14">
        <v>18042.95</v>
      </c>
    </row>
    <row r="339" spans="1:6">
      <c r="A339" s="12">
        <v>44931</v>
      </c>
      <c r="B339" s="14">
        <v>1252.6500000000001</v>
      </c>
      <c r="C339" s="13">
        <v>785.89</v>
      </c>
      <c r="D339" s="13">
        <v>859.5</v>
      </c>
      <c r="E339" s="14">
        <v>4313.2</v>
      </c>
      <c r="F339" s="14">
        <v>17992.150000000001</v>
      </c>
    </row>
    <row r="340" spans="1:6">
      <c r="A340" s="12">
        <v>44932</v>
      </c>
      <c r="B340" s="14">
        <v>1264.9000000000001</v>
      </c>
      <c r="C340" s="13">
        <v>780.2</v>
      </c>
      <c r="D340" s="13">
        <v>854.35</v>
      </c>
      <c r="E340" s="14">
        <v>4359.05</v>
      </c>
      <c r="F340" s="14">
        <v>17859.45</v>
      </c>
    </row>
    <row r="341" spans="1:6">
      <c r="A341" s="12">
        <v>44935</v>
      </c>
      <c r="B341" s="14">
        <v>1310.3499999999999</v>
      </c>
      <c r="C341" s="13">
        <v>803.47</v>
      </c>
      <c r="D341" s="13">
        <v>866.8</v>
      </c>
      <c r="E341" s="14">
        <v>4364.3</v>
      </c>
      <c r="F341" s="14">
        <v>18101.2</v>
      </c>
    </row>
    <row r="342" spans="1:6">
      <c r="A342" s="12">
        <v>44936</v>
      </c>
      <c r="B342" s="14">
        <v>1314.9</v>
      </c>
      <c r="C342" s="13">
        <v>794.88</v>
      </c>
      <c r="D342" s="13">
        <v>857.74</v>
      </c>
      <c r="E342" s="14">
        <v>4326.8500000000004</v>
      </c>
      <c r="F342" s="14">
        <v>17914.150000000001</v>
      </c>
    </row>
    <row r="343" spans="1:6">
      <c r="A343" s="12">
        <v>44937</v>
      </c>
      <c r="B343" s="14">
        <v>1312.6</v>
      </c>
      <c r="C343" s="13">
        <v>787.22</v>
      </c>
      <c r="D343" s="13">
        <v>852.38</v>
      </c>
      <c r="E343" s="14">
        <v>4314.3</v>
      </c>
      <c r="F343" s="14">
        <v>17895.7</v>
      </c>
    </row>
    <row r="344" spans="1:6">
      <c r="A344" s="12">
        <v>44938</v>
      </c>
      <c r="B344" s="14">
        <v>1319.9</v>
      </c>
      <c r="C344" s="13">
        <v>780.84</v>
      </c>
      <c r="D344" s="13">
        <v>862.12</v>
      </c>
      <c r="E344" s="14">
        <v>4299.25</v>
      </c>
      <c r="F344" s="14">
        <v>17858.2</v>
      </c>
    </row>
    <row r="345" spans="1:6">
      <c r="A345" s="12">
        <v>44939</v>
      </c>
      <c r="B345" s="14">
        <v>1328.15</v>
      </c>
      <c r="C345" s="13">
        <v>776.89</v>
      </c>
      <c r="D345" s="13">
        <v>864.08</v>
      </c>
      <c r="E345" s="14">
        <v>4336.1000000000004</v>
      </c>
      <c r="F345" s="14">
        <v>17956.599999999999</v>
      </c>
    </row>
    <row r="346" spans="1:6">
      <c r="A346" s="12">
        <v>44942</v>
      </c>
      <c r="B346" s="14">
        <v>1315.6</v>
      </c>
      <c r="C346" s="13">
        <v>779.7</v>
      </c>
      <c r="D346" s="13">
        <v>865.21</v>
      </c>
      <c r="E346" s="14">
        <v>4309.6000000000004</v>
      </c>
      <c r="F346" s="14">
        <v>17894.849999999999</v>
      </c>
    </row>
    <row r="347" spans="1:6">
      <c r="A347" s="12">
        <v>44943</v>
      </c>
      <c r="B347" s="14">
        <v>1320.85</v>
      </c>
      <c r="C347" s="13">
        <v>783.6</v>
      </c>
      <c r="D347" s="13">
        <v>870.35</v>
      </c>
      <c r="E347" s="14">
        <v>4362.05</v>
      </c>
      <c r="F347" s="14">
        <v>18053.3</v>
      </c>
    </row>
    <row r="348" spans="1:6">
      <c r="A348" s="12">
        <v>44944</v>
      </c>
      <c r="B348" s="14">
        <v>1322.15</v>
      </c>
      <c r="C348" s="13">
        <v>785.16</v>
      </c>
      <c r="D348" s="13">
        <v>872.87</v>
      </c>
      <c r="E348" s="14">
        <v>4393.7</v>
      </c>
      <c r="F348" s="14">
        <v>18165.349999999999</v>
      </c>
    </row>
    <row r="349" spans="1:6">
      <c r="A349" s="12">
        <v>44945</v>
      </c>
      <c r="B349" s="14">
        <v>1319.55</v>
      </c>
      <c r="C349" s="13">
        <v>793.31</v>
      </c>
      <c r="D349" s="13">
        <v>866.44</v>
      </c>
      <c r="E349" s="14">
        <v>4372.3999999999996</v>
      </c>
      <c r="F349" s="14">
        <v>18107.849999999999</v>
      </c>
    </row>
    <row r="350" spans="1:6">
      <c r="A350" s="12">
        <v>44946</v>
      </c>
      <c r="B350" s="14">
        <v>1314.75</v>
      </c>
      <c r="C350" s="13">
        <v>820.4</v>
      </c>
      <c r="D350" s="13">
        <v>870.12</v>
      </c>
      <c r="E350" s="14">
        <v>4318.95</v>
      </c>
      <c r="F350" s="14">
        <v>18027.650000000001</v>
      </c>
    </row>
    <row r="351" spans="1:6">
      <c r="A351" s="12">
        <v>44949</v>
      </c>
      <c r="B351" s="14">
        <v>1328.45</v>
      </c>
      <c r="C351" s="13">
        <v>871.78</v>
      </c>
      <c r="D351" s="13">
        <v>867.57</v>
      </c>
      <c r="E351" s="14">
        <v>4337.8500000000004</v>
      </c>
      <c r="F351" s="14">
        <v>18118.55</v>
      </c>
    </row>
    <row r="352" spans="1:6">
      <c r="A352" s="12">
        <v>44950</v>
      </c>
      <c r="B352" s="14">
        <v>1323.9</v>
      </c>
      <c r="C352" s="13">
        <v>864.8</v>
      </c>
      <c r="D352" s="13">
        <v>850.55</v>
      </c>
      <c r="E352" s="14">
        <v>4396.05</v>
      </c>
      <c r="F352" s="14">
        <v>18118.3</v>
      </c>
    </row>
    <row r="353" spans="1:6">
      <c r="A353" s="12">
        <v>44951</v>
      </c>
      <c r="B353" s="14">
        <v>1311.5</v>
      </c>
      <c r="C353" s="13">
        <v>854.54</v>
      </c>
      <c r="D353" s="13">
        <v>840.19</v>
      </c>
      <c r="E353" s="14">
        <v>4388.1499999999996</v>
      </c>
      <c r="F353" s="14">
        <v>17891.95</v>
      </c>
    </row>
    <row r="354" spans="1:6">
      <c r="A354" s="12">
        <v>44953</v>
      </c>
      <c r="B354" s="14">
        <v>1320.2</v>
      </c>
      <c r="C354" s="13">
        <v>858.82</v>
      </c>
      <c r="D354" s="13">
        <v>862.8</v>
      </c>
      <c r="E354" s="14">
        <v>4380.3999999999996</v>
      </c>
      <c r="F354" s="14">
        <v>17604.349999999999</v>
      </c>
    </row>
    <row r="355" spans="1:6">
      <c r="A355" s="12">
        <v>44956</v>
      </c>
      <c r="B355" s="14">
        <v>1331.6</v>
      </c>
      <c r="C355" s="13">
        <v>883.73</v>
      </c>
      <c r="D355" s="13">
        <v>865.76</v>
      </c>
      <c r="E355" s="14">
        <v>4406.75</v>
      </c>
      <c r="F355" s="14">
        <v>17648.95</v>
      </c>
    </row>
    <row r="356" spans="1:6">
      <c r="A356" s="12">
        <v>44957</v>
      </c>
      <c r="B356" s="14">
        <v>1378.75</v>
      </c>
      <c r="C356" s="13">
        <v>875.78</v>
      </c>
      <c r="D356" s="13">
        <v>864.83</v>
      </c>
      <c r="E356" s="14">
        <v>4317.6000000000004</v>
      </c>
      <c r="F356" s="14">
        <v>17662.150000000001</v>
      </c>
    </row>
    <row r="357" spans="1:6">
      <c r="A357" s="12">
        <v>44958</v>
      </c>
      <c r="B357" s="14">
        <v>1352.05</v>
      </c>
      <c r="C357" s="13">
        <v>870.55</v>
      </c>
      <c r="D357" s="13">
        <v>870.3</v>
      </c>
      <c r="E357" s="14">
        <v>4370.95</v>
      </c>
      <c r="F357" s="14">
        <v>17616.3</v>
      </c>
    </row>
    <row r="358" spans="1:6">
      <c r="A358" s="12">
        <v>44959</v>
      </c>
      <c r="B358" s="14">
        <v>1352.4</v>
      </c>
      <c r="C358" s="13">
        <v>886.78</v>
      </c>
      <c r="D358" s="13">
        <v>874.02</v>
      </c>
      <c r="E358" s="14">
        <v>4573.05</v>
      </c>
      <c r="F358" s="14">
        <v>17610.400000000001</v>
      </c>
    </row>
    <row r="359" spans="1:6">
      <c r="A359" s="12">
        <v>44960</v>
      </c>
      <c r="B359" s="14">
        <v>1388</v>
      </c>
      <c r="C359" s="13">
        <v>861.72</v>
      </c>
      <c r="D359" s="13">
        <v>871.67</v>
      </c>
      <c r="E359" s="14">
        <v>4628.8500000000004</v>
      </c>
      <c r="F359" s="14">
        <v>17854.05</v>
      </c>
    </row>
    <row r="360" spans="1:6">
      <c r="A360" s="12">
        <v>44963</v>
      </c>
      <c r="B360" s="14">
        <v>1376</v>
      </c>
      <c r="C360" s="13">
        <v>863.56</v>
      </c>
      <c r="D360" s="13">
        <v>869.91</v>
      </c>
      <c r="E360" s="14">
        <v>4625.6499999999996</v>
      </c>
      <c r="F360" s="14">
        <v>17764.599999999999</v>
      </c>
    </row>
    <row r="361" spans="1:6">
      <c r="A361" s="12">
        <v>44964</v>
      </c>
      <c r="B361" s="14">
        <v>1366.7</v>
      </c>
      <c r="C361" s="13">
        <v>860.52</v>
      </c>
      <c r="D361" s="13">
        <v>888.05</v>
      </c>
      <c r="E361" s="14">
        <v>4606.8500000000004</v>
      </c>
      <c r="F361" s="14">
        <v>17721.5</v>
      </c>
    </row>
    <row r="362" spans="1:6">
      <c r="A362" s="12">
        <v>44965</v>
      </c>
      <c r="B362" s="14">
        <v>1373.05</v>
      </c>
      <c r="C362" s="13">
        <v>865.89</v>
      </c>
      <c r="D362" s="13">
        <v>897.56</v>
      </c>
      <c r="E362" s="14">
        <v>4594.8</v>
      </c>
      <c r="F362" s="14">
        <v>17871.7</v>
      </c>
    </row>
    <row r="363" spans="1:6">
      <c r="A363" s="12">
        <v>44966</v>
      </c>
      <c r="B363" s="14">
        <v>1372.2</v>
      </c>
      <c r="C363" s="13">
        <v>868.1</v>
      </c>
      <c r="D363" s="13">
        <v>897.5</v>
      </c>
      <c r="E363" s="14">
        <v>4637.3500000000004</v>
      </c>
      <c r="F363" s="14">
        <v>17893.45</v>
      </c>
    </row>
    <row r="364" spans="1:6">
      <c r="A364" s="12">
        <v>44967</v>
      </c>
      <c r="B364" s="14">
        <v>1365.45</v>
      </c>
      <c r="C364" s="13">
        <v>866.86</v>
      </c>
      <c r="D364" s="13">
        <v>899.92</v>
      </c>
      <c r="E364" s="14">
        <v>4622.7</v>
      </c>
      <c r="F364" s="14">
        <v>17856.5</v>
      </c>
    </row>
    <row r="365" spans="1:6">
      <c r="A365" s="12">
        <v>44970</v>
      </c>
      <c r="B365" s="14">
        <v>1353</v>
      </c>
      <c r="C365" s="13">
        <v>806.45</v>
      </c>
      <c r="D365" s="13">
        <v>904.94</v>
      </c>
      <c r="E365" s="14">
        <v>4588</v>
      </c>
      <c r="F365" s="14">
        <v>17770.900000000001</v>
      </c>
    </row>
    <row r="366" spans="1:6">
      <c r="A366" s="12">
        <v>44971</v>
      </c>
      <c r="B366" s="14">
        <v>1363.15</v>
      </c>
      <c r="C366" s="13">
        <v>815.98</v>
      </c>
      <c r="D366" s="13">
        <v>907.68</v>
      </c>
      <c r="E366" s="14">
        <v>4599.8500000000004</v>
      </c>
      <c r="F366" s="14">
        <v>17929.849999999999</v>
      </c>
    </row>
    <row r="367" spans="1:6">
      <c r="A367" s="12">
        <v>44972</v>
      </c>
      <c r="B367" s="14">
        <v>1379.35</v>
      </c>
      <c r="C367" s="13">
        <v>823</v>
      </c>
      <c r="D367" s="13">
        <v>903.97</v>
      </c>
      <c r="E367" s="14">
        <v>4588.45</v>
      </c>
      <c r="F367" s="14">
        <v>18015.849999999999</v>
      </c>
    </row>
    <row r="368" spans="1:6">
      <c r="A368" s="12">
        <v>44973</v>
      </c>
      <c r="B368" s="14">
        <v>1368.15</v>
      </c>
      <c r="C368" s="13">
        <v>845.86</v>
      </c>
      <c r="D368" s="13">
        <v>903.86</v>
      </c>
      <c r="E368" s="14">
        <v>4572</v>
      </c>
      <c r="F368" s="14">
        <v>18035.849999999999</v>
      </c>
    </row>
    <row r="369" spans="1:6">
      <c r="A369" s="12">
        <v>44974</v>
      </c>
      <c r="B369" s="14">
        <v>1341.5</v>
      </c>
      <c r="C369" s="13">
        <v>840.82</v>
      </c>
      <c r="D369" s="13">
        <v>902.07</v>
      </c>
      <c r="E369" s="14">
        <v>4533.25</v>
      </c>
      <c r="F369" s="14">
        <v>17944.2</v>
      </c>
    </row>
    <row r="370" spans="1:6">
      <c r="A370" s="12">
        <v>44977</v>
      </c>
      <c r="B370" s="14">
        <v>1346.25</v>
      </c>
      <c r="C370" s="13">
        <v>867.09</v>
      </c>
      <c r="D370" s="13">
        <v>894.96</v>
      </c>
      <c r="E370" s="14">
        <v>4453.8</v>
      </c>
      <c r="F370" s="14">
        <v>17844.599999999999</v>
      </c>
    </row>
    <row r="371" spans="1:6">
      <c r="A371" s="12">
        <v>44978</v>
      </c>
      <c r="B371" s="14">
        <v>1351.85</v>
      </c>
      <c r="C371" s="13">
        <v>867.99</v>
      </c>
      <c r="D371" s="13">
        <v>897.23</v>
      </c>
      <c r="E371" s="14">
        <v>4503.3500000000004</v>
      </c>
      <c r="F371" s="14">
        <v>17826.7</v>
      </c>
    </row>
    <row r="372" spans="1:6">
      <c r="A372" s="12">
        <v>44979</v>
      </c>
      <c r="B372" s="14">
        <v>1319.75</v>
      </c>
      <c r="C372" s="13">
        <v>868.51</v>
      </c>
      <c r="D372" s="13">
        <v>895.34</v>
      </c>
      <c r="E372" s="14">
        <v>4484.5</v>
      </c>
      <c r="F372" s="14">
        <v>17554.3</v>
      </c>
    </row>
    <row r="373" spans="1:6">
      <c r="A373" s="12">
        <v>44980</v>
      </c>
      <c r="B373" s="14">
        <v>1313.95</v>
      </c>
      <c r="C373" s="13">
        <v>884.18</v>
      </c>
      <c r="D373" s="13">
        <v>889.92</v>
      </c>
      <c r="E373" s="14">
        <v>4451.5</v>
      </c>
      <c r="F373" s="14">
        <v>17511.25</v>
      </c>
    </row>
    <row r="374" spans="1:6">
      <c r="A374" s="12">
        <v>44981</v>
      </c>
      <c r="B374" s="14">
        <v>1280.2</v>
      </c>
      <c r="C374" s="13">
        <v>875.5</v>
      </c>
      <c r="D374" s="13">
        <v>898.22</v>
      </c>
      <c r="E374" s="14">
        <v>4442.55</v>
      </c>
      <c r="F374" s="14">
        <v>17465.8</v>
      </c>
    </row>
    <row r="375" spans="1:6">
      <c r="A375" s="12">
        <v>44984</v>
      </c>
      <c r="B375" s="14">
        <v>1257.4000000000001</v>
      </c>
      <c r="C375" s="13">
        <v>854.79</v>
      </c>
      <c r="D375" s="13">
        <v>884.2</v>
      </c>
      <c r="E375" s="14">
        <v>4388.25</v>
      </c>
      <c r="F375" s="14">
        <v>17392.7</v>
      </c>
    </row>
    <row r="376" spans="1:6">
      <c r="A376" s="12">
        <v>44985</v>
      </c>
      <c r="B376" s="14">
        <v>1269.5999999999999</v>
      </c>
      <c r="C376" s="13">
        <v>859.73</v>
      </c>
      <c r="D376" s="13">
        <v>863.32</v>
      </c>
      <c r="E376" s="14">
        <v>4461.75</v>
      </c>
      <c r="F376" s="14">
        <v>17303.95</v>
      </c>
    </row>
    <row r="377" spans="1:6">
      <c r="A377" s="12">
        <v>44986</v>
      </c>
      <c r="B377" s="14">
        <v>1272.1500000000001</v>
      </c>
      <c r="C377" s="13">
        <v>860.07</v>
      </c>
      <c r="D377" s="13">
        <v>868.84</v>
      </c>
      <c r="E377" s="14">
        <v>4379.8</v>
      </c>
      <c r="F377" s="14">
        <v>17450.900000000001</v>
      </c>
    </row>
    <row r="378" spans="1:6">
      <c r="A378" s="12">
        <v>44987</v>
      </c>
      <c r="B378" s="14">
        <v>1251.55</v>
      </c>
      <c r="C378" s="13">
        <v>849.94</v>
      </c>
      <c r="D378" s="13">
        <v>878.12</v>
      </c>
      <c r="E378" s="14">
        <v>4394.2</v>
      </c>
      <c r="F378" s="14">
        <v>17321.900000000001</v>
      </c>
    </row>
    <row r="379" spans="1:6">
      <c r="A379" s="12">
        <v>44988</v>
      </c>
      <c r="B379" s="14">
        <v>1268.5999999999999</v>
      </c>
      <c r="C379" s="13">
        <v>851.68</v>
      </c>
      <c r="D379" s="13">
        <v>887.59</v>
      </c>
      <c r="E379" s="14">
        <v>4411.95</v>
      </c>
      <c r="F379" s="14">
        <v>17594.349999999999</v>
      </c>
    </row>
    <row r="380" spans="1:6">
      <c r="A380" s="12">
        <v>44991</v>
      </c>
      <c r="B380" s="14">
        <v>1270.45</v>
      </c>
      <c r="C380" s="13">
        <v>865.67</v>
      </c>
      <c r="D380" s="13">
        <v>887.84</v>
      </c>
      <c r="E380" s="14">
        <v>4319.8500000000004</v>
      </c>
      <c r="F380" s="14">
        <v>17711.45</v>
      </c>
    </row>
    <row r="381" spans="1:6">
      <c r="A381" s="12">
        <v>44993</v>
      </c>
      <c r="B381" s="14">
        <v>1289.95</v>
      </c>
      <c r="C381" s="13">
        <v>855.92</v>
      </c>
      <c r="D381" s="13">
        <v>885.25</v>
      </c>
      <c r="E381" s="14">
        <v>4339.6499999999996</v>
      </c>
      <c r="F381" s="14">
        <v>17754.400000000001</v>
      </c>
    </row>
    <row r="382" spans="1:6">
      <c r="A382" s="12">
        <v>44994</v>
      </c>
      <c r="B382" s="14">
        <v>1248.1500000000001</v>
      </c>
      <c r="C382" s="13">
        <v>851.07</v>
      </c>
      <c r="D382" s="13">
        <v>876.19</v>
      </c>
      <c r="E382" s="14">
        <v>4291.7</v>
      </c>
      <c r="F382" s="14">
        <v>17589.599999999999</v>
      </c>
    </row>
    <row r="383" spans="1:6">
      <c r="A383" s="12">
        <v>44995</v>
      </c>
      <c r="B383" s="14">
        <v>1226.7</v>
      </c>
      <c r="C383" s="13">
        <v>827.27</v>
      </c>
      <c r="D383" s="13">
        <v>879.11</v>
      </c>
      <c r="E383" s="14">
        <v>4311</v>
      </c>
      <c r="F383" s="14">
        <v>17412.900000000001</v>
      </c>
    </row>
    <row r="384" spans="1:6">
      <c r="A384" s="12">
        <v>44998</v>
      </c>
      <c r="B384" s="14">
        <v>1193.45</v>
      </c>
      <c r="C384" s="13">
        <v>816.93</v>
      </c>
      <c r="D384" s="13">
        <v>874.08</v>
      </c>
      <c r="E384" s="14">
        <v>4307.6000000000004</v>
      </c>
      <c r="F384" s="14">
        <v>17154.3</v>
      </c>
    </row>
    <row r="385" spans="1:6">
      <c r="A385" s="12">
        <v>44999</v>
      </c>
      <c r="B385" s="14">
        <v>1160.8</v>
      </c>
      <c r="C385" s="13">
        <v>784.33</v>
      </c>
      <c r="D385" s="13">
        <v>869.91</v>
      </c>
      <c r="E385" s="14">
        <v>4292.95</v>
      </c>
      <c r="F385" s="14">
        <v>17043.3</v>
      </c>
    </row>
    <row r="386" spans="1:6">
      <c r="A386" s="12">
        <v>45000</v>
      </c>
      <c r="B386" s="14">
        <v>1160.3499999999999</v>
      </c>
      <c r="C386" s="13">
        <v>790</v>
      </c>
      <c r="D386" s="13">
        <v>878.9</v>
      </c>
      <c r="E386" s="14">
        <v>4243.1000000000004</v>
      </c>
      <c r="F386" s="14">
        <v>16972.150000000001</v>
      </c>
    </row>
    <row r="387" spans="1:6">
      <c r="A387" s="12">
        <v>45001</v>
      </c>
      <c r="B387" s="14">
        <v>1167.05</v>
      </c>
      <c r="C387" s="13">
        <v>770.41</v>
      </c>
      <c r="D387" s="13">
        <v>876.75</v>
      </c>
      <c r="E387" s="14">
        <v>4311.2</v>
      </c>
      <c r="F387" s="14">
        <v>16985.599999999999</v>
      </c>
    </row>
    <row r="388" spans="1:6">
      <c r="A388" s="12">
        <v>45002</v>
      </c>
      <c r="B388" s="14">
        <v>1171.5</v>
      </c>
      <c r="C388" s="13">
        <v>780.2</v>
      </c>
      <c r="D388" s="13">
        <v>887.23</v>
      </c>
      <c r="E388" s="14">
        <v>4362.55</v>
      </c>
      <c r="F388" s="14">
        <v>17100.05</v>
      </c>
    </row>
    <row r="389" spans="1:6">
      <c r="A389" s="12">
        <v>45005</v>
      </c>
      <c r="B389" s="14">
        <v>1167.6500000000001</v>
      </c>
      <c r="C389" s="13">
        <v>754.93</v>
      </c>
      <c r="D389" s="13">
        <v>887.89</v>
      </c>
      <c r="E389" s="14">
        <v>4331.8500000000004</v>
      </c>
      <c r="F389" s="14">
        <v>16988.400000000001</v>
      </c>
    </row>
    <row r="390" spans="1:6">
      <c r="A390" s="12">
        <v>45006</v>
      </c>
      <c r="B390" s="14">
        <v>1160.3</v>
      </c>
      <c r="C390" s="13">
        <v>742.52</v>
      </c>
      <c r="D390" s="13">
        <v>883.87</v>
      </c>
      <c r="E390" s="14">
        <v>4264.7</v>
      </c>
      <c r="F390" s="14">
        <v>17107.5</v>
      </c>
    </row>
    <row r="391" spans="1:6">
      <c r="A391" s="12">
        <v>45007</v>
      </c>
      <c r="B391" s="14">
        <v>1164.0999999999999</v>
      </c>
      <c r="C391" s="13">
        <v>747.73</v>
      </c>
      <c r="D391" s="13">
        <v>894.99</v>
      </c>
      <c r="E391" s="14">
        <v>4244.45</v>
      </c>
      <c r="F391" s="14">
        <v>17151.900000000001</v>
      </c>
    </row>
    <row r="392" spans="1:6">
      <c r="A392" s="12">
        <v>45008</v>
      </c>
      <c r="B392" s="14">
        <v>1164.95</v>
      </c>
      <c r="C392" s="13">
        <v>749.72</v>
      </c>
      <c r="D392" s="13">
        <v>889.39</v>
      </c>
      <c r="E392" s="14">
        <v>4242.7</v>
      </c>
      <c r="F392" s="14">
        <v>17076.900000000001</v>
      </c>
    </row>
    <row r="393" spans="1:6">
      <c r="A393" s="12">
        <v>45009</v>
      </c>
      <c r="B393" s="14">
        <v>1150.8</v>
      </c>
      <c r="C393" s="13">
        <v>740.1</v>
      </c>
      <c r="D393" s="13">
        <v>892.83</v>
      </c>
      <c r="E393" s="14">
        <v>4199.95</v>
      </c>
      <c r="F393" s="14">
        <v>16945.05</v>
      </c>
    </row>
    <row r="394" spans="1:6">
      <c r="A394" s="12">
        <v>45012</v>
      </c>
      <c r="B394" s="14">
        <v>1137.9000000000001</v>
      </c>
      <c r="C394" s="13">
        <v>727.15</v>
      </c>
      <c r="D394" s="13">
        <v>897.13</v>
      </c>
      <c r="E394" s="14">
        <v>4214.8</v>
      </c>
      <c r="F394" s="14">
        <v>16985.7</v>
      </c>
    </row>
    <row r="395" spans="1:6">
      <c r="A395" s="12">
        <v>45013</v>
      </c>
      <c r="B395" s="14">
        <v>1128.3</v>
      </c>
      <c r="C395" s="13">
        <v>719.61</v>
      </c>
      <c r="D395" s="13">
        <v>905.36</v>
      </c>
      <c r="E395" s="14">
        <v>4200</v>
      </c>
      <c r="F395" s="14">
        <v>16951.7</v>
      </c>
    </row>
    <row r="396" spans="1:6">
      <c r="A396" s="12">
        <v>45014</v>
      </c>
      <c r="B396" s="14">
        <v>1144.3</v>
      </c>
      <c r="C396" s="13">
        <v>732.07</v>
      </c>
      <c r="D396" s="13">
        <v>913.56</v>
      </c>
      <c r="E396" s="14">
        <v>4276.2</v>
      </c>
      <c r="F396" s="14">
        <v>17080.7</v>
      </c>
    </row>
    <row r="397" spans="1:6">
      <c r="A397" s="12">
        <v>45016</v>
      </c>
      <c r="B397" s="14">
        <v>1158.7</v>
      </c>
      <c r="C397" s="13">
        <v>762.82</v>
      </c>
      <c r="D397" s="13">
        <v>924.55</v>
      </c>
      <c r="E397" s="14">
        <v>4322.1499999999996</v>
      </c>
      <c r="F397" s="14">
        <v>17359.75</v>
      </c>
    </row>
    <row r="398" spans="1:6">
      <c r="A398" s="12">
        <v>45019</v>
      </c>
      <c r="B398" s="14">
        <v>1169.9000000000001</v>
      </c>
      <c r="C398" s="13">
        <v>770.27</v>
      </c>
      <c r="D398" s="13">
        <v>931.3</v>
      </c>
      <c r="E398" s="14">
        <v>4324.05</v>
      </c>
      <c r="F398" s="14">
        <v>17398.05</v>
      </c>
    </row>
    <row r="399" spans="1:6">
      <c r="A399" s="12">
        <v>45021</v>
      </c>
      <c r="B399" s="14">
        <v>1155.45</v>
      </c>
      <c r="C399" s="13">
        <v>815.84</v>
      </c>
      <c r="D399" s="13">
        <v>936.56</v>
      </c>
      <c r="E399" s="14">
        <v>4327.55</v>
      </c>
      <c r="F399" s="14">
        <v>17557.05</v>
      </c>
    </row>
    <row r="400" spans="1:6">
      <c r="A400" s="12">
        <v>45022</v>
      </c>
      <c r="B400" s="14">
        <v>1171.25</v>
      </c>
      <c r="C400" s="13">
        <v>800.02</v>
      </c>
      <c r="D400" s="13">
        <v>939.88</v>
      </c>
      <c r="E400" s="14">
        <v>4299.8</v>
      </c>
      <c r="F400" s="14">
        <v>17599.150000000001</v>
      </c>
    </row>
    <row r="401" spans="1:6">
      <c r="A401" s="12">
        <v>45026</v>
      </c>
      <c r="B401" s="14">
        <v>1188.5999999999999</v>
      </c>
      <c r="C401" s="13">
        <v>812.26</v>
      </c>
      <c r="D401" s="13">
        <v>951.93</v>
      </c>
      <c r="E401" s="14">
        <v>4266.3999999999996</v>
      </c>
      <c r="F401" s="14">
        <v>17624.05</v>
      </c>
    </row>
    <row r="402" spans="1:6">
      <c r="A402" s="12">
        <v>45027</v>
      </c>
      <c r="B402" s="14">
        <v>1201.7</v>
      </c>
      <c r="C402" s="13">
        <v>800.97</v>
      </c>
      <c r="D402" s="13">
        <v>952.67</v>
      </c>
      <c r="E402" s="14">
        <v>4277.3500000000004</v>
      </c>
      <c r="F402" s="14">
        <v>17722.3</v>
      </c>
    </row>
    <row r="403" spans="1:6">
      <c r="A403" s="12">
        <v>45028</v>
      </c>
      <c r="B403" s="14">
        <v>1207.3499999999999</v>
      </c>
      <c r="C403" s="13">
        <v>813.04</v>
      </c>
      <c r="D403" s="13">
        <v>976.2</v>
      </c>
      <c r="E403" s="14">
        <v>4271.3</v>
      </c>
      <c r="F403" s="14">
        <v>17812.400000000001</v>
      </c>
    </row>
    <row r="404" spans="1:6">
      <c r="A404" s="12">
        <v>45029</v>
      </c>
      <c r="B404" s="14">
        <v>1204.55</v>
      </c>
      <c r="C404" s="13">
        <v>805.74</v>
      </c>
      <c r="D404" s="13">
        <v>970.58</v>
      </c>
      <c r="E404" s="14">
        <v>4264.2</v>
      </c>
      <c r="F404" s="14">
        <v>17828</v>
      </c>
    </row>
    <row r="405" spans="1:6">
      <c r="A405" s="12">
        <v>45033</v>
      </c>
      <c r="B405" s="14">
        <v>1212.95</v>
      </c>
      <c r="C405" s="13">
        <v>778.38</v>
      </c>
      <c r="D405" s="13">
        <v>970.46</v>
      </c>
      <c r="E405" s="14">
        <v>4338.6000000000004</v>
      </c>
      <c r="F405" s="14">
        <v>17706.849999999999</v>
      </c>
    </row>
    <row r="406" spans="1:6">
      <c r="A406" s="12">
        <v>45034</v>
      </c>
      <c r="B406" s="14">
        <v>1204.7</v>
      </c>
      <c r="C406" s="13">
        <v>805.64</v>
      </c>
      <c r="D406" s="13">
        <v>982.48</v>
      </c>
      <c r="E406" s="14">
        <v>4301.8500000000004</v>
      </c>
      <c r="F406" s="14">
        <v>17660.150000000001</v>
      </c>
    </row>
    <row r="407" spans="1:6">
      <c r="A407" s="12">
        <v>45035</v>
      </c>
      <c r="B407" s="14">
        <v>1215.5</v>
      </c>
      <c r="C407" s="13">
        <v>780.39</v>
      </c>
      <c r="D407" s="13">
        <v>981.87</v>
      </c>
      <c r="E407" s="14">
        <v>4293.8500000000004</v>
      </c>
      <c r="F407" s="14">
        <v>17618.75</v>
      </c>
    </row>
    <row r="408" spans="1:6">
      <c r="A408" s="12">
        <v>45036</v>
      </c>
      <c r="B408" s="14">
        <v>1218.5999999999999</v>
      </c>
      <c r="C408" s="13">
        <v>762.69</v>
      </c>
      <c r="D408" s="13">
        <v>971.64</v>
      </c>
      <c r="E408" s="14">
        <v>4256.3999999999996</v>
      </c>
      <c r="F408" s="14">
        <v>17624.45</v>
      </c>
    </row>
    <row r="409" spans="1:6">
      <c r="A409" s="12">
        <v>45037</v>
      </c>
      <c r="B409" s="14">
        <v>1212.75</v>
      </c>
      <c r="C409" s="13">
        <v>766.15</v>
      </c>
      <c r="D409" s="13">
        <v>973.75</v>
      </c>
      <c r="E409" s="14">
        <v>4327.8</v>
      </c>
      <c r="F409" s="14">
        <v>17624.05</v>
      </c>
    </row>
    <row r="410" spans="1:6">
      <c r="A410" s="12">
        <v>45040</v>
      </c>
      <c r="B410" s="14">
        <v>1207.75</v>
      </c>
      <c r="C410" s="13">
        <v>778.32</v>
      </c>
      <c r="D410" s="13">
        <v>961.22</v>
      </c>
      <c r="E410" s="14">
        <v>4311</v>
      </c>
      <c r="F410" s="14">
        <v>17743.400000000001</v>
      </c>
    </row>
    <row r="411" spans="1:6">
      <c r="A411" s="12">
        <v>45041</v>
      </c>
      <c r="B411" s="14">
        <v>1209.8499999999999</v>
      </c>
      <c r="C411" s="13">
        <v>785.99</v>
      </c>
      <c r="D411" s="13">
        <v>966.66</v>
      </c>
      <c r="E411" s="14">
        <v>4402.55</v>
      </c>
      <c r="F411" s="14">
        <v>17769.25</v>
      </c>
    </row>
    <row r="412" spans="1:6">
      <c r="A412" s="12">
        <v>45042</v>
      </c>
      <c r="B412" s="14">
        <v>1213.55</v>
      </c>
      <c r="C412" s="13">
        <v>788.74</v>
      </c>
      <c r="D412" s="13">
        <v>969.02</v>
      </c>
      <c r="E412" s="14">
        <v>4405</v>
      </c>
      <c r="F412" s="14">
        <v>17813.599999999999</v>
      </c>
    </row>
    <row r="413" spans="1:6">
      <c r="A413" s="12">
        <v>45043</v>
      </c>
      <c r="B413" s="14">
        <v>1224</v>
      </c>
      <c r="C413" s="13">
        <v>810.26</v>
      </c>
      <c r="D413" s="13">
        <v>983.71</v>
      </c>
      <c r="E413" s="14">
        <v>4415.8500000000004</v>
      </c>
      <c r="F413" s="14">
        <v>17915.05</v>
      </c>
    </row>
    <row r="414" spans="1:6">
      <c r="A414" s="12">
        <v>45044</v>
      </c>
      <c r="B414" s="14">
        <v>1226.9000000000001</v>
      </c>
      <c r="C414" s="13">
        <v>836.9</v>
      </c>
      <c r="D414" s="13">
        <v>985.97</v>
      </c>
      <c r="E414" s="14">
        <v>4553.55</v>
      </c>
      <c r="F414" s="14">
        <v>18065</v>
      </c>
    </row>
    <row r="415" spans="1:6">
      <c r="A415" s="12">
        <v>45048</v>
      </c>
      <c r="B415" s="14">
        <v>1237.3</v>
      </c>
      <c r="C415" s="13">
        <v>826.13</v>
      </c>
      <c r="D415" s="13">
        <v>990.08</v>
      </c>
      <c r="E415" s="14">
        <v>4511.05</v>
      </c>
      <c r="F415" s="14">
        <v>18147.650000000001</v>
      </c>
    </row>
    <row r="416" spans="1:6">
      <c r="A416" s="12">
        <v>45049</v>
      </c>
      <c r="B416" s="14">
        <v>1235.45</v>
      </c>
      <c r="C416" s="13">
        <v>819.85</v>
      </c>
      <c r="D416" s="13">
        <v>990.45</v>
      </c>
      <c r="E416" s="14">
        <v>4527.1000000000004</v>
      </c>
      <c r="F416" s="14">
        <v>18089.849999999999</v>
      </c>
    </row>
    <row r="417" spans="1:6">
      <c r="A417" s="12">
        <v>45050</v>
      </c>
      <c r="B417" s="14">
        <v>1231.7</v>
      </c>
      <c r="C417" s="13">
        <v>820.99</v>
      </c>
      <c r="D417" s="13">
        <v>993.6</v>
      </c>
      <c r="E417" s="14">
        <v>4587.05</v>
      </c>
      <c r="F417" s="14">
        <v>18255.8</v>
      </c>
    </row>
    <row r="418" spans="1:6">
      <c r="A418" s="12">
        <v>45051</v>
      </c>
      <c r="B418" s="14">
        <v>1211.2</v>
      </c>
      <c r="C418" s="13">
        <v>823.52</v>
      </c>
      <c r="D418" s="13">
        <v>988.5</v>
      </c>
      <c r="E418" s="14">
        <v>4626</v>
      </c>
      <c r="F418" s="14">
        <v>18069</v>
      </c>
    </row>
    <row r="419" spans="1:6">
      <c r="A419" s="12">
        <v>45054</v>
      </c>
      <c r="B419" s="14">
        <v>1231.8</v>
      </c>
      <c r="C419" s="13">
        <v>823.25</v>
      </c>
      <c r="D419" s="13">
        <v>981.42</v>
      </c>
      <c r="E419" s="14">
        <v>4598.3999999999996</v>
      </c>
      <c r="F419" s="14">
        <v>18264.400000000001</v>
      </c>
    </row>
    <row r="420" spans="1:6">
      <c r="A420" s="12">
        <v>45055</v>
      </c>
      <c r="B420" s="14">
        <v>1245.45</v>
      </c>
      <c r="C420" s="13">
        <v>825.01</v>
      </c>
      <c r="D420" s="13">
        <v>986.65</v>
      </c>
      <c r="E420" s="14">
        <v>4595.1499999999996</v>
      </c>
      <c r="F420" s="14">
        <v>18265.95</v>
      </c>
    </row>
    <row r="421" spans="1:6">
      <c r="A421" s="12">
        <v>45056</v>
      </c>
      <c r="B421" s="14">
        <v>1248.6500000000001</v>
      </c>
      <c r="C421" s="13">
        <v>825.08</v>
      </c>
      <c r="D421" s="13">
        <v>973.46</v>
      </c>
      <c r="E421" s="14">
        <v>4604.95</v>
      </c>
      <c r="F421" s="14">
        <v>18315.099999999999</v>
      </c>
    </row>
    <row r="422" spans="1:6">
      <c r="A422" s="12">
        <v>45057</v>
      </c>
      <c r="B422" s="14">
        <v>1251.3</v>
      </c>
      <c r="C422" s="13">
        <v>824.96</v>
      </c>
      <c r="D422" s="13">
        <v>906.4</v>
      </c>
      <c r="E422" s="14">
        <v>4635.1499999999996</v>
      </c>
      <c r="F422" s="14">
        <v>18297</v>
      </c>
    </row>
    <row r="423" spans="1:6">
      <c r="A423" s="12">
        <v>45058</v>
      </c>
      <c r="B423" s="14">
        <v>1275.95</v>
      </c>
      <c r="C423" s="13">
        <v>817.13</v>
      </c>
      <c r="D423" s="13">
        <v>893.22</v>
      </c>
      <c r="E423" s="14">
        <v>4616.5</v>
      </c>
      <c r="F423" s="14">
        <v>18314.8</v>
      </c>
    </row>
    <row r="424" spans="1:6">
      <c r="A424" s="12">
        <v>45061</v>
      </c>
      <c r="B424" s="14">
        <v>1285.6500000000001</v>
      </c>
      <c r="C424" s="13">
        <v>826.26</v>
      </c>
      <c r="D424" s="13">
        <v>903.71</v>
      </c>
      <c r="E424" s="14">
        <v>4630.8500000000004</v>
      </c>
      <c r="F424" s="14">
        <v>18398.849999999999</v>
      </c>
    </row>
    <row r="425" spans="1:6">
      <c r="A425" s="12">
        <v>45062</v>
      </c>
      <c r="B425" s="14">
        <v>1262.45</v>
      </c>
      <c r="C425" s="13">
        <v>840.8</v>
      </c>
      <c r="D425" s="13">
        <v>903.01</v>
      </c>
      <c r="E425" s="14">
        <v>4606.8999999999996</v>
      </c>
      <c r="F425" s="14">
        <v>18286.5</v>
      </c>
    </row>
    <row r="426" spans="1:6">
      <c r="A426" s="12">
        <v>45063</v>
      </c>
      <c r="B426" s="14">
        <v>1263.0999999999999</v>
      </c>
      <c r="C426" s="13">
        <v>842.8</v>
      </c>
      <c r="D426" s="13">
        <v>896.3</v>
      </c>
      <c r="E426" s="14">
        <v>4631.8999999999996</v>
      </c>
      <c r="F426" s="14">
        <v>18181.75</v>
      </c>
    </row>
    <row r="427" spans="1:6">
      <c r="A427" s="12">
        <v>45064</v>
      </c>
      <c r="B427" s="14">
        <v>1245.5</v>
      </c>
      <c r="C427" s="13">
        <v>841.23</v>
      </c>
      <c r="D427" s="13">
        <v>884.62</v>
      </c>
      <c r="E427" s="14">
        <v>4564.3500000000004</v>
      </c>
      <c r="F427" s="14">
        <v>18129.95</v>
      </c>
    </row>
    <row r="428" spans="1:6">
      <c r="A428" s="12">
        <v>45065</v>
      </c>
      <c r="B428" s="14">
        <v>1260.4000000000001</v>
      </c>
      <c r="C428" s="13">
        <v>855.63</v>
      </c>
      <c r="D428" s="13">
        <v>878.39</v>
      </c>
      <c r="E428" s="14">
        <v>4499.8500000000004</v>
      </c>
      <c r="F428" s="14">
        <v>18203.400000000001</v>
      </c>
    </row>
    <row r="429" spans="1:6">
      <c r="A429" s="12">
        <v>45068</v>
      </c>
      <c r="B429" s="14">
        <v>1265.55</v>
      </c>
      <c r="C429" s="13">
        <v>874.19</v>
      </c>
      <c r="D429" s="13">
        <v>891.53</v>
      </c>
      <c r="E429" s="14">
        <v>4498.95</v>
      </c>
      <c r="F429" s="14">
        <v>18314.400000000001</v>
      </c>
    </row>
    <row r="430" spans="1:6">
      <c r="A430" s="12">
        <v>45069</v>
      </c>
      <c r="B430" s="14">
        <v>1268.55</v>
      </c>
      <c r="C430" s="13">
        <v>860.9</v>
      </c>
      <c r="D430" s="13">
        <v>892.11</v>
      </c>
      <c r="E430" s="14">
        <v>4521.6499999999996</v>
      </c>
      <c r="F430" s="14">
        <v>18348</v>
      </c>
    </row>
    <row r="431" spans="1:6">
      <c r="A431" s="12">
        <v>45070</v>
      </c>
      <c r="B431" s="14">
        <v>1275.7</v>
      </c>
      <c r="C431" s="13">
        <v>851.08</v>
      </c>
      <c r="D431" s="13">
        <v>903.85</v>
      </c>
      <c r="E431" s="14">
        <v>4519.8</v>
      </c>
      <c r="F431" s="14">
        <v>18285.400000000001</v>
      </c>
    </row>
    <row r="432" spans="1:6">
      <c r="A432" s="12">
        <v>45071</v>
      </c>
      <c r="B432" s="14">
        <v>1277.8</v>
      </c>
      <c r="C432" s="13">
        <v>859.45</v>
      </c>
      <c r="D432" s="13">
        <v>900.79</v>
      </c>
      <c r="E432" s="14">
        <v>4563.3</v>
      </c>
      <c r="F432" s="14">
        <v>18321.150000000001</v>
      </c>
    </row>
    <row r="433" spans="1:6">
      <c r="A433" s="12">
        <v>45072</v>
      </c>
      <c r="B433" s="14">
        <v>1281.8499999999999</v>
      </c>
      <c r="C433" s="13">
        <v>891.99</v>
      </c>
      <c r="D433" s="13">
        <v>906.19</v>
      </c>
      <c r="E433" s="14">
        <v>4596.2</v>
      </c>
      <c r="F433" s="14">
        <v>18499.349999999999</v>
      </c>
    </row>
    <row r="434" spans="1:6">
      <c r="A434" s="12">
        <v>45075</v>
      </c>
      <c r="B434" s="14">
        <v>1330.15</v>
      </c>
      <c r="C434" s="13">
        <v>884.03</v>
      </c>
      <c r="D434" s="13">
        <v>911.25</v>
      </c>
      <c r="E434" s="14">
        <v>4575.25</v>
      </c>
      <c r="F434" s="14">
        <v>18598.650000000001</v>
      </c>
    </row>
    <row r="435" spans="1:6">
      <c r="A435" s="12">
        <v>45076</v>
      </c>
      <c r="B435" s="14">
        <v>1328.45</v>
      </c>
      <c r="C435" s="13">
        <v>880.03</v>
      </c>
      <c r="D435" s="13">
        <v>903.78</v>
      </c>
      <c r="E435" s="14">
        <v>4573.25</v>
      </c>
      <c r="F435" s="14">
        <v>18633.849999999999</v>
      </c>
    </row>
    <row r="436" spans="1:6">
      <c r="A436" s="12">
        <v>45077</v>
      </c>
      <c r="B436" s="14">
        <v>1319</v>
      </c>
      <c r="C436" s="13">
        <v>911.02</v>
      </c>
      <c r="D436" s="13">
        <v>900.21</v>
      </c>
      <c r="E436" s="14">
        <v>4657.05</v>
      </c>
      <c r="F436" s="14">
        <v>18534.400000000001</v>
      </c>
    </row>
    <row r="437" spans="1:6">
      <c r="A437" s="12">
        <v>45078</v>
      </c>
      <c r="B437" s="14">
        <v>1318.9</v>
      </c>
      <c r="C437" s="13">
        <v>912.43</v>
      </c>
      <c r="D437" s="13">
        <v>910.41</v>
      </c>
      <c r="E437" s="14">
        <v>4635.25</v>
      </c>
      <c r="F437" s="14">
        <v>18487.75</v>
      </c>
    </row>
    <row r="438" spans="1:6">
      <c r="A438" s="12">
        <v>45079</v>
      </c>
      <c r="B438" s="14">
        <v>1341.4</v>
      </c>
      <c r="C438" s="13">
        <v>918.16</v>
      </c>
      <c r="D438" s="13">
        <v>922.09</v>
      </c>
      <c r="E438" s="14">
        <v>4654.1499999999996</v>
      </c>
      <c r="F438" s="14">
        <v>18534.099999999999</v>
      </c>
    </row>
    <row r="439" spans="1:6">
      <c r="A439" s="12">
        <v>45082</v>
      </c>
      <c r="B439" s="14">
        <v>1395.4</v>
      </c>
      <c r="C439" s="13">
        <v>918.49</v>
      </c>
      <c r="D439" s="13">
        <v>920.71</v>
      </c>
      <c r="E439" s="14">
        <v>4682.6000000000004</v>
      </c>
      <c r="F439" s="14">
        <v>18593.849999999999</v>
      </c>
    </row>
    <row r="440" spans="1:6">
      <c r="A440" s="12">
        <v>45083</v>
      </c>
      <c r="B440" s="14">
        <v>1411.2</v>
      </c>
      <c r="C440" s="13">
        <v>883.1</v>
      </c>
      <c r="D440" s="13">
        <v>927.33</v>
      </c>
      <c r="E440" s="14">
        <v>4705.3999999999996</v>
      </c>
      <c r="F440" s="14">
        <v>18599</v>
      </c>
    </row>
    <row r="441" spans="1:6">
      <c r="A441" s="12">
        <v>45084</v>
      </c>
      <c r="B441" s="14">
        <v>1406.4</v>
      </c>
      <c r="C441" s="13">
        <v>890.41</v>
      </c>
      <c r="D441" s="13">
        <v>934.75</v>
      </c>
      <c r="E441" s="14">
        <v>4893.1499999999996</v>
      </c>
      <c r="F441" s="14">
        <v>18726.400000000001</v>
      </c>
    </row>
    <row r="442" spans="1:6">
      <c r="A442" s="12">
        <v>45085</v>
      </c>
      <c r="B442" s="14">
        <v>1381.05</v>
      </c>
      <c r="C442" s="13">
        <v>877.11</v>
      </c>
      <c r="D442" s="13">
        <v>929.88</v>
      </c>
      <c r="E442" s="14">
        <v>4875.05</v>
      </c>
      <c r="F442" s="14">
        <v>18634.55</v>
      </c>
    </row>
    <row r="443" spans="1:6">
      <c r="A443" s="12">
        <v>45086</v>
      </c>
      <c r="B443" s="14">
        <v>1370.65</v>
      </c>
      <c r="C443" s="13">
        <v>881.6</v>
      </c>
      <c r="D443" s="13">
        <v>933.36</v>
      </c>
      <c r="E443" s="14">
        <v>4878.75</v>
      </c>
      <c r="F443" s="14">
        <v>18563.400000000001</v>
      </c>
    </row>
    <row r="444" spans="1:6">
      <c r="A444" s="12">
        <v>45089</v>
      </c>
      <c r="B444" s="14">
        <v>1381.4</v>
      </c>
      <c r="C444" s="13">
        <v>901.26</v>
      </c>
      <c r="D444" s="13">
        <v>935.13</v>
      </c>
      <c r="E444" s="14">
        <v>4900.25</v>
      </c>
      <c r="F444" s="14">
        <v>18601.5</v>
      </c>
    </row>
    <row r="445" spans="1:6">
      <c r="A445" s="12">
        <v>45090</v>
      </c>
      <c r="B445" s="14">
        <v>1373.15</v>
      </c>
      <c r="C445" s="13">
        <v>913.58</v>
      </c>
      <c r="D445" s="13">
        <v>940.4</v>
      </c>
      <c r="E445" s="14">
        <v>4940.1000000000004</v>
      </c>
      <c r="F445" s="14">
        <v>18716.150000000001</v>
      </c>
    </row>
    <row r="446" spans="1:6">
      <c r="A446" s="12">
        <v>45091</v>
      </c>
      <c r="B446" s="14">
        <v>1378.65</v>
      </c>
      <c r="C446" s="13">
        <v>923.92</v>
      </c>
      <c r="D446" s="13">
        <v>939.8</v>
      </c>
      <c r="E446" s="14">
        <v>4941.6499999999996</v>
      </c>
      <c r="F446" s="14">
        <v>18755.900000000001</v>
      </c>
    </row>
    <row r="447" spans="1:6">
      <c r="A447" s="12">
        <v>45092</v>
      </c>
      <c r="B447" s="14">
        <v>1392.75</v>
      </c>
      <c r="C447" s="13">
        <v>916.59</v>
      </c>
      <c r="D447" s="13">
        <v>960.69</v>
      </c>
      <c r="E447" s="14">
        <v>4975.45</v>
      </c>
      <c r="F447" s="14">
        <v>18688.099999999999</v>
      </c>
    </row>
    <row r="448" spans="1:6">
      <c r="A448" s="12">
        <v>45093</v>
      </c>
      <c r="B448" s="14">
        <v>1403.85</v>
      </c>
      <c r="C448" s="13">
        <v>918.85</v>
      </c>
      <c r="D448" s="13">
        <v>983.01</v>
      </c>
      <c r="E448" s="14">
        <v>5044.7</v>
      </c>
      <c r="F448" s="14">
        <v>18826</v>
      </c>
    </row>
    <row r="449" spans="1:6">
      <c r="A449" s="12">
        <v>45096</v>
      </c>
      <c r="B449" s="14">
        <v>1402.55</v>
      </c>
      <c r="C449" s="13">
        <v>912.58</v>
      </c>
      <c r="D449" s="13">
        <v>975.8</v>
      </c>
      <c r="E449" s="14">
        <v>5021.05</v>
      </c>
      <c r="F449" s="14">
        <v>18755.45</v>
      </c>
    </row>
    <row r="450" spans="1:6">
      <c r="A450" s="12">
        <v>45097</v>
      </c>
      <c r="B450" s="14">
        <v>1396.45</v>
      </c>
      <c r="C450" s="13">
        <v>911.85</v>
      </c>
      <c r="D450" s="13">
        <v>980.24</v>
      </c>
      <c r="E450" s="14">
        <v>5056.45</v>
      </c>
      <c r="F450" s="14">
        <v>18816.7</v>
      </c>
    </row>
    <row r="451" spans="1:6">
      <c r="A451" s="12">
        <v>45098</v>
      </c>
      <c r="B451" s="14">
        <v>1374.25</v>
      </c>
      <c r="C451" s="13">
        <v>920.97</v>
      </c>
      <c r="D451" s="13">
        <v>982.08</v>
      </c>
      <c r="E451" s="14">
        <v>5069.55</v>
      </c>
      <c r="F451" s="14">
        <v>18856.849999999999</v>
      </c>
    </row>
    <row r="452" spans="1:6">
      <c r="A452" s="12">
        <v>45099</v>
      </c>
      <c r="B452" s="14">
        <v>1378.7</v>
      </c>
      <c r="C452" s="13">
        <v>906.94</v>
      </c>
      <c r="D452" s="13">
        <v>979.89</v>
      </c>
      <c r="E452" s="14">
        <v>4987.05</v>
      </c>
      <c r="F452" s="14">
        <v>18771.25</v>
      </c>
    </row>
    <row r="453" spans="1:6">
      <c r="A453" s="12">
        <v>45100</v>
      </c>
      <c r="B453" s="14">
        <v>1373.25</v>
      </c>
      <c r="C453" s="13">
        <v>899.89</v>
      </c>
      <c r="D453" s="13">
        <v>998.78</v>
      </c>
      <c r="E453" s="14">
        <v>4970.8</v>
      </c>
      <c r="F453" s="14">
        <v>18665.5</v>
      </c>
    </row>
    <row r="454" spans="1:6">
      <c r="A454" s="12">
        <v>45103</v>
      </c>
      <c r="B454" s="14">
        <v>1397.65</v>
      </c>
      <c r="C454" s="13">
        <v>921.34</v>
      </c>
      <c r="D454" s="14">
        <v>1008.32</v>
      </c>
      <c r="E454" s="14">
        <v>5009.2</v>
      </c>
      <c r="F454" s="14">
        <v>18691.2</v>
      </c>
    </row>
    <row r="455" spans="1:6">
      <c r="A455" s="12">
        <v>45104</v>
      </c>
      <c r="B455" s="14">
        <v>1402.4</v>
      </c>
      <c r="C455" s="13">
        <v>939.09</v>
      </c>
      <c r="D455" s="14">
        <v>1005.12</v>
      </c>
      <c r="E455" s="14">
        <v>4954.25</v>
      </c>
      <c r="F455" s="14">
        <v>18817.400000000001</v>
      </c>
    </row>
    <row r="456" spans="1:6">
      <c r="A456" s="12">
        <v>45105</v>
      </c>
      <c r="B456" s="14">
        <v>1395</v>
      </c>
      <c r="C456" s="13">
        <v>933.78</v>
      </c>
      <c r="D456" s="14">
        <v>1021.57</v>
      </c>
      <c r="E456" s="14">
        <v>4992.1499999999996</v>
      </c>
      <c r="F456" s="14">
        <v>18972.099999999999</v>
      </c>
    </row>
    <row r="457" spans="1:6">
      <c r="A457" s="12">
        <v>45107</v>
      </c>
      <c r="B457" s="14">
        <v>1453.6</v>
      </c>
      <c r="C457" s="13">
        <v>942.26</v>
      </c>
      <c r="D457" s="14">
        <v>1031.92</v>
      </c>
      <c r="E457" s="14">
        <v>5024.55</v>
      </c>
      <c r="F457" s="14">
        <v>19189.05</v>
      </c>
    </row>
    <row r="458" spans="1:6">
      <c r="A458" s="12">
        <v>45110</v>
      </c>
      <c r="B458" s="14">
        <v>1467.95</v>
      </c>
      <c r="C458" s="13">
        <v>936.87</v>
      </c>
      <c r="D458" s="14">
        <v>1019.66</v>
      </c>
      <c r="E458" s="14">
        <v>5008.3</v>
      </c>
      <c r="F458" s="14">
        <v>19322.55</v>
      </c>
    </row>
    <row r="459" spans="1:6">
      <c r="A459" s="12">
        <v>45111</v>
      </c>
      <c r="B459" s="14">
        <v>1464.45</v>
      </c>
      <c r="C459" s="13">
        <v>941.72</v>
      </c>
      <c r="D459" s="14">
        <v>1037.68</v>
      </c>
      <c r="E459" s="14">
        <v>5010.1499999999996</v>
      </c>
      <c r="F459" s="14">
        <v>19389</v>
      </c>
    </row>
    <row r="460" spans="1:6">
      <c r="A460" s="12">
        <v>45112</v>
      </c>
      <c r="B460" s="14">
        <v>1475.35</v>
      </c>
      <c r="C460" s="13">
        <v>945.09</v>
      </c>
      <c r="D460" s="14">
        <v>1035.67</v>
      </c>
      <c r="E460" s="14">
        <v>5096.1000000000004</v>
      </c>
      <c r="F460" s="14">
        <v>19398.5</v>
      </c>
    </row>
    <row r="461" spans="1:6">
      <c r="A461" s="12">
        <v>45113</v>
      </c>
      <c r="B461" s="14">
        <v>1548.8</v>
      </c>
      <c r="C461" s="13">
        <v>949.06</v>
      </c>
      <c r="D461" s="14">
        <v>1046.3599999999999</v>
      </c>
      <c r="E461" s="14">
        <v>5173.55</v>
      </c>
      <c r="F461" s="14">
        <v>19497.3</v>
      </c>
    </row>
    <row r="462" spans="1:6">
      <c r="A462" s="12">
        <v>45114</v>
      </c>
      <c r="B462" s="14">
        <v>1564.15</v>
      </c>
      <c r="C462" s="13">
        <v>938.33</v>
      </c>
      <c r="D462" s="14">
        <v>1036.5</v>
      </c>
      <c r="E462" s="14">
        <v>5054.5</v>
      </c>
      <c r="F462" s="14">
        <v>19331.8</v>
      </c>
    </row>
    <row r="463" spans="1:6">
      <c r="A463" s="12">
        <v>45117</v>
      </c>
      <c r="B463" s="14">
        <v>1551.4</v>
      </c>
      <c r="C463" s="13">
        <v>922.26</v>
      </c>
      <c r="D463" s="14">
        <v>1030.99</v>
      </c>
      <c r="E463" s="14">
        <v>5031.8500000000004</v>
      </c>
      <c r="F463" s="14">
        <v>19355.900000000001</v>
      </c>
    </row>
    <row r="464" spans="1:6">
      <c r="A464" s="12">
        <v>45118</v>
      </c>
      <c r="B464" s="14">
        <v>1569.45</v>
      </c>
      <c r="C464" s="13">
        <v>939.39</v>
      </c>
      <c r="D464" s="14">
        <v>1033.17</v>
      </c>
      <c r="E464" s="14">
        <v>5083.8999999999996</v>
      </c>
      <c r="F464" s="14">
        <v>19439.400000000001</v>
      </c>
    </row>
    <row r="465" spans="1:6">
      <c r="A465" s="12">
        <v>45119</v>
      </c>
      <c r="B465" s="14">
        <v>1570.85</v>
      </c>
      <c r="C465" s="13">
        <v>929.96</v>
      </c>
      <c r="D465" s="14">
        <v>1037.8</v>
      </c>
      <c r="E465" s="14">
        <v>5073.8999999999996</v>
      </c>
      <c r="F465" s="14">
        <v>19384.3</v>
      </c>
    </row>
    <row r="466" spans="1:6">
      <c r="A466" s="12">
        <v>45120</v>
      </c>
      <c r="B466" s="14">
        <v>1566.9</v>
      </c>
      <c r="C466" s="13">
        <v>951.1</v>
      </c>
      <c r="D466" s="14">
        <v>1028.49</v>
      </c>
      <c r="E466" s="14">
        <v>5090.3500000000004</v>
      </c>
      <c r="F466" s="14">
        <v>19413.75</v>
      </c>
    </row>
    <row r="467" spans="1:6">
      <c r="A467" s="12">
        <v>45121</v>
      </c>
      <c r="B467" s="14">
        <v>1546.55</v>
      </c>
      <c r="C467" s="13">
        <v>985.16</v>
      </c>
      <c r="D467" s="14">
        <v>1018.41</v>
      </c>
      <c r="E467" s="14">
        <v>5133.2</v>
      </c>
      <c r="F467" s="14">
        <v>19564.5</v>
      </c>
    </row>
    <row r="468" spans="1:6">
      <c r="A468" s="12">
        <v>45124</v>
      </c>
      <c r="B468" s="14">
        <v>1536.3</v>
      </c>
      <c r="C468" s="13">
        <v>991.63</v>
      </c>
      <c r="D468" s="14">
        <v>1045.95</v>
      </c>
      <c r="E468" s="14">
        <v>5143.45</v>
      </c>
      <c r="F468" s="14">
        <v>19711.45</v>
      </c>
    </row>
    <row r="469" spans="1:6">
      <c r="A469" s="12">
        <v>45125</v>
      </c>
      <c r="B469" s="14">
        <v>1534.7</v>
      </c>
      <c r="C469" s="13">
        <v>993.17</v>
      </c>
      <c r="D469" s="14">
        <v>1038.2</v>
      </c>
      <c r="E469" s="14">
        <v>5064.1499999999996</v>
      </c>
      <c r="F469" s="14">
        <v>19749.25</v>
      </c>
    </row>
    <row r="470" spans="1:6">
      <c r="A470" s="12">
        <v>45126</v>
      </c>
      <c r="B470" s="14">
        <v>1544.45</v>
      </c>
      <c r="C470" s="13">
        <v>975.19</v>
      </c>
      <c r="D470" s="14">
        <v>1044.27</v>
      </c>
      <c r="E470" s="14">
        <v>5065.8999999999996</v>
      </c>
      <c r="F470" s="14">
        <v>19833.150000000001</v>
      </c>
    </row>
    <row r="471" spans="1:6">
      <c r="A471" s="12">
        <v>45127</v>
      </c>
      <c r="B471" s="14">
        <v>1545.35</v>
      </c>
      <c r="C471" s="13">
        <v>963.89</v>
      </c>
      <c r="D471" s="14">
        <v>1067.8599999999999</v>
      </c>
      <c r="E471" s="14">
        <v>5052.55</v>
      </c>
      <c r="F471" s="14">
        <v>19979.150000000001</v>
      </c>
    </row>
    <row r="472" spans="1:6">
      <c r="A472" s="12">
        <v>45128</v>
      </c>
      <c r="B472" s="14">
        <v>1523.5</v>
      </c>
      <c r="C472" s="13">
        <v>928.06</v>
      </c>
      <c r="D472" s="14">
        <v>1057.6400000000001</v>
      </c>
      <c r="E472" s="14">
        <v>5047</v>
      </c>
      <c r="F472" s="14">
        <v>19745</v>
      </c>
    </row>
    <row r="473" spans="1:6">
      <c r="A473" s="12">
        <v>45131</v>
      </c>
      <c r="B473" s="14">
        <v>1546.85</v>
      </c>
      <c r="C473" s="13">
        <v>945.14</v>
      </c>
      <c r="D473" s="14">
        <v>1078.3399999999999</v>
      </c>
      <c r="E473" s="14">
        <v>4968.8999999999996</v>
      </c>
      <c r="F473" s="14">
        <v>19672.349999999999</v>
      </c>
    </row>
    <row r="474" spans="1:6">
      <c r="A474" s="12">
        <v>45132</v>
      </c>
      <c r="B474" s="14">
        <v>1565.75</v>
      </c>
      <c r="C474" s="13">
        <v>937.55</v>
      </c>
      <c r="D474" s="14">
        <v>1085.08</v>
      </c>
      <c r="E474" s="14">
        <v>4885.6000000000004</v>
      </c>
      <c r="F474" s="14">
        <v>19680.599999999999</v>
      </c>
    </row>
    <row r="475" spans="1:6">
      <c r="A475" s="12">
        <v>45133</v>
      </c>
      <c r="B475" s="14">
        <v>1544.85</v>
      </c>
      <c r="C475" s="13">
        <v>943.23</v>
      </c>
      <c r="D475" s="14">
        <v>1095.1300000000001</v>
      </c>
      <c r="E475" s="14">
        <v>4983.6000000000004</v>
      </c>
      <c r="F475" s="14">
        <v>19778.3</v>
      </c>
    </row>
    <row r="476" spans="1:6">
      <c r="A476" s="12">
        <v>45134</v>
      </c>
      <c r="B476" s="14">
        <v>1447.4</v>
      </c>
      <c r="C476" s="13">
        <v>938.54</v>
      </c>
      <c r="D476" s="14">
        <v>1101.4000000000001</v>
      </c>
      <c r="E476" s="14">
        <v>4873.3999999999996</v>
      </c>
      <c r="F476" s="14">
        <v>19659.900000000001</v>
      </c>
    </row>
    <row r="477" spans="1:6">
      <c r="A477" s="12">
        <v>45135</v>
      </c>
      <c r="B477" s="14">
        <v>1467.8</v>
      </c>
      <c r="C477" s="13">
        <v>934.46</v>
      </c>
      <c r="D477" s="14">
        <v>1116.5999999999999</v>
      </c>
      <c r="E477" s="14">
        <v>4903.3500000000004</v>
      </c>
      <c r="F477" s="14">
        <v>19646.05</v>
      </c>
    </row>
    <row r="478" spans="1:6">
      <c r="A478" s="12">
        <v>45138</v>
      </c>
      <c r="B478" s="14">
        <v>1475.2</v>
      </c>
      <c r="C478" s="13">
        <v>940.74</v>
      </c>
      <c r="D478" s="14">
        <v>1128.0899999999999</v>
      </c>
      <c r="E478" s="14">
        <v>4793.95</v>
      </c>
      <c r="F478" s="14">
        <v>19753.8</v>
      </c>
    </row>
    <row r="479" spans="1:6">
      <c r="A479" s="12">
        <v>45139</v>
      </c>
      <c r="B479" s="14">
        <v>1493.35</v>
      </c>
      <c r="C479" s="13">
        <v>969.09</v>
      </c>
      <c r="D479" s="14">
        <v>1133.4100000000001</v>
      </c>
      <c r="E479" s="14">
        <v>4817.3500000000004</v>
      </c>
      <c r="F479" s="14">
        <v>19733.55</v>
      </c>
    </row>
    <row r="480" spans="1:6">
      <c r="A480" s="12">
        <v>45140</v>
      </c>
      <c r="B480" s="14">
        <v>1485.3</v>
      </c>
      <c r="C480" s="13">
        <v>951.42</v>
      </c>
      <c r="D480" s="14">
        <v>1132.0899999999999</v>
      </c>
      <c r="E480" s="14">
        <v>4809.45</v>
      </c>
      <c r="F480" s="14">
        <v>19526.55</v>
      </c>
    </row>
    <row r="481" spans="1:6">
      <c r="A481" s="12">
        <v>45141</v>
      </c>
      <c r="B481" s="14">
        <v>1469.15</v>
      </c>
      <c r="C481" s="13">
        <v>953.05</v>
      </c>
      <c r="D481" s="14">
        <v>1131.9000000000001</v>
      </c>
      <c r="E481" s="14">
        <v>4798.95</v>
      </c>
      <c r="F481" s="14">
        <v>19381.650000000001</v>
      </c>
    </row>
    <row r="482" spans="1:6">
      <c r="A482" s="12">
        <v>45142</v>
      </c>
      <c r="B482" s="14">
        <v>1464.65</v>
      </c>
      <c r="C482" s="13">
        <v>977.63</v>
      </c>
      <c r="D482" s="14">
        <v>1129.9100000000001</v>
      </c>
      <c r="E482" s="14">
        <v>4798.5</v>
      </c>
      <c r="F482" s="14">
        <v>19517</v>
      </c>
    </row>
    <row r="483" spans="1:6">
      <c r="A483" s="12">
        <v>45145</v>
      </c>
      <c r="B483" s="14">
        <v>1526.9</v>
      </c>
      <c r="C483" s="13">
        <v>988.53</v>
      </c>
      <c r="D483" s="14">
        <v>1126.1400000000001</v>
      </c>
      <c r="E483" s="14">
        <v>4659.75</v>
      </c>
      <c r="F483" s="14">
        <v>19597.3</v>
      </c>
    </row>
    <row r="484" spans="1:6">
      <c r="A484" s="12">
        <v>45146</v>
      </c>
      <c r="B484" s="14">
        <v>1499.7</v>
      </c>
      <c r="C484" s="13">
        <v>996.18</v>
      </c>
      <c r="D484" s="14">
        <v>1131.5899999999999</v>
      </c>
      <c r="E484" s="14">
        <v>4605.3500000000004</v>
      </c>
      <c r="F484" s="14">
        <v>19570.849999999999</v>
      </c>
    </row>
    <row r="485" spans="1:6">
      <c r="A485" s="12">
        <v>45147</v>
      </c>
      <c r="B485" s="14">
        <v>1534.75</v>
      </c>
      <c r="C485" s="14">
        <v>1013.59</v>
      </c>
      <c r="D485" s="14">
        <v>1174.2</v>
      </c>
      <c r="E485" s="14">
        <v>4600.8999999999996</v>
      </c>
      <c r="F485" s="14">
        <v>19632.55</v>
      </c>
    </row>
    <row r="486" spans="1:6">
      <c r="A486" s="12">
        <v>45148</v>
      </c>
      <c r="B486" s="14">
        <v>1545.4</v>
      </c>
      <c r="C486" s="14">
        <v>1029.3800000000001</v>
      </c>
      <c r="D486" s="14">
        <v>1170.23</v>
      </c>
      <c r="E486" s="14">
        <v>4540.45</v>
      </c>
      <c r="F486" s="14">
        <v>19543.099999999999</v>
      </c>
    </row>
    <row r="487" spans="1:6">
      <c r="A487" s="12">
        <v>45149</v>
      </c>
      <c r="B487" s="14">
        <v>1546.45</v>
      </c>
      <c r="C487" s="14">
        <v>1053.58</v>
      </c>
      <c r="D487" s="14">
        <v>1164.5999999999999</v>
      </c>
      <c r="E487" s="14">
        <v>4510.3</v>
      </c>
      <c r="F487" s="14">
        <v>19428.3</v>
      </c>
    </row>
    <row r="488" spans="1:6">
      <c r="A488" s="12">
        <v>45152</v>
      </c>
      <c r="B488" s="14">
        <v>1546.85</v>
      </c>
      <c r="C488" s="14">
        <v>1055.4100000000001</v>
      </c>
      <c r="D488" s="14">
        <v>1164.67</v>
      </c>
      <c r="E488" s="14">
        <v>4499.6000000000004</v>
      </c>
      <c r="F488" s="14">
        <v>19434.55</v>
      </c>
    </row>
    <row r="489" spans="1:6">
      <c r="A489" s="12">
        <v>45154</v>
      </c>
      <c r="B489" s="14">
        <v>1570.6</v>
      </c>
      <c r="C489" s="14">
        <v>1015.19</v>
      </c>
      <c r="D489" s="14">
        <v>1171.57</v>
      </c>
      <c r="E489" s="14">
        <v>4498.5</v>
      </c>
      <c r="F489" s="14">
        <v>19465</v>
      </c>
    </row>
    <row r="490" spans="1:6">
      <c r="A490" s="12">
        <v>45155</v>
      </c>
      <c r="B490" s="14">
        <v>1573.5</v>
      </c>
      <c r="C490" s="14">
        <v>1001.04</v>
      </c>
      <c r="D490" s="14">
        <v>1176.1300000000001</v>
      </c>
      <c r="E490" s="14">
        <v>4501.6000000000004</v>
      </c>
      <c r="F490" s="14">
        <v>19365.25</v>
      </c>
    </row>
    <row r="491" spans="1:6">
      <c r="A491" s="12">
        <v>45156</v>
      </c>
      <c r="B491" s="14">
        <v>1552.65</v>
      </c>
      <c r="C491" s="13">
        <v>984.03</v>
      </c>
      <c r="D491" s="14">
        <v>1174.8900000000001</v>
      </c>
      <c r="E491" s="14">
        <v>4535.05</v>
      </c>
      <c r="F491" s="14">
        <v>19310.150000000001</v>
      </c>
    </row>
    <row r="492" spans="1:6">
      <c r="A492" s="12">
        <v>45159</v>
      </c>
      <c r="B492" s="14">
        <v>1538.55</v>
      </c>
      <c r="C492" s="13">
        <v>999.3</v>
      </c>
      <c r="D492" s="14">
        <v>1182.17</v>
      </c>
      <c r="E492" s="14">
        <v>4510.5</v>
      </c>
      <c r="F492" s="14">
        <v>19393.599999999999</v>
      </c>
    </row>
    <row r="493" spans="1:6">
      <c r="A493" s="12">
        <v>45160</v>
      </c>
      <c r="B493" s="14">
        <v>1550.5</v>
      </c>
      <c r="C493" s="13">
        <v>992.2</v>
      </c>
      <c r="D493" s="14">
        <v>1185.1099999999999</v>
      </c>
      <c r="E493" s="14">
        <v>4511.6499999999996</v>
      </c>
      <c r="F493" s="14">
        <v>19396.45</v>
      </c>
    </row>
    <row r="494" spans="1:6">
      <c r="A494" s="12">
        <v>45161</v>
      </c>
      <c r="B494" s="14">
        <v>1542.45</v>
      </c>
      <c r="C494" s="13">
        <v>982.62</v>
      </c>
      <c r="D494" s="14">
        <v>1190.67</v>
      </c>
      <c r="E494" s="14">
        <v>4512.45</v>
      </c>
      <c r="F494" s="14">
        <v>19444</v>
      </c>
    </row>
    <row r="495" spans="1:6">
      <c r="A495" s="12">
        <v>45162</v>
      </c>
      <c r="B495" s="14">
        <v>1542.2</v>
      </c>
      <c r="C495" s="14">
        <v>1078.17</v>
      </c>
      <c r="D495" s="14">
        <v>1181.43</v>
      </c>
      <c r="E495" s="14">
        <v>4542.8</v>
      </c>
      <c r="F495" s="14">
        <v>19386.7</v>
      </c>
    </row>
    <row r="496" spans="1:6">
      <c r="A496" s="12">
        <v>45163</v>
      </c>
      <c r="B496" s="14">
        <v>1520.05</v>
      </c>
      <c r="C496" s="14">
        <v>1051.24</v>
      </c>
      <c r="D496" s="14">
        <v>1155.8499999999999</v>
      </c>
      <c r="E496" s="14">
        <v>4525.8</v>
      </c>
      <c r="F496" s="14">
        <v>19265.8</v>
      </c>
    </row>
    <row r="497" spans="1:6">
      <c r="A497" s="12">
        <v>45166</v>
      </c>
      <c r="B497" s="14">
        <v>1549.25</v>
      </c>
      <c r="C497" s="14">
        <v>1034.3800000000001</v>
      </c>
      <c r="D497" s="14">
        <v>1155.18</v>
      </c>
      <c r="E497" s="14">
        <v>4510.95</v>
      </c>
      <c r="F497" s="14">
        <v>19306.05</v>
      </c>
    </row>
    <row r="498" spans="1:6">
      <c r="A498" s="12">
        <v>45167</v>
      </c>
      <c r="B498" s="14">
        <v>1560.85</v>
      </c>
      <c r="C498" s="14">
        <v>1045.1199999999999</v>
      </c>
      <c r="D498" s="14">
        <v>1144.76</v>
      </c>
      <c r="E498" s="14">
        <v>4530.75</v>
      </c>
      <c r="F498" s="14">
        <v>19342.650000000001</v>
      </c>
    </row>
    <row r="499" spans="1:6">
      <c r="A499" s="12">
        <v>45168</v>
      </c>
      <c r="B499" s="14">
        <v>1583.2</v>
      </c>
      <c r="C499" s="14">
        <v>1059.6500000000001</v>
      </c>
      <c r="D499" s="14">
        <v>1129.95</v>
      </c>
      <c r="E499" s="14">
        <v>4550.8</v>
      </c>
      <c r="F499" s="14">
        <v>19347.45</v>
      </c>
    </row>
    <row r="500" spans="1:6">
      <c r="A500" s="12">
        <v>45169</v>
      </c>
      <c r="B500" s="14">
        <v>1575.4</v>
      </c>
      <c r="C500" s="14">
        <v>1093.29</v>
      </c>
      <c r="D500" s="14">
        <v>1121.57</v>
      </c>
      <c r="E500" s="14">
        <v>4467.75</v>
      </c>
      <c r="F500" s="14">
        <v>19253.8</v>
      </c>
    </row>
    <row r="501" spans="1:6">
      <c r="A501" s="12">
        <v>45170</v>
      </c>
      <c r="B501" s="14">
        <v>1591.95</v>
      </c>
      <c r="C501" s="14">
        <v>1090.3800000000001</v>
      </c>
      <c r="D501" s="14">
        <v>1115.71</v>
      </c>
      <c r="E501" s="14">
        <v>4484.3500000000004</v>
      </c>
      <c r="F501" s="14">
        <v>19435.3</v>
      </c>
    </row>
    <row r="502" spans="1:6">
      <c r="A502" s="12">
        <v>45173</v>
      </c>
      <c r="B502" s="14">
        <v>1576.4</v>
      </c>
      <c r="C502" s="14">
        <v>1097.8</v>
      </c>
      <c r="D502" s="14">
        <v>1131.8900000000001</v>
      </c>
      <c r="E502" s="14">
        <v>4507.2</v>
      </c>
      <c r="F502" s="14">
        <v>19528.8</v>
      </c>
    </row>
    <row r="503" spans="1:6">
      <c r="A503" s="12">
        <v>45174</v>
      </c>
      <c r="B503" s="14">
        <v>1571.15</v>
      </c>
      <c r="C503" s="14">
        <v>1122.3</v>
      </c>
      <c r="D503" s="14">
        <v>1115.78</v>
      </c>
      <c r="E503" s="14">
        <v>4514.95</v>
      </c>
      <c r="F503" s="14">
        <v>19574.900000000001</v>
      </c>
    </row>
    <row r="504" spans="1:6">
      <c r="A504" s="12">
        <v>45175</v>
      </c>
      <c r="B504" s="14">
        <v>1577</v>
      </c>
      <c r="C504" s="14">
        <v>1125.1199999999999</v>
      </c>
      <c r="D504" s="14">
        <v>1116.6600000000001</v>
      </c>
      <c r="E504" s="14">
        <v>4569.1499999999996</v>
      </c>
      <c r="F504" s="14">
        <v>19611.05</v>
      </c>
    </row>
    <row r="505" spans="1:6">
      <c r="A505" s="12">
        <v>45176</v>
      </c>
      <c r="B505" s="14">
        <v>1565.75</v>
      </c>
      <c r="C505" s="14">
        <v>1122.07</v>
      </c>
      <c r="D505" s="14">
        <v>1123.03</v>
      </c>
      <c r="E505" s="14">
        <v>4530.7</v>
      </c>
      <c r="F505" s="14">
        <v>19727.05</v>
      </c>
    </row>
    <row r="506" spans="1:6">
      <c r="A506" s="12">
        <v>45177</v>
      </c>
      <c r="B506" s="14">
        <v>1567.55</v>
      </c>
      <c r="C506" s="14">
        <v>1110.1199999999999</v>
      </c>
      <c r="D506" s="14">
        <v>1116.76</v>
      </c>
      <c r="E506" s="14">
        <v>4540.5</v>
      </c>
      <c r="F506" s="14">
        <v>19819.95</v>
      </c>
    </row>
    <row r="507" spans="1:6">
      <c r="A507" s="12">
        <v>45180</v>
      </c>
      <c r="B507" s="14">
        <v>1582.1</v>
      </c>
      <c r="C507" s="14">
        <v>1103.1400000000001</v>
      </c>
      <c r="D507" s="14">
        <v>1122.76</v>
      </c>
      <c r="E507" s="14">
        <v>4568.55</v>
      </c>
      <c r="F507" s="14">
        <v>19996.349999999999</v>
      </c>
    </row>
    <row r="508" spans="1:6">
      <c r="A508" s="12">
        <v>45181</v>
      </c>
      <c r="B508" s="14">
        <v>1557.95</v>
      </c>
      <c r="C508" s="14">
        <v>1091.9000000000001</v>
      </c>
      <c r="D508" s="14">
        <v>1134.76</v>
      </c>
      <c r="E508" s="14">
        <v>4567.1499999999996</v>
      </c>
      <c r="F508" s="14">
        <v>19993.2</v>
      </c>
    </row>
    <row r="509" spans="1:6">
      <c r="A509" s="12">
        <v>45182</v>
      </c>
      <c r="B509" s="14">
        <v>1536.95</v>
      </c>
      <c r="C509" s="14">
        <v>1087.43</v>
      </c>
      <c r="D509" s="14">
        <v>1147.78</v>
      </c>
      <c r="E509" s="14">
        <v>4608.25</v>
      </c>
      <c r="F509" s="14">
        <v>20070</v>
      </c>
    </row>
    <row r="510" spans="1:6">
      <c r="A510" s="12">
        <v>45183</v>
      </c>
      <c r="B510" s="14">
        <v>1566</v>
      </c>
      <c r="C510" s="14">
        <v>1091.33</v>
      </c>
      <c r="D510" s="14">
        <v>1148.93</v>
      </c>
      <c r="E510" s="14">
        <v>4574.3500000000004</v>
      </c>
      <c r="F510" s="14">
        <v>20103.099999999999</v>
      </c>
    </row>
    <row r="511" spans="1:6">
      <c r="A511" s="12">
        <v>45184</v>
      </c>
      <c r="B511" s="14">
        <v>1601.1</v>
      </c>
      <c r="C511" s="14">
        <v>1123.78</v>
      </c>
      <c r="D511" s="14">
        <v>1163.9000000000001</v>
      </c>
      <c r="E511" s="14">
        <v>4532.8500000000004</v>
      </c>
      <c r="F511" s="14">
        <v>20192.349999999999</v>
      </c>
    </row>
    <row r="512" spans="1:6">
      <c r="A512" s="12">
        <v>45187</v>
      </c>
      <c r="B512" s="14">
        <v>1641.45</v>
      </c>
      <c r="C512" s="14">
        <v>1108.98</v>
      </c>
      <c r="D512" s="14">
        <v>1145.5999999999999</v>
      </c>
      <c r="E512" s="14">
        <v>4596.2</v>
      </c>
      <c r="F512" s="14">
        <v>20133.3</v>
      </c>
    </row>
    <row r="513" spans="1:6">
      <c r="A513" s="12">
        <v>45189</v>
      </c>
      <c r="B513" s="14">
        <v>1634</v>
      </c>
      <c r="C513" s="14">
        <v>1083.5999999999999</v>
      </c>
      <c r="D513" s="14">
        <v>1123.01</v>
      </c>
      <c r="E513" s="14">
        <v>4527.3999999999996</v>
      </c>
      <c r="F513" s="14">
        <v>19901.400000000001</v>
      </c>
    </row>
    <row r="514" spans="1:6">
      <c r="A514" s="12">
        <v>45190</v>
      </c>
      <c r="B514" s="14">
        <v>1583.25</v>
      </c>
      <c r="C514" s="14">
        <v>1067.26</v>
      </c>
      <c r="D514" s="14">
        <v>1133.7</v>
      </c>
      <c r="E514" s="14">
        <v>4558.55</v>
      </c>
      <c r="F514" s="14">
        <v>19742.349999999999</v>
      </c>
    </row>
    <row r="515" spans="1:6">
      <c r="A515" s="12">
        <v>45191</v>
      </c>
      <c r="B515" s="14">
        <v>1607.15</v>
      </c>
      <c r="C515" s="14">
        <v>1058.69</v>
      </c>
      <c r="D515" s="14">
        <v>1103.4100000000001</v>
      </c>
      <c r="E515" s="14">
        <v>4564.6499999999996</v>
      </c>
      <c r="F515" s="14">
        <v>19674.25</v>
      </c>
    </row>
    <row r="516" spans="1:6">
      <c r="A516" s="12">
        <v>45194</v>
      </c>
      <c r="B516" s="14">
        <v>1589.45</v>
      </c>
      <c r="C516" s="14">
        <v>1057.18</v>
      </c>
      <c r="D516" s="14">
        <v>1087.75</v>
      </c>
      <c r="E516" s="14">
        <v>4570.05</v>
      </c>
      <c r="F516" s="14">
        <v>19674.55</v>
      </c>
    </row>
    <row r="517" spans="1:6">
      <c r="A517" s="12">
        <v>45195</v>
      </c>
      <c r="B517" s="14">
        <v>1595.2</v>
      </c>
      <c r="C517" s="14">
        <v>1038.6400000000001</v>
      </c>
      <c r="D517" s="14">
        <v>1093.55</v>
      </c>
      <c r="E517" s="14">
        <v>4600.1499999999996</v>
      </c>
      <c r="F517" s="14">
        <v>19664.7</v>
      </c>
    </row>
    <row r="518" spans="1:6">
      <c r="A518" s="12">
        <v>45196</v>
      </c>
      <c r="B518" s="14">
        <v>1589.2</v>
      </c>
      <c r="C518" s="14">
        <v>1040.99</v>
      </c>
      <c r="D518" s="14">
        <v>1099.29</v>
      </c>
      <c r="E518" s="14">
        <v>4627.3500000000004</v>
      </c>
      <c r="F518" s="14">
        <v>19716.45</v>
      </c>
    </row>
    <row r="519" spans="1:6">
      <c r="A519" s="12">
        <v>45197</v>
      </c>
      <c r="B519" s="14">
        <v>1556.05</v>
      </c>
      <c r="C519" s="14">
        <v>1024.6600000000001</v>
      </c>
      <c r="D519" s="14">
        <v>1085.82</v>
      </c>
      <c r="E519" s="14">
        <v>4524.55</v>
      </c>
      <c r="F519" s="14">
        <v>19523.55</v>
      </c>
    </row>
    <row r="520" spans="1:6">
      <c r="A520" s="12">
        <v>45198</v>
      </c>
      <c r="B520" s="14">
        <v>1554.25</v>
      </c>
      <c r="C520" s="14">
        <v>1020.89</v>
      </c>
      <c r="D520" s="14">
        <v>1117.4000000000001</v>
      </c>
      <c r="E520" s="14">
        <v>4537.1499999999996</v>
      </c>
      <c r="F520" s="14">
        <v>19638.3</v>
      </c>
    </row>
    <row r="521" spans="1:6">
      <c r="A521" s="12">
        <v>45202</v>
      </c>
      <c r="B521" s="14">
        <v>1537.4</v>
      </c>
      <c r="C521" s="14">
        <v>1021.32</v>
      </c>
      <c r="D521" s="14">
        <v>1092.3399999999999</v>
      </c>
      <c r="E521" s="14">
        <v>4495.45</v>
      </c>
      <c r="F521" s="14">
        <v>19528.75</v>
      </c>
    </row>
    <row r="522" spans="1:6">
      <c r="A522" s="12">
        <v>45203</v>
      </c>
      <c r="B522" s="14">
        <v>1522.1</v>
      </c>
      <c r="C522" s="14">
        <v>1027.1500000000001</v>
      </c>
      <c r="D522" s="14">
        <v>1083.56</v>
      </c>
      <c r="E522" s="14">
        <v>4532.5</v>
      </c>
      <c r="F522" s="14">
        <v>19436.099999999999</v>
      </c>
    </row>
    <row r="523" spans="1:6">
      <c r="A523" s="12">
        <v>45204</v>
      </c>
      <c r="B523" s="14">
        <v>1537.95</v>
      </c>
      <c r="C523" s="14">
        <v>1041.1400000000001</v>
      </c>
      <c r="D523" s="14">
        <v>1081.45</v>
      </c>
      <c r="E523" s="14">
        <v>4533.8999999999996</v>
      </c>
      <c r="F523" s="14">
        <v>19545.75</v>
      </c>
    </row>
    <row r="524" spans="1:6">
      <c r="A524" s="12">
        <v>45205</v>
      </c>
      <c r="B524" s="14">
        <v>1548.85</v>
      </c>
      <c r="C524" s="14">
        <v>1037.1099999999999</v>
      </c>
      <c r="D524" s="14">
        <v>1084.98</v>
      </c>
      <c r="E524" s="14">
        <v>4538.45</v>
      </c>
      <c r="F524" s="14">
        <v>19653.5</v>
      </c>
    </row>
    <row r="525" spans="1:6">
      <c r="A525" s="12">
        <v>45208</v>
      </c>
      <c r="B525" s="14">
        <v>1515.2</v>
      </c>
      <c r="C525" s="14">
        <v>1027.75</v>
      </c>
      <c r="D525" s="14">
        <v>1098.97</v>
      </c>
      <c r="E525" s="14">
        <v>4522.5</v>
      </c>
      <c r="F525" s="14">
        <v>19512.349999999999</v>
      </c>
    </row>
    <row r="526" spans="1:6">
      <c r="A526" s="12">
        <v>45209</v>
      </c>
      <c r="B526" s="14">
        <v>1537.85</v>
      </c>
      <c r="C526" s="14">
        <v>1039.25</v>
      </c>
      <c r="D526" s="14">
        <v>1095.71</v>
      </c>
      <c r="E526" s="14">
        <v>4529.95</v>
      </c>
      <c r="F526" s="14">
        <v>19689.849999999999</v>
      </c>
    </row>
    <row r="527" spans="1:6">
      <c r="A527" s="12">
        <v>45210</v>
      </c>
      <c r="B527" s="14">
        <v>1556.3</v>
      </c>
      <c r="C527" s="14">
        <v>1030.93</v>
      </c>
      <c r="D527" s="14">
        <v>1113.52</v>
      </c>
      <c r="E527" s="14">
        <v>4554.95</v>
      </c>
      <c r="F527" s="14">
        <v>19811.349999999999</v>
      </c>
    </row>
    <row r="528" spans="1:6">
      <c r="A528" s="12">
        <v>45211</v>
      </c>
      <c r="B528" s="14">
        <v>1566.65</v>
      </c>
      <c r="C528" s="14">
        <v>1019.38</v>
      </c>
      <c r="D528" s="14">
        <v>1106.04</v>
      </c>
      <c r="E528" s="14">
        <v>4560.75</v>
      </c>
      <c r="F528" s="14">
        <v>19794</v>
      </c>
    </row>
    <row r="529" spans="1:6">
      <c r="A529" s="12">
        <v>45212</v>
      </c>
      <c r="B529" s="14">
        <v>1562.45</v>
      </c>
      <c r="C529" s="14">
        <v>1001.33</v>
      </c>
      <c r="D529" s="14">
        <v>1092.04</v>
      </c>
      <c r="E529" s="14">
        <v>4574.7</v>
      </c>
      <c r="F529" s="14">
        <v>19751.05</v>
      </c>
    </row>
    <row r="530" spans="1:6">
      <c r="A530" s="12">
        <v>45215</v>
      </c>
      <c r="B530" s="14">
        <v>1574.55</v>
      </c>
      <c r="C530" s="14">
        <v>1008.03</v>
      </c>
      <c r="D530" s="14">
        <v>1098.6199999999999</v>
      </c>
      <c r="E530" s="14">
        <v>4586.05</v>
      </c>
      <c r="F530" s="14">
        <v>19731.75</v>
      </c>
    </row>
    <row r="531" spans="1:6">
      <c r="A531" s="12">
        <v>45216</v>
      </c>
      <c r="B531" s="14">
        <v>1576.6</v>
      </c>
      <c r="C531" s="14">
        <v>1012.34</v>
      </c>
      <c r="D531" s="14">
        <v>1108.82</v>
      </c>
      <c r="E531" s="14">
        <v>4600.3500000000004</v>
      </c>
      <c r="F531" s="14">
        <v>19811.5</v>
      </c>
    </row>
    <row r="532" spans="1:6">
      <c r="A532" s="12">
        <v>45217</v>
      </c>
      <c r="B532" s="14">
        <v>1574.85</v>
      </c>
      <c r="C532" s="14">
        <v>1018.42</v>
      </c>
      <c r="D532" s="14">
        <v>1135.49</v>
      </c>
      <c r="E532" s="14">
        <v>4607.7</v>
      </c>
      <c r="F532" s="14">
        <v>19671.099999999999</v>
      </c>
    </row>
    <row r="533" spans="1:6">
      <c r="A533" s="12">
        <v>45218</v>
      </c>
      <c r="B533" s="14">
        <v>1569.55</v>
      </c>
      <c r="C533" s="14">
        <v>1021.76</v>
      </c>
      <c r="D533" s="14">
        <v>1126.18</v>
      </c>
      <c r="E533" s="14">
        <v>4602.45</v>
      </c>
      <c r="F533" s="14">
        <v>19624.7</v>
      </c>
    </row>
    <row r="534" spans="1:6">
      <c r="A534" s="12">
        <v>45219</v>
      </c>
      <c r="B534" s="14">
        <v>1558.25</v>
      </c>
      <c r="C534" s="14">
        <v>1000.02</v>
      </c>
      <c r="D534" s="14">
        <v>1113.8599999999999</v>
      </c>
      <c r="E534" s="14">
        <v>4580</v>
      </c>
      <c r="F534" s="14">
        <v>19542.650000000001</v>
      </c>
    </row>
    <row r="535" spans="1:6">
      <c r="A535" s="12">
        <v>45222</v>
      </c>
      <c r="B535" s="14">
        <v>1565.15</v>
      </c>
      <c r="C535" s="13">
        <v>983.08</v>
      </c>
      <c r="D535" s="14">
        <v>1110.3900000000001</v>
      </c>
      <c r="E535" s="14">
        <v>4530.6000000000004</v>
      </c>
      <c r="F535" s="14">
        <v>19281.75</v>
      </c>
    </row>
    <row r="536" spans="1:6">
      <c r="A536" s="12">
        <v>45224</v>
      </c>
      <c r="B536" s="14">
        <v>1569.1</v>
      </c>
      <c r="C536" s="13">
        <v>979.81</v>
      </c>
      <c r="D536" s="14">
        <v>1102.77</v>
      </c>
      <c r="E536" s="14">
        <v>4533.75</v>
      </c>
      <c r="F536" s="14">
        <v>19122.150000000001</v>
      </c>
    </row>
    <row r="537" spans="1:6">
      <c r="A537" s="12">
        <v>45225</v>
      </c>
      <c r="B537" s="14">
        <v>1506.1</v>
      </c>
      <c r="C537" s="13">
        <v>980.88</v>
      </c>
      <c r="D537" s="14">
        <v>1084.3900000000001</v>
      </c>
      <c r="E537" s="14">
        <v>4507.8</v>
      </c>
      <c r="F537" s="14">
        <v>18857.25</v>
      </c>
    </row>
    <row r="538" spans="1:6">
      <c r="A538" s="12">
        <v>45226</v>
      </c>
      <c r="B538" s="14">
        <v>1510.8</v>
      </c>
      <c r="C538" s="14">
        <v>1001.79</v>
      </c>
      <c r="D538" s="14">
        <v>1079.46</v>
      </c>
      <c r="E538" s="14">
        <v>4514.3</v>
      </c>
      <c r="F538" s="14">
        <v>19047.25</v>
      </c>
    </row>
    <row r="539" spans="1:6">
      <c r="A539" s="12">
        <v>45229</v>
      </c>
      <c r="B539" s="14">
        <v>1497.8</v>
      </c>
      <c r="C539" s="13">
        <v>997.73</v>
      </c>
      <c r="D539" s="14">
        <v>1069.07</v>
      </c>
      <c r="E539" s="14">
        <v>4461.6000000000004</v>
      </c>
      <c r="F539" s="14">
        <v>19140.900000000001</v>
      </c>
    </row>
    <row r="540" spans="1:6">
      <c r="A540" s="12">
        <v>45230</v>
      </c>
      <c r="B540" s="14">
        <v>1458.6</v>
      </c>
      <c r="C540" s="13">
        <v>996.85</v>
      </c>
      <c r="D540" s="14">
        <v>1073.51</v>
      </c>
      <c r="E540" s="14">
        <v>4426.5</v>
      </c>
      <c r="F540" s="14">
        <v>19079.599999999999</v>
      </c>
    </row>
    <row r="541" spans="1:6">
      <c r="A541" s="12">
        <v>45231</v>
      </c>
      <c r="B541" s="14">
        <v>1454.6</v>
      </c>
      <c r="C541" s="14">
        <v>1005.32</v>
      </c>
      <c r="D541" s="14">
        <v>1069.29</v>
      </c>
      <c r="E541" s="14">
        <v>4397.3</v>
      </c>
      <c r="F541" s="14">
        <v>18989.150000000001</v>
      </c>
    </row>
    <row r="542" spans="1:6">
      <c r="A542" s="12">
        <v>45232</v>
      </c>
      <c r="B542" s="14">
        <v>1469.7</v>
      </c>
      <c r="C542" s="14">
        <v>1011.28</v>
      </c>
      <c r="D542" s="14">
        <v>1067.7</v>
      </c>
      <c r="E542" s="14">
        <v>4527.25</v>
      </c>
      <c r="F542" s="14">
        <v>19133.25</v>
      </c>
    </row>
    <row r="543" spans="1:6">
      <c r="A543" s="12">
        <v>45233</v>
      </c>
      <c r="B543" s="14">
        <v>1469</v>
      </c>
      <c r="C543" s="14">
        <v>1016.62</v>
      </c>
      <c r="D543" s="14">
        <v>1052.6099999999999</v>
      </c>
      <c r="E543" s="14">
        <v>4539.55</v>
      </c>
      <c r="F543" s="14">
        <v>19230.599999999999</v>
      </c>
    </row>
    <row r="544" spans="1:6">
      <c r="A544" s="12">
        <v>45236</v>
      </c>
      <c r="B544" s="14">
        <v>1488.3</v>
      </c>
      <c r="C544" s="14">
        <v>1023.06</v>
      </c>
      <c r="D544" s="14">
        <v>1067.6199999999999</v>
      </c>
      <c r="E544" s="14">
        <v>4623.6000000000004</v>
      </c>
      <c r="F544" s="14">
        <v>19411.75</v>
      </c>
    </row>
    <row r="545" spans="1:6">
      <c r="A545" s="12">
        <v>45237</v>
      </c>
      <c r="B545" s="14">
        <v>1479.75</v>
      </c>
      <c r="C545" s="14">
        <v>1017.52</v>
      </c>
      <c r="D545" s="14">
        <v>1080.8699999999999</v>
      </c>
      <c r="E545" s="14">
        <v>4655.2</v>
      </c>
      <c r="F545" s="14">
        <v>19406.7</v>
      </c>
    </row>
    <row r="546" spans="1:6">
      <c r="A546" s="12">
        <v>45238</v>
      </c>
      <c r="B546" s="14">
        <v>1487.4</v>
      </c>
      <c r="C546" s="14">
        <v>1022.34</v>
      </c>
      <c r="D546" s="14">
        <v>1090.71</v>
      </c>
      <c r="E546" s="14">
        <v>4670.6000000000004</v>
      </c>
      <c r="F546" s="14">
        <v>19443.5</v>
      </c>
    </row>
    <row r="547" spans="1:6">
      <c r="A547" s="12">
        <v>45239</v>
      </c>
      <c r="B547" s="14">
        <v>1552.05</v>
      </c>
      <c r="C547" s="14">
        <v>1025.6199999999999</v>
      </c>
      <c r="D547" s="14">
        <v>1091.5899999999999</v>
      </c>
      <c r="E547" s="14">
        <v>4652.1000000000004</v>
      </c>
      <c r="F547" s="14">
        <v>19395.3</v>
      </c>
    </row>
    <row r="548" spans="1:6">
      <c r="A548" s="12">
        <v>45240</v>
      </c>
      <c r="B548" s="14">
        <v>1524.1</v>
      </c>
      <c r="C548" s="14">
        <v>1027.8</v>
      </c>
      <c r="D548" s="14">
        <v>1084.98</v>
      </c>
      <c r="E548" s="14">
        <v>4681.95</v>
      </c>
      <c r="F548" s="14">
        <v>19425.349999999999</v>
      </c>
    </row>
    <row r="549" spans="1:6">
      <c r="A549" s="12">
        <v>45242</v>
      </c>
      <c r="B549" s="14">
        <v>1526.25</v>
      </c>
      <c r="C549" s="14">
        <v>1027.25</v>
      </c>
      <c r="D549" s="14">
        <v>1089.95</v>
      </c>
      <c r="E549" s="14">
        <v>4676.6000000000004</v>
      </c>
      <c r="F549" s="14">
        <v>19525.55</v>
      </c>
    </row>
    <row r="550" spans="1:6">
      <c r="A550" s="12">
        <v>45243</v>
      </c>
      <c r="B550" s="14">
        <v>1540.25</v>
      </c>
      <c r="C550" s="14">
        <v>1017.04</v>
      </c>
      <c r="D550" s="14">
        <v>1083.97</v>
      </c>
      <c r="E550" s="14">
        <v>4696.3500000000004</v>
      </c>
      <c r="F550" s="14">
        <v>19443.55</v>
      </c>
    </row>
    <row r="551" spans="1:6">
      <c r="A551" s="12">
        <v>45245</v>
      </c>
      <c r="B551" s="14">
        <v>1544.15</v>
      </c>
      <c r="C551" s="14">
        <v>1068.6500000000001</v>
      </c>
      <c r="D551" s="14">
        <v>1083.99</v>
      </c>
      <c r="E551" s="14">
        <v>4710.8</v>
      </c>
      <c r="F551" s="14">
        <v>19675.45</v>
      </c>
    </row>
    <row r="552" spans="1:6">
      <c r="A552" s="12">
        <v>45246</v>
      </c>
      <c r="B552" s="14">
        <v>1569.5</v>
      </c>
      <c r="C552" s="14">
        <v>1140.22</v>
      </c>
      <c r="D552" s="14">
        <v>1108.8499999999999</v>
      </c>
      <c r="E552" s="14">
        <v>4702.1000000000004</v>
      </c>
      <c r="F552" s="14">
        <v>19765.2</v>
      </c>
    </row>
    <row r="553" spans="1:6">
      <c r="A553" s="12">
        <v>45247</v>
      </c>
      <c r="B553" s="14">
        <v>1584.55</v>
      </c>
      <c r="C553" s="14">
        <v>1134.99</v>
      </c>
      <c r="D553" s="14">
        <v>1122.31</v>
      </c>
      <c r="E553" s="14">
        <v>4718.3</v>
      </c>
      <c r="F553" s="14">
        <v>19731.8</v>
      </c>
    </row>
    <row r="554" spans="1:6">
      <c r="A554" s="12">
        <v>45250</v>
      </c>
      <c r="B554" s="14">
        <v>1552.2</v>
      </c>
      <c r="C554" s="14">
        <v>1141.69</v>
      </c>
      <c r="D554" s="14">
        <v>1120.83</v>
      </c>
      <c r="E554" s="14">
        <v>4712</v>
      </c>
      <c r="F554" s="14">
        <v>19694</v>
      </c>
    </row>
    <row r="555" spans="1:6">
      <c r="A555" s="12">
        <v>45251</v>
      </c>
      <c r="B555" s="14">
        <v>1559.75</v>
      </c>
      <c r="C555" s="14">
        <v>1125.08</v>
      </c>
      <c r="D555" s="14">
        <v>1129.29</v>
      </c>
      <c r="E555" s="14">
        <v>4699.75</v>
      </c>
      <c r="F555" s="14">
        <v>19783.400000000001</v>
      </c>
    </row>
    <row r="556" spans="1:6">
      <c r="A556" s="12">
        <v>45252</v>
      </c>
      <c r="B556" s="14">
        <v>1543.45</v>
      </c>
      <c r="C556" s="14">
        <v>1126.8900000000001</v>
      </c>
      <c r="D556" s="14">
        <v>1132.9100000000001</v>
      </c>
      <c r="E556" s="14">
        <v>4694.2</v>
      </c>
      <c r="F556" s="14">
        <v>19811.849999999999</v>
      </c>
    </row>
    <row r="557" spans="1:6">
      <c r="A557" s="12">
        <v>45253</v>
      </c>
      <c r="B557" s="14">
        <v>1545.85</v>
      </c>
      <c r="C557" s="14">
        <v>1123.93</v>
      </c>
      <c r="D557" s="14">
        <v>1128.93</v>
      </c>
      <c r="E557" s="14">
        <v>4705.8</v>
      </c>
      <c r="F557" s="14">
        <v>19802</v>
      </c>
    </row>
    <row r="558" spans="1:6">
      <c r="A558" s="12">
        <v>45254</v>
      </c>
      <c r="B558" s="14">
        <v>1553.2</v>
      </c>
      <c r="C558" s="14">
        <v>1123.71</v>
      </c>
      <c r="D558" s="14">
        <v>1129.23</v>
      </c>
      <c r="E558" s="14">
        <v>4644.1499999999996</v>
      </c>
      <c r="F558" s="14">
        <v>19794.7</v>
      </c>
    </row>
    <row r="559" spans="1:6">
      <c r="A559" s="12">
        <v>45258</v>
      </c>
      <c r="B559" s="14">
        <v>1566.05</v>
      </c>
      <c r="C559" s="14">
        <v>1113.26</v>
      </c>
      <c r="D559" s="14">
        <v>1135.1600000000001</v>
      </c>
      <c r="E559" s="14">
        <v>4713.45</v>
      </c>
      <c r="F559" s="14">
        <v>19889.7</v>
      </c>
    </row>
    <row r="560" spans="1:6">
      <c r="A560" s="12">
        <v>45259</v>
      </c>
      <c r="B560" s="14">
        <v>1619.1</v>
      </c>
      <c r="C560" s="14">
        <v>1138.95</v>
      </c>
      <c r="D560" s="14">
        <v>1143.07</v>
      </c>
      <c r="E560" s="14">
        <v>4803.6499999999996</v>
      </c>
      <c r="F560" s="14">
        <v>20096.599999999999</v>
      </c>
    </row>
    <row r="561" spans="1:6">
      <c r="A561" s="12">
        <v>45260</v>
      </c>
      <c r="B561" s="14">
        <v>1647.75</v>
      </c>
      <c r="C561" s="14">
        <v>1152.17</v>
      </c>
      <c r="D561" s="14">
        <v>1157.6300000000001</v>
      </c>
      <c r="E561" s="14">
        <v>4852.6499999999996</v>
      </c>
      <c r="F561" s="14">
        <v>20133.150000000001</v>
      </c>
    </row>
    <row r="562" spans="1:6">
      <c r="A562" s="12">
        <v>45261</v>
      </c>
      <c r="B562" s="14">
        <v>1625.5</v>
      </c>
      <c r="C562" s="14">
        <v>1142.8</v>
      </c>
      <c r="D562" s="14">
        <v>1149.8800000000001</v>
      </c>
      <c r="E562" s="14">
        <v>4970.75</v>
      </c>
      <c r="F562" s="14">
        <v>20267.900000000001</v>
      </c>
    </row>
    <row r="563" spans="1:6">
      <c r="A563" s="12">
        <v>45264</v>
      </c>
      <c r="B563" s="14">
        <v>1656.85</v>
      </c>
      <c r="C563" s="14">
        <v>1135.19</v>
      </c>
      <c r="D563" s="14">
        <v>1151.2</v>
      </c>
      <c r="E563" s="14">
        <v>4937.75</v>
      </c>
      <c r="F563" s="14">
        <v>20686.8</v>
      </c>
    </row>
    <row r="564" spans="1:6">
      <c r="A564" s="12">
        <v>45265</v>
      </c>
      <c r="B564" s="14">
        <v>1686.05</v>
      </c>
      <c r="C564" s="14">
        <v>1121.17</v>
      </c>
      <c r="D564" s="14">
        <v>1155.29</v>
      </c>
      <c r="E564" s="14">
        <v>4948.3999999999996</v>
      </c>
      <c r="F564" s="14">
        <v>20855.099999999999</v>
      </c>
    </row>
    <row r="565" spans="1:6">
      <c r="A565" s="12">
        <v>45266</v>
      </c>
      <c r="B565" s="14">
        <v>1702.4</v>
      </c>
      <c r="C565" s="14">
        <v>1140.3499999999999</v>
      </c>
      <c r="D565" s="14">
        <v>1146.07</v>
      </c>
      <c r="E565" s="14">
        <v>5003.1499999999996</v>
      </c>
      <c r="F565" s="14">
        <v>20937.7</v>
      </c>
    </row>
    <row r="566" spans="1:6">
      <c r="A566" s="12">
        <v>45267</v>
      </c>
      <c r="B566" s="14">
        <v>1692.65</v>
      </c>
      <c r="C566" s="14">
        <v>1140.1300000000001</v>
      </c>
      <c r="D566" s="14">
        <v>1157.02</v>
      </c>
      <c r="E566" s="14">
        <v>5016</v>
      </c>
      <c r="F566" s="14">
        <v>20901.150000000001</v>
      </c>
    </row>
    <row r="567" spans="1:6">
      <c r="A567" s="12">
        <v>45268</v>
      </c>
      <c r="B567" s="14">
        <v>1668.55</v>
      </c>
      <c r="C567" s="14">
        <v>1156.5999999999999</v>
      </c>
      <c r="D567" s="14">
        <v>1152.78</v>
      </c>
      <c r="E567" s="14">
        <v>4942.2</v>
      </c>
      <c r="F567" s="14">
        <v>20969.400000000001</v>
      </c>
    </row>
    <row r="568" spans="1:6">
      <c r="A568" s="12">
        <v>45271</v>
      </c>
      <c r="B568" s="14">
        <v>1652.2</v>
      </c>
      <c r="C568" s="14">
        <v>1172.95</v>
      </c>
      <c r="D568" s="14">
        <v>1094.7</v>
      </c>
      <c r="E568" s="14">
        <v>4944.1499999999996</v>
      </c>
      <c r="F568" s="14">
        <v>20997.1</v>
      </c>
    </row>
    <row r="569" spans="1:6">
      <c r="A569" s="12">
        <v>45272</v>
      </c>
      <c r="B569" s="14">
        <v>1635.4</v>
      </c>
      <c r="C569" s="14">
        <v>1171.33</v>
      </c>
      <c r="D569" s="14">
        <v>1108.07</v>
      </c>
      <c r="E569" s="14">
        <v>4903.05</v>
      </c>
      <c r="F569" s="14">
        <v>20906.400000000001</v>
      </c>
    </row>
    <row r="570" spans="1:6">
      <c r="A570" s="12">
        <v>45273</v>
      </c>
      <c r="B570" s="14">
        <v>1666.15</v>
      </c>
      <c r="C570" s="14">
        <v>1166.0899999999999</v>
      </c>
      <c r="D570" s="14">
        <v>1119.73</v>
      </c>
      <c r="E570" s="14">
        <v>4919.3</v>
      </c>
      <c r="F570" s="14">
        <v>20926.349999999999</v>
      </c>
    </row>
    <row r="571" spans="1:6">
      <c r="A571" s="12">
        <v>45274</v>
      </c>
      <c r="B571" s="14">
        <v>1703.55</v>
      </c>
      <c r="C571" s="14">
        <v>1231.3399999999999</v>
      </c>
      <c r="D571" s="14">
        <v>1114.67</v>
      </c>
      <c r="E571" s="14">
        <v>4946.6499999999996</v>
      </c>
      <c r="F571" s="14">
        <v>21182.7</v>
      </c>
    </row>
    <row r="572" spans="1:6">
      <c r="A572" s="12">
        <v>45275</v>
      </c>
      <c r="B572" s="14">
        <v>1724.95</v>
      </c>
      <c r="C572" s="14">
        <v>1287.97</v>
      </c>
      <c r="D572" s="14">
        <v>1117.8900000000001</v>
      </c>
      <c r="E572" s="14">
        <v>4913.8999999999996</v>
      </c>
      <c r="F572" s="14">
        <v>21456.65</v>
      </c>
    </row>
    <row r="573" spans="1:6">
      <c r="A573" s="12">
        <v>45278</v>
      </c>
      <c r="B573" s="14">
        <v>1710.8</v>
      </c>
      <c r="C573" s="14">
        <v>1288.22</v>
      </c>
      <c r="D573" s="14">
        <v>1118.21</v>
      </c>
      <c r="E573" s="14">
        <v>4879.5</v>
      </c>
      <c r="F573" s="14">
        <v>21418.65</v>
      </c>
    </row>
    <row r="574" spans="1:6">
      <c r="A574" s="12">
        <v>45279</v>
      </c>
      <c r="B574" s="14">
        <v>1699.35</v>
      </c>
      <c r="C574" s="14">
        <v>1254.68</v>
      </c>
      <c r="D574" s="14">
        <v>1127.49</v>
      </c>
      <c r="E574" s="14">
        <v>4911.25</v>
      </c>
      <c r="F574" s="14">
        <v>21453.1</v>
      </c>
    </row>
    <row r="575" spans="1:6">
      <c r="A575" s="12">
        <v>45280</v>
      </c>
      <c r="B575" s="14">
        <v>1646.95</v>
      </c>
      <c r="C575" s="14">
        <v>1207.81</v>
      </c>
      <c r="D575" s="14">
        <v>1115.83</v>
      </c>
      <c r="E575" s="14">
        <v>4954.95</v>
      </c>
      <c r="F575" s="14">
        <v>21150.15</v>
      </c>
    </row>
    <row r="576" spans="1:6">
      <c r="A576" s="12">
        <v>45281</v>
      </c>
      <c r="B576" s="14">
        <v>1633.85</v>
      </c>
      <c r="C576" s="14">
        <v>1225.58</v>
      </c>
      <c r="D576" s="14">
        <v>1110.9000000000001</v>
      </c>
      <c r="E576" s="14">
        <v>5059.6000000000004</v>
      </c>
      <c r="F576" s="14">
        <v>21255.05</v>
      </c>
    </row>
    <row r="577" spans="1:6">
      <c r="A577" s="12">
        <v>45282</v>
      </c>
      <c r="B577" s="14">
        <v>1634.25</v>
      </c>
      <c r="C577" s="14">
        <v>1258.04</v>
      </c>
      <c r="D577" s="14">
        <v>1125.54</v>
      </c>
      <c r="E577" s="14">
        <v>5161.1000000000004</v>
      </c>
      <c r="F577" s="14">
        <v>21349.4</v>
      </c>
    </row>
    <row r="578" spans="1:6">
      <c r="A578" s="12">
        <v>45286</v>
      </c>
      <c r="B578" s="14">
        <v>1662.25</v>
      </c>
      <c r="C578" s="14">
        <v>1255.21</v>
      </c>
      <c r="D578" s="14">
        <v>1126.43</v>
      </c>
      <c r="E578" s="14">
        <v>5235.95</v>
      </c>
      <c r="F578" s="14">
        <v>21441.35</v>
      </c>
    </row>
    <row r="579" spans="1:6">
      <c r="A579" s="12">
        <v>45287</v>
      </c>
      <c r="B579" s="14">
        <v>1687.95</v>
      </c>
      <c r="C579" s="14">
        <v>1259.8800000000001</v>
      </c>
      <c r="D579" s="14">
        <v>1142.9000000000001</v>
      </c>
      <c r="E579" s="14">
        <v>5216.8</v>
      </c>
      <c r="F579" s="14">
        <v>21654.75</v>
      </c>
    </row>
    <row r="580" spans="1:6">
      <c r="A580" s="12">
        <v>45288</v>
      </c>
      <c r="B580" s="14">
        <v>1734.45</v>
      </c>
      <c r="C580" s="14">
        <v>1254.47</v>
      </c>
      <c r="D580" s="14">
        <v>1171.71</v>
      </c>
      <c r="E580" s="14">
        <v>5282</v>
      </c>
      <c r="F580" s="14">
        <v>21778.7</v>
      </c>
    </row>
    <row r="581" spans="1:6">
      <c r="A581" s="12">
        <v>45289</v>
      </c>
      <c r="B581" s="14">
        <v>1729.4</v>
      </c>
      <c r="C581" s="14">
        <v>1254.8800000000001</v>
      </c>
      <c r="D581" s="14">
        <v>1159.58</v>
      </c>
      <c r="E581" s="14">
        <v>5338.45</v>
      </c>
      <c r="F581" s="14">
        <v>21731.4</v>
      </c>
    </row>
    <row r="582" spans="1:6">
      <c r="A582" s="12">
        <v>45292</v>
      </c>
      <c r="B582" s="14">
        <v>1703.3</v>
      </c>
      <c r="C582" s="14">
        <v>1238.51</v>
      </c>
      <c r="D582" s="14">
        <v>1164.33</v>
      </c>
      <c r="E582" s="14">
        <v>5319.8</v>
      </c>
      <c r="F582" s="14">
        <v>21741.9</v>
      </c>
    </row>
    <row r="583" spans="1:6">
      <c r="A583" s="12">
        <v>45293</v>
      </c>
      <c r="B583" s="14">
        <v>1656.2</v>
      </c>
      <c r="C583" s="14">
        <v>1207.6600000000001</v>
      </c>
      <c r="D583" s="14">
        <v>1185.3599999999999</v>
      </c>
      <c r="E583" s="14">
        <v>5288.85</v>
      </c>
      <c r="F583" s="14">
        <v>21665.8</v>
      </c>
    </row>
    <row r="584" spans="1:6">
      <c r="A584" s="12">
        <v>45294</v>
      </c>
      <c r="B584" s="14">
        <v>1655.25</v>
      </c>
      <c r="C584" s="14">
        <v>1185.6400000000001</v>
      </c>
      <c r="D584" s="14">
        <v>1186.3800000000001</v>
      </c>
      <c r="E584" s="14">
        <v>5253.8</v>
      </c>
      <c r="F584" s="14">
        <v>21517.35</v>
      </c>
    </row>
    <row r="585" spans="1:6">
      <c r="A585" s="12">
        <v>45295</v>
      </c>
      <c r="B585" s="14">
        <v>1641.7</v>
      </c>
      <c r="C585" s="14">
        <v>1190.81</v>
      </c>
      <c r="D585" s="14">
        <v>1168.44</v>
      </c>
      <c r="E585" s="14">
        <v>5361.3</v>
      </c>
      <c r="F585" s="14">
        <v>21658.6</v>
      </c>
    </row>
    <row r="586" spans="1:6">
      <c r="A586" s="12">
        <v>45296</v>
      </c>
      <c r="B586" s="14">
        <v>1642</v>
      </c>
      <c r="C586" s="14">
        <v>1215.27</v>
      </c>
      <c r="D586" s="14">
        <v>1167.1300000000001</v>
      </c>
      <c r="E586" s="14">
        <v>5272.35</v>
      </c>
      <c r="F586" s="14">
        <v>21710.799999999999</v>
      </c>
    </row>
    <row r="587" spans="1:6">
      <c r="A587" s="12">
        <v>45299</v>
      </c>
      <c r="B587" s="14">
        <v>1616.15</v>
      </c>
      <c r="C587" s="14">
        <v>1212.0999999999999</v>
      </c>
      <c r="D587" s="14">
        <v>1152.27</v>
      </c>
      <c r="E587" s="14">
        <v>5177.3500000000004</v>
      </c>
      <c r="F587" s="14">
        <v>21513</v>
      </c>
    </row>
    <row r="588" spans="1:6">
      <c r="A588" s="12">
        <v>45300</v>
      </c>
      <c r="B588" s="14">
        <v>1629.9</v>
      </c>
      <c r="C588" s="14">
        <v>1213.57</v>
      </c>
      <c r="D588" s="14">
        <v>1149.96</v>
      </c>
      <c r="E588" s="14">
        <v>5122.3999999999996</v>
      </c>
      <c r="F588" s="14">
        <v>21544.85</v>
      </c>
    </row>
    <row r="589" spans="1:6">
      <c r="A589" s="12">
        <v>45301</v>
      </c>
      <c r="B589" s="14">
        <v>1632.8</v>
      </c>
      <c r="C589" s="14">
        <v>1230.45</v>
      </c>
      <c r="D589" s="14">
        <v>1157.44</v>
      </c>
      <c r="E589" s="14">
        <v>5086.6499999999996</v>
      </c>
      <c r="F589" s="14">
        <v>21618.7</v>
      </c>
    </row>
    <row r="590" spans="1:6">
      <c r="A590" s="12">
        <v>45302</v>
      </c>
      <c r="B590" s="14">
        <v>1628.65</v>
      </c>
      <c r="C590" s="14">
        <v>1247.6199999999999</v>
      </c>
      <c r="D590" s="14">
        <v>1138.49</v>
      </c>
      <c r="E590" s="14">
        <v>5136.7</v>
      </c>
      <c r="F590" s="14">
        <v>21647.200000000001</v>
      </c>
    </row>
    <row r="591" spans="1:6">
      <c r="A591" s="12">
        <v>45303</v>
      </c>
      <c r="B591" s="14">
        <v>1624.45</v>
      </c>
      <c r="C591" s="14">
        <v>1318.54</v>
      </c>
      <c r="D591" s="14">
        <v>1137.77</v>
      </c>
      <c r="E591" s="14">
        <v>5151.1000000000004</v>
      </c>
      <c r="F591" s="14">
        <v>21894.55</v>
      </c>
    </row>
    <row r="592" spans="1:6">
      <c r="A592" s="12">
        <v>45306</v>
      </c>
      <c r="B592" s="14">
        <v>1635.55</v>
      </c>
      <c r="C592" s="14">
        <v>1322.81</v>
      </c>
      <c r="D592" s="14">
        <v>1156.6500000000001</v>
      </c>
      <c r="E592" s="14">
        <v>5177.3500000000004</v>
      </c>
      <c r="F592" s="14">
        <v>22097.45</v>
      </c>
    </row>
    <row r="593" spans="1:6">
      <c r="A593" s="12">
        <v>45307</v>
      </c>
      <c r="B593" s="14">
        <v>1620.35</v>
      </c>
      <c r="C593" s="14">
        <v>1319.4</v>
      </c>
      <c r="D593" s="14">
        <v>1151.6300000000001</v>
      </c>
      <c r="E593" s="14">
        <v>5130.6000000000004</v>
      </c>
      <c r="F593" s="14">
        <v>22032.3</v>
      </c>
    </row>
    <row r="594" spans="1:6">
      <c r="A594" s="12">
        <v>45308</v>
      </c>
      <c r="B594" s="14">
        <v>1597.7</v>
      </c>
      <c r="C594" s="14">
        <v>1325.39</v>
      </c>
      <c r="D594" s="14">
        <v>1129.99</v>
      </c>
      <c r="E594" s="14">
        <v>5061.7</v>
      </c>
      <c r="F594" s="14">
        <v>21571.95</v>
      </c>
    </row>
    <row r="595" spans="1:6">
      <c r="A595" s="12">
        <v>45309</v>
      </c>
      <c r="B595" s="14">
        <v>1617.25</v>
      </c>
      <c r="C595" s="14">
        <v>1297.32</v>
      </c>
      <c r="D595" s="14">
        <v>1129.99</v>
      </c>
      <c r="E595" s="14">
        <v>5015.1499999999996</v>
      </c>
      <c r="F595" s="14">
        <v>21462.25</v>
      </c>
    </row>
    <row r="596" spans="1:6">
      <c r="A596" s="12">
        <v>45310</v>
      </c>
      <c r="B596" s="14">
        <v>1655.55</v>
      </c>
      <c r="C596" s="14">
        <v>1283.07</v>
      </c>
      <c r="D596" s="14">
        <v>1133.6400000000001</v>
      </c>
      <c r="E596" s="14">
        <v>5138.6499999999996</v>
      </c>
      <c r="F596" s="14">
        <v>21622.400000000001</v>
      </c>
    </row>
    <row r="597" spans="1:6">
      <c r="A597" s="12">
        <v>45311</v>
      </c>
      <c r="B597" s="14">
        <v>1622.3</v>
      </c>
      <c r="C597" s="14">
        <v>1256.68</v>
      </c>
      <c r="D597" s="14">
        <v>1127.08</v>
      </c>
      <c r="E597" s="14">
        <v>5166.3999999999996</v>
      </c>
      <c r="F597" s="14">
        <v>21571.8</v>
      </c>
    </row>
    <row r="598" spans="1:6">
      <c r="A598" s="12">
        <v>45314</v>
      </c>
      <c r="B598" s="14">
        <v>1595.2</v>
      </c>
      <c r="C598" s="14">
        <v>1240.32</v>
      </c>
      <c r="D598" s="14">
        <v>1134.8800000000001</v>
      </c>
      <c r="E598" s="14">
        <v>5048.1000000000004</v>
      </c>
      <c r="F598" s="14">
        <v>21238.799999999999</v>
      </c>
    </row>
    <row r="599" spans="1:6">
      <c r="A599" s="12">
        <v>45315</v>
      </c>
      <c r="B599" s="14">
        <v>1628.1</v>
      </c>
      <c r="C599" s="14">
        <v>1273.8399999999999</v>
      </c>
      <c r="D599" s="14">
        <v>1180.42</v>
      </c>
      <c r="E599" s="14">
        <v>5142.25</v>
      </c>
      <c r="F599" s="14">
        <v>21453.95</v>
      </c>
    </row>
    <row r="600" spans="1:6">
      <c r="A600" s="12">
        <v>45316</v>
      </c>
      <c r="B600" s="14">
        <v>1635.5</v>
      </c>
      <c r="C600" s="14">
        <v>1241.01</v>
      </c>
      <c r="D600" s="14">
        <v>1171.0999999999999</v>
      </c>
      <c r="E600" s="14">
        <v>5141.8999999999996</v>
      </c>
      <c r="F600" s="14">
        <v>21352.6</v>
      </c>
    </row>
    <row r="601" spans="1:6">
      <c r="A601" s="12">
        <v>45320</v>
      </c>
      <c r="B601" s="14">
        <v>1640</v>
      </c>
      <c r="C601" s="14">
        <v>1250.95</v>
      </c>
      <c r="D601" s="14">
        <v>1168.74</v>
      </c>
      <c r="E601" s="14">
        <v>5136.8999999999996</v>
      </c>
      <c r="F601" s="14">
        <v>21737.599999999999</v>
      </c>
    </row>
    <row r="602" spans="1:6">
      <c r="A602" s="12">
        <v>45321</v>
      </c>
      <c r="B602" s="14">
        <v>1620.35</v>
      </c>
      <c r="C602" s="14">
        <v>1248.96</v>
      </c>
      <c r="D602" s="14">
        <v>1168.19</v>
      </c>
      <c r="E602" s="14">
        <v>5091.75</v>
      </c>
      <c r="F602" s="14">
        <v>21522.1</v>
      </c>
    </row>
    <row r="603" spans="1:6">
      <c r="A603" s="12">
        <v>45322</v>
      </c>
      <c r="B603" s="14">
        <v>1651.55</v>
      </c>
      <c r="C603" s="14">
        <v>1250.02</v>
      </c>
      <c r="D603" s="14">
        <v>1224.23</v>
      </c>
      <c r="E603" s="14">
        <v>5198.3999999999996</v>
      </c>
      <c r="F603" s="14">
        <v>21725.7</v>
      </c>
    </row>
    <row r="604" spans="1:6">
      <c r="A604" s="12">
        <v>45323</v>
      </c>
      <c r="B604" s="14">
        <v>1651.15</v>
      </c>
      <c r="C604" s="14">
        <v>1233.95</v>
      </c>
      <c r="D604" s="14">
        <v>1198.6300000000001</v>
      </c>
      <c r="E604" s="14">
        <v>5148.6000000000004</v>
      </c>
      <c r="F604" s="14">
        <v>21697.45</v>
      </c>
    </row>
    <row r="605" spans="1:6">
      <c r="A605" s="12">
        <v>45324</v>
      </c>
      <c r="B605" s="14">
        <v>1660.75</v>
      </c>
      <c r="C605" s="14">
        <v>1285.07</v>
      </c>
      <c r="D605" s="14">
        <v>1207.9000000000001</v>
      </c>
      <c r="E605" s="14">
        <v>5148.8500000000004</v>
      </c>
      <c r="F605" s="14">
        <v>21853.8</v>
      </c>
    </row>
    <row r="606" spans="1:6">
      <c r="A606" s="12">
        <v>45327</v>
      </c>
      <c r="B606" s="14">
        <v>1703.55</v>
      </c>
      <c r="C606" s="14">
        <v>1273.26</v>
      </c>
      <c r="D606" s="14">
        <v>1218.8900000000001</v>
      </c>
      <c r="E606" s="14">
        <v>5124.5</v>
      </c>
      <c r="F606" s="14">
        <v>21771.7</v>
      </c>
    </row>
    <row r="607" spans="1:6">
      <c r="A607" s="12">
        <v>45328</v>
      </c>
      <c r="B607" s="14">
        <v>1727.65</v>
      </c>
      <c r="C607" s="14">
        <v>1312.16</v>
      </c>
      <c r="D607" s="14">
        <v>1233.32</v>
      </c>
      <c r="E607" s="14">
        <v>5007.05</v>
      </c>
      <c r="F607" s="14">
        <v>21929.4</v>
      </c>
    </row>
    <row r="608" spans="1:6">
      <c r="A608" s="12">
        <v>45329</v>
      </c>
      <c r="B608" s="14">
        <v>1721</v>
      </c>
      <c r="C608" s="14">
        <v>1316.7</v>
      </c>
      <c r="D608" s="14">
        <v>1235.95</v>
      </c>
      <c r="E608" s="14">
        <v>5078.25</v>
      </c>
      <c r="F608" s="14">
        <v>21930.5</v>
      </c>
    </row>
    <row r="609" spans="1:6">
      <c r="A609" s="12">
        <v>45330</v>
      </c>
      <c r="B609" s="14">
        <v>1685.9</v>
      </c>
      <c r="C609" s="14">
        <v>1321.67</v>
      </c>
      <c r="D609" s="14">
        <v>1232.01</v>
      </c>
      <c r="E609" s="14">
        <v>4875.55</v>
      </c>
      <c r="F609" s="14">
        <v>21717.95</v>
      </c>
    </row>
    <row r="610" spans="1:6">
      <c r="A610" s="12">
        <v>45331</v>
      </c>
      <c r="B610" s="14">
        <v>1646.4</v>
      </c>
      <c r="C610" s="14">
        <v>1300.1500000000001</v>
      </c>
      <c r="D610" s="14">
        <v>1231.17</v>
      </c>
      <c r="E610" s="14">
        <v>4971.5</v>
      </c>
      <c r="F610" s="14">
        <v>21782.5</v>
      </c>
    </row>
    <row r="611" spans="1:6">
      <c r="A611" s="12">
        <v>45334</v>
      </c>
      <c r="B611" s="14">
        <v>1660.45</v>
      </c>
      <c r="C611" s="14">
        <v>1333.24</v>
      </c>
      <c r="D611" s="14">
        <v>1266.7</v>
      </c>
      <c r="E611" s="14">
        <v>4970.2</v>
      </c>
      <c r="F611" s="14">
        <v>21616.05</v>
      </c>
    </row>
    <row r="612" spans="1:6">
      <c r="A612" s="12">
        <v>45335</v>
      </c>
      <c r="B612" s="14">
        <v>1646.75</v>
      </c>
      <c r="C612" s="14">
        <v>1332.38</v>
      </c>
      <c r="D612" s="14">
        <v>1267.07</v>
      </c>
      <c r="E612" s="14">
        <v>4981.6000000000004</v>
      </c>
      <c r="F612" s="14">
        <v>21743.25</v>
      </c>
    </row>
    <row r="613" spans="1:6">
      <c r="A613" s="12">
        <v>45336</v>
      </c>
      <c r="B613" s="14">
        <v>1657.05</v>
      </c>
      <c r="C613" s="14">
        <v>1294.43</v>
      </c>
      <c r="D613" s="14">
        <v>1251.67</v>
      </c>
      <c r="E613" s="14">
        <v>5010.6499999999996</v>
      </c>
      <c r="F613" s="14">
        <v>21840.05</v>
      </c>
    </row>
    <row r="614" spans="1:6">
      <c r="A614" s="12">
        <v>45337</v>
      </c>
      <c r="B614" s="14">
        <v>1765.05</v>
      </c>
      <c r="C614" s="14">
        <v>1328.96</v>
      </c>
      <c r="D614" s="14">
        <v>1250.53</v>
      </c>
      <c r="E614" s="14">
        <v>4950.55</v>
      </c>
      <c r="F614" s="14">
        <v>21910.75</v>
      </c>
    </row>
    <row r="615" spans="1:6">
      <c r="A615" s="12">
        <v>45338</v>
      </c>
      <c r="B615" s="14">
        <v>1835.55</v>
      </c>
      <c r="C615" s="14">
        <v>1333.08</v>
      </c>
      <c r="D615" s="14">
        <v>1263.43</v>
      </c>
      <c r="E615" s="14">
        <v>4913.7</v>
      </c>
      <c r="F615" s="14">
        <v>22040.7</v>
      </c>
    </row>
    <row r="616" spans="1:6">
      <c r="A616" s="12">
        <v>45341</v>
      </c>
      <c r="B616" s="14">
        <v>1848.55</v>
      </c>
      <c r="C616" s="14">
        <v>1350.98</v>
      </c>
      <c r="D616" s="14">
        <v>1283.43</v>
      </c>
      <c r="E616" s="14">
        <v>4925.25</v>
      </c>
      <c r="F616" s="14">
        <v>22122.25</v>
      </c>
    </row>
    <row r="617" spans="1:6">
      <c r="A617" s="12">
        <v>45342</v>
      </c>
      <c r="B617" s="14">
        <v>1853.65</v>
      </c>
      <c r="C617" s="14">
        <v>1330.69</v>
      </c>
      <c r="D617" s="14">
        <v>1275.2</v>
      </c>
      <c r="E617" s="14">
        <v>4921.1499999999996</v>
      </c>
      <c r="F617" s="14">
        <v>22196.95</v>
      </c>
    </row>
    <row r="618" spans="1:6">
      <c r="A618" s="12">
        <v>45343</v>
      </c>
      <c r="B618" s="14">
        <v>1859.65</v>
      </c>
      <c r="C618" s="14">
        <v>1309.2</v>
      </c>
      <c r="D618" s="14">
        <v>1269.83</v>
      </c>
      <c r="E618" s="14">
        <v>4923</v>
      </c>
      <c r="F618" s="14">
        <v>22055.05</v>
      </c>
    </row>
    <row r="619" spans="1:6">
      <c r="A619" s="12">
        <v>45344</v>
      </c>
      <c r="B619" s="14">
        <v>1910.35</v>
      </c>
      <c r="C619" s="14">
        <v>1323.54</v>
      </c>
      <c r="D619" s="14">
        <v>1272.79</v>
      </c>
      <c r="E619" s="14">
        <v>4956.95</v>
      </c>
      <c r="F619" s="14">
        <v>22217.45</v>
      </c>
    </row>
    <row r="620" spans="1:6">
      <c r="A620" s="12">
        <v>45345</v>
      </c>
      <c r="B620" s="14">
        <v>1929.95</v>
      </c>
      <c r="C620" s="14">
        <v>1321.2</v>
      </c>
      <c r="D620" s="14">
        <v>1288.43</v>
      </c>
      <c r="E620" s="14">
        <v>4936.3500000000004</v>
      </c>
      <c r="F620" s="14">
        <v>22212.7</v>
      </c>
    </row>
    <row r="621" spans="1:6">
      <c r="A621" s="12">
        <v>45348</v>
      </c>
      <c r="B621" s="14">
        <v>1929.8</v>
      </c>
      <c r="C621" s="14">
        <v>1318.68</v>
      </c>
      <c r="D621" s="14">
        <v>1288.1500000000001</v>
      </c>
      <c r="E621" s="14">
        <v>4901.8999999999996</v>
      </c>
      <c r="F621" s="14">
        <v>22122.05</v>
      </c>
    </row>
    <row r="622" spans="1:6">
      <c r="A622" s="12">
        <v>45349</v>
      </c>
      <c r="B622" s="14">
        <v>1950.6</v>
      </c>
      <c r="C622" s="14">
        <v>1312.31</v>
      </c>
      <c r="D622" s="14">
        <v>1289.92</v>
      </c>
      <c r="E622" s="14">
        <v>4904.3500000000004</v>
      </c>
      <c r="F622" s="14">
        <v>22198.35</v>
      </c>
    </row>
    <row r="623" spans="1:6">
      <c r="A623" s="12">
        <v>45350</v>
      </c>
      <c r="B623" s="14">
        <v>1901.65</v>
      </c>
      <c r="C623" s="14">
        <v>1292.93</v>
      </c>
      <c r="D623" s="14">
        <v>1285.6099999999999</v>
      </c>
      <c r="E623" s="14">
        <v>4887.8</v>
      </c>
      <c r="F623" s="14">
        <v>21951.15</v>
      </c>
    </row>
    <row r="624" spans="1:6">
      <c r="A624" s="12">
        <v>45351</v>
      </c>
      <c r="B624" s="14">
        <v>1932.4</v>
      </c>
      <c r="C624" s="14">
        <v>1310.81</v>
      </c>
      <c r="D624" s="14">
        <v>1284.8499999999999</v>
      </c>
      <c r="E624" s="14">
        <v>4965.2</v>
      </c>
      <c r="F624" s="14">
        <v>21982.799999999999</v>
      </c>
    </row>
    <row r="625" spans="1:6">
      <c r="A625" s="12">
        <v>45352</v>
      </c>
      <c r="B625" s="14">
        <v>1972.95</v>
      </c>
      <c r="C625" s="14">
        <v>1300.94</v>
      </c>
      <c r="D625" s="14">
        <v>1238.71</v>
      </c>
      <c r="E625" s="14">
        <v>4927.7</v>
      </c>
      <c r="F625" s="14">
        <v>22338.75</v>
      </c>
    </row>
    <row r="626" spans="1:6">
      <c r="A626" s="12">
        <v>45353</v>
      </c>
      <c r="B626" s="14">
        <v>1960.1</v>
      </c>
      <c r="C626" s="14">
        <v>1301.03</v>
      </c>
      <c r="D626" s="14">
        <v>1247.78</v>
      </c>
      <c r="E626" s="14">
        <v>4922.55</v>
      </c>
      <c r="F626" s="14">
        <v>22378.400000000001</v>
      </c>
    </row>
    <row r="627" spans="1:6">
      <c r="A627" s="12">
        <v>45355</v>
      </c>
      <c r="B627" s="14">
        <v>1921.05</v>
      </c>
      <c r="C627" s="14">
        <v>1288.54</v>
      </c>
      <c r="D627" s="14">
        <v>1267.02</v>
      </c>
      <c r="E627" s="14">
        <v>4838.8999999999996</v>
      </c>
      <c r="F627" s="14">
        <v>22405.599999999999</v>
      </c>
    </row>
    <row r="628" spans="1:6">
      <c r="A628" s="12">
        <v>45356</v>
      </c>
      <c r="B628" s="14">
        <v>1939.25</v>
      </c>
      <c r="C628" s="14">
        <v>1263.29</v>
      </c>
      <c r="D628" s="14">
        <v>1260.6600000000001</v>
      </c>
      <c r="E628" s="14">
        <v>4825.6499999999996</v>
      </c>
      <c r="F628" s="14">
        <v>22356.3</v>
      </c>
    </row>
    <row r="629" spans="1:6">
      <c r="A629" s="12">
        <v>45357</v>
      </c>
      <c r="B629" s="14">
        <v>1970.65</v>
      </c>
      <c r="C629" s="14">
        <v>1264.6600000000001</v>
      </c>
      <c r="D629" s="14">
        <v>1262.93</v>
      </c>
      <c r="E629" s="14">
        <v>4880.75</v>
      </c>
      <c r="F629" s="14">
        <v>22474.05</v>
      </c>
    </row>
    <row r="630" spans="1:6">
      <c r="A630" s="12">
        <v>45358</v>
      </c>
      <c r="B630" s="14">
        <v>1897.55</v>
      </c>
      <c r="C630" s="14">
        <v>1250.74</v>
      </c>
      <c r="D630" s="14">
        <v>1264.83</v>
      </c>
      <c r="E630" s="14">
        <v>4889.1499999999996</v>
      </c>
      <c r="F630" s="14">
        <v>22493.55</v>
      </c>
    </row>
    <row r="631" spans="1:6">
      <c r="A631" s="12">
        <v>45362</v>
      </c>
      <c r="B631" s="14">
        <v>1894.35</v>
      </c>
      <c r="C631" s="14">
        <v>1249.53</v>
      </c>
      <c r="D631" s="14">
        <v>1277.49</v>
      </c>
      <c r="E631" s="14">
        <v>4937.3999999999996</v>
      </c>
      <c r="F631" s="14">
        <v>22332.65</v>
      </c>
    </row>
    <row r="632" spans="1:6">
      <c r="A632" s="12">
        <v>45363</v>
      </c>
      <c r="B632" s="14">
        <v>1895.15</v>
      </c>
      <c r="C632" s="14">
        <v>1252.73</v>
      </c>
      <c r="D632" s="14">
        <v>1260.43</v>
      </c>
      <c r="E632" s="14">
        <v>4869.1499999999996</v>
      </c>
      <c r="F632" s="14">
        <v>22335.7</v>
      </c>
    </row>
    <row r="633" spans="1:6">
      <c r="A633" s="12">
        <v>45364</v>
      </c>
      <c r="B633" s="14">
        <v>1853.7</v>
      </c>
      <c r="C633" s="14">
        <v>1234.72</v>
      </c>
      <c r="D633" s="14">
        <v>1260.76</v>
      </c>
      <c r="E633" s="14">
        <v>4856.6499999999996</v>
      </c>
      <c r="F633" s="14">
        <v>21997.7</v>
      </c>
    </row>
    <row r="634" spans="1:6">
      <c r="A634" s="12">
        <v>45365</v>
      </c>
      <c r="B634" s="14">
        <v>1890.55</v>
      </c>
      <c r="C634" s="14">
        <v>1217.52</v>
      </c>
      <c r="D634" s="14">
        <v>1258.92</v>
      </c>
      <c r="E634" s="14">
        <v>4938.8999999999996</v>
      </c>
      <c r="F634" s="14">
        <v>22146.65</v>
      </c>
    </row>
    <row r="635" spans="1:6">
      <c r="A635" s="12">
        <v>45366</v>
      </c>
      <c r="B635" s="14">
        <v>1799.5</v>
      </c>
      <c r="C635" s="14">
        <v>1223.28</v>
      </c>
      <c r="D635" s="14">
        <v>1256.98</v>
      </c>
      <c r="E635" s="14">
        <v>4974.2</v>
      </c>
      <c r="F635" s="14">
        <v>22023.35</v>
      </c>
    </row>
    <row r="636" spans="1:6">
      <c r="A636" s="12">
        <v>45369</v>
      </c>
      <c r="B636" s="14">
        <v>1856.05</v>
      </c>
      <c r="C636" s="14">
        <v>1139.43</v>
      </c>
      <c r="D636" s="14">
        <v>1268.21</v>
      </c>
      <c r="E636" s="14">
        <v>4980</v>
      </c>
      <c r="F636" s="14">
        <v>22055.7</v>
      </c>
    </row>
    <row r="637" spans="1:6">
      <c r="A637" s="12">
        <v>45370</v>
      </c>
      <c r="B637" s="14">
        <v>1843.9</v>
      </c>
      <c r="C637" s="14">
        <v>1111.51</v>
      </c>
      <c r="D637" s="14">
        <v>1226.98</v>
      </c>
      <c r="E637" s="14">
        <v>4816.95</v>
      </c>
      <c r="F637" s="14">
        <v>21817.45</v>
      </c>
    </row>
    <row r="638" spans="1:6">
      <c r="A638" s="12">
        <v>45371</v>
      </c>
      <c r="B638" s="14">
        <v>1844.4</v>
      </c>
      <c r="C638" s="14">
        <v>1105.95</v>
      </c>
      <c r="D638" s="14">
        <v>1220.6600000000001</v>
      </c>
      <c r="E638" s="14">
        <v>4802.8999999999996</v>
      </c>
      <c r="F638" s="14">
        <v>21839.1</v>
      </c>
    </row>
    <row r="639" spans="1:6">
      <c r="A639" s="12">
        <v>45372</v>
      </c>
      <c r="B639" s="14">
        <v>1865.85</v>
      </c>
      <c r="C639" s="14">
        <v>1141.3499999999999</v>
      </c>
      <c r="D639" s="14">
        <v>1225.6400000000001</v>
      </c>
      <c r="E639" s="14">
        <v>4806.7</v>
      </c>
      <c r="F639" s="14">
        <v>22011.95</v>
      </c>
    </row>
    <row r="640" spans="1:6">
      <c r="A640" s="12">
        <v>45373</v>
      </c>
      <c r="B640" s="14">
        <v>1878.8</v>
      </c>
      <c r="C640" s="14">
        <v>1108.02</v>
      </c>
      <c r="D640" s="14">
        <v>1240.6400000000001</v>
      </c>
      <c r="E640" s="14">
        <v>4865</v>
      </c>
      <c r="F640" s="14">
        <v>22096.75</v>
      </c>
    </row>
    <row r="641" spans="1:6">
      <c r="A641" s="12">
        <v>45377</v>
      </c>
      <c r="B641" s="14">
        <v>1863.95</v>
      </c>
      <c r="C641" s="14">
        <v>1109.46</v>
      </c>
      <c r="D641" s="14">
        <v>1226.97</v>
      </c>
      <c r="E641" s="14">
        <v>4961.45</v>
      </c>
      <c r="F641" s="14">
        <v>22004.7</v>
      </c>
    </row>
    <row r="642" spans="1:6">
      <c r="A642" s="12">
        <v>45378</v>
      </c>
      <c r="B642" s="14">
        <v>1881.15</v>
      </c>
      <c r="C642" s="14">
        <v>1109.8499999999999</v>
      </c>
      <c r="D642" s="14">
        <v>1208.82</v>
      </c>
      <c r="E642" s="14">
        <v>4920.2</v>
      </c>
      <c r="F642" s="14">
        <v>22123.65</v>
      </c>
    </row>
    <row r="643" spans="1:6">
      <c r="A643" s="12">
        <v>45379</v>
      </c>
      <c r="B643" s="14">
        <v>1921.35</v>
      </c>
      <c r="C643" s="14">
        <v>1100.49</v>
      </c>
      <c r="D643" s="14">
        <v>1231.58</v>
      </c>
      <c r="E643" s="14">
        <v>4911.25</v>
      </c>
      <c r="F643" s="14">
        <v>22326.9</v>
      </c>
    </row>
    <row r="644" spans="1:6">
      <c r="A644" s="12">
        <v>45383</v>
      </c>
      <c r="B644" s="14">
        <v>1915.95</v>
      </c>
      <c r="C644" s="14">
        <v>1096.81</v>
      </c>
      <c r="D644" s="14">
        <v>1250.07</v>
      </c>
      <c r="E644" s="14">
        <v>4895.2</v>
      </c>
      <c r="F644" s="14">
        <v>22462</v>
      </c>
    </row>
    <row r="645" spans="1:6">
      <c r="A645" s="12">
        <v>45384</v>
      </c>
      <c r="B645" s="14">
        <v>1971.95</v>
      </c>
      <c r="C645" s="14">
        <v>1111.25</v>
      </c>
      <c r="D645" s="14">
        <v>1247.51</v>
      </c>
      <c r="E645" s="14">
        <v>4899.95</v>
      </c>
      <c r="F645" s="14">
        <v>22453.3</v>
      </c>
    </row>
    <row r="646" spans="1:6">
      <c r="A646" s="12">
        <v>45385</v>
      </c>
      <c r="B646" s="14">
        <v>1989.3</v>
      </c>
      <c r="C646" s="14">
        <v>1132.52</v>
      </c>
      <c r="D646" s="14">
        <v>1224.8800000000001</v>
      </c>
      <c r="E646" s="14">
        <v>4834.6000000000004</v>
      </c>
      <c r="F646" s="14">
        <v>22434.65</v>
      </c>
    </row>
    <row r="647" spans="1:6">
      <c r="A647" s="12">
        <v>45386</v>
      </c>
      <c r="B647" s="14">
        <v>2002.7</v>
      </c>
      <c r="C647" s="14">
        <v>1163.8900000000001</v>
      </c>
      <c r="D647" s="14">
        <v>1228.5</v>
      </c>
      <c r="E647" s="14">
        <v>4813.6000000000004</v>
      </c>
      <c r="F647" s="14">
        <v>22514.65</v>
      </c>
    </row>
    <row r="648" spans="1:6">
      <c r="A648" s="12">
        <v>45387</v>
      </c>
      <c r="B648" s="14">
        <v>2013.3</v>
      </c>
      <c r="C648" s="14">
        <v>1156.58</v>
      </c>
      <c r="D648" s="14">
        <v>1235.8599999999999</v>
      </c>
      <c r="E648" s="14">
        <v>4813.05</v>
      </c>
      <c r="F648" s="14">
        <v>22513.7</v>
      </c>
    </row>
    <row r="649" spans="1:6">
      <c r="A649" s="12">
        <v>45390</v>
      </c>
      <c r="B649" s="14">
        <v>2078.1</v>
      </c>
      <c r="C649" s="14">
        <v>1136.44</v>
      </c>
      <c r="D649" s="14">
        <v>1234.9100000000001</v>
      </c>
      <c r="E649" s="14">
        <v>4826.8</v>
      </c>
      <c r="F649" s="14">
        <v>22666.3</v>
      </c>
    </row>
    <row r="650" spans="1:6">
      <c r="A650" s="12">
        <v>45391</v>
      </c>
      <c r="B650" s="14">
        <v>2090.9</v>
      </c>
      <c r="C650" s="14">
        <v>1142.33</v>
      </c>
      <c r="D650" s="14">
        <v>1233.58</v>
      </c>
      <c r="E650" s="14">
        <v>4794.7</v>
      </c>
      <c r="F650" s="14">
        <v>22642.75</v>
      </c>
    </row>
    <row r="651" spans="1:6">
      <c r="A651" s="12">
        <v>45392</v>
      </c>
      <c r="B651" s="14">
        <v>2076.1999999999998</v>
      </c>
      <c r="C651" s="14">
        <v>1140.49</v>
      </c>
      <c r="D651" s="14">
        <v>1231.58</v>
      </c>
      <c r="E651" s="14">
        <v>4808.7</v>
      </c>
      <c r="F651" s="14">
        <v>22753.8</v>
      </c>
    </row>
    <row r="652" spans="1:6">
      <c r="A652" s="12">
        <v>45394</v>
      </c>
      <c r="B652" s="14">
        <v>2070.9499999999998</v>
      </c>
      <c r="C652" s="14">
        <v>1123.25</v>
      </c>
      <c r="D652" s="14">
        <v>1216.77</v>
      </c>
      <c r="E652" s="14">
        <v>4751.75</v>
      </c>
      <c r="F652" s="14">
        <v>22519.4</v>
      </c>
    </row>
    <row r="653" spans="1:6">
      <c r="A653" s="12">
        <v>45397</v>
      </c>
      <c r="B653" s="14">
        <v>2053.4499999999998</v>
      </c>
      <c r="C653" s="14">
        <v>1079.24</v>
      </c>
      <c r="D653" s="14">
        <v>1202.17</v>
      </c>
      <c r="E653" s="14">
        <v>4761.8999999999996</v>
      </c>
      <c r="F653" s="14">
        <v>22272.5</v>
      </c>
    </row>
    <row r="654" spans="1:6">
      <c r="A654" s="12">
        <v>45398</v>
      </c>
      <c r="B654" s="14">
        <v>2031.3</v>
      </c>
      <c r="C654" s="14">
        <v>1041.98</v>
      </c>
      <c r="D654" s="14">
        <v>1210.07</v>
      </c>
      <c r="E654" s="14">
        <v>4740.7</v>
      </c>
      <c r="F654" s="14">
        <v>22147.9</v>
      </c>
    </row>
    <row r="655" spans="1:6">
      <c r="A655" s="12">
        <v>45400</v>
      </c>
      <c r="B655" s="14">
        <v>2024.95</v>
      </c>
      <c r="C655" s="14">
        <v>1041.3800000000001</v>
      </c>
      <c r="D655" s="14">
        <v>1191.43</v>
      </c>
      <c r="E655" s="14">
        <v>4695</v>
      </c>
      <c r="F655" s="14">
        <v>21995.85</v>
      </c>
    </row>
    <row r="656" spans="1:6">
      <c r="A656" s="12">
        <v>45401</v>
      </c>
      <c r="B656" s="14">
        <v>2082.9</v>
      </c>
      <c r="C656" s="14">
        <v>1023.63</v>
      </c>
      <c r="D656" s="14">
        <v>1188.57</v>
      </c>
      <c r="E656" s="14">
        <v>4668.3</v>
      </c>
      <c r="F656" s="14">
        <v>22147</v>
      </c>
    </row>
    <row r="657" spans="1:6">
      <c r="A657" s="12">
        <v>45404</v>
      </c>
      <c r="B657" s="14">
        <v>2090.65</v>
      </c>
      <c r="C657" s="14">
        <v>1020.01</v>
      </c>
      <c r="D657" s="14">
        <v>1203.22</v>
      </c>
      <c r="E657" s="14">
        <v>4753.3</v>
      </c>
      <c r="F657" s="14">
        <v>22336.400000000001</v>
      </c>
    </row>
    <row r="658" spans="1:6">
      <c r="A658" s="12">
        <v>45405</v>
      </c>
      <c r="B658" s="14">
        <v>2062.6</v>
      </c>
      <c r="C658" s="14">
        <v>1043.43</v>
      </c>
      <c r="D658" s="14">
        <v>1190.42</v>
      </c>
      <c r="E658" s="14">
        <v>4797.8</v>
      </c>
      <c r="F658" s="14">
        <v>22368</v>
      </c>
    </row>
    <row r="659" spans="1:6">
      <c r="A659" s="12">
        <v>45406</v>
      </c>
      <c r="B659" s="14">
        <v>2058.4499999999998</v>
      </c>
      <c r="C659" s="14">
        <v>1038.53</v>
      </c>
      <c r="D659" s="14">
        <v>1190.1600000000001</v>
      </c>
      <c r="E659" s="14">
        <v>4828.95</v>
      </c>
      <c r="F659" s="14">
        <v>22402.400000000001</v>
      </c>
    </row>
    <row r="660" spans="1:6">
      <c r="A660" s="12">
        <v>45407</v>
      </c>
      <c r="B660" s="14">
        <v>2096.85</v>
      </c>
      <c r="C660" s="14">
        <v>1042.0999999999999</v>
      </c>
      <c r="D660" s="14">
        <v>1243.75</v>
      </c>
      <c r="E660" s="14">
        <v>4844.1499999999996</v>
      </c>
      <c r="F660" s="14">
        <v>22570.35</v>
      </c>
    </row>
    <row r="661" spans="1:6">
      <c r="A661" s="12">
        <v>45408</v>
      </c>
      <c r="B661" s="14">
        <v>2044.9</v>
      </c>
      <c r="C661" s="14">
        <v>1050.2</v>
      </c>
      <c r="D661" s="14">
        <v>1250.42</v>
      </c>
      <c r="E661" s="14">
        <v>4800.45</v>
      </c>
      <c r="F661" s="14">
        <v>22419.95</v>
      </c>
    </row>
    <row r="662" spans="1:6">
      <c r="A662" s="12">
        <v>45411</v>
      </c>
      <c r="B662" s="14">
        <v>2062.0500000000002</v>
      </c>
      <c r="C662" s="14">
        <v>1036.8399999999999</v>
      </c>
      <c r="D662" s="14">
        <v>1259.42</v>
      </c>
      <c r="E662" s="14">
        <v>4799.8500000000004</v>
      </c>
      <c r="F662" s="14">
        <v>22643.4</v>
      </c>
    </row>
    <row r="663" spans="1:6">
      <c r="A663" s="12">
        <v>45412</v>
      </c>
      <c r="B663" s="14">
        <v>2156.35</v>
      </c>
      <c r="C663" s="14">
        <v>1020.65</v>
      </c>
      <c r="D663" s="14">
        <v>1240.8599999999999</v>
      </c>
      <c r="E663" s="14">
        <v>4775.95</v>
      </c>
      <c r="F663" s="14">
        <v>22604.85</v>
      </c>
    </row>
    <row r="664" spans="1:6">
      <c r="A664" s="12">
        <v>45414</v>
      </c>
      <c r="B664" s="14">
        <v>2185.15</v>
      </c>
      <c r="C664" s="13">
        <v>997.14</v>
      </c>
      <c r="D664" s="14">
        <v>1257.5</v>
      </c>
      <c r="E664" s="14">
        <v>4759.6499999999996</v>
      </c>
      <c r="F664" s="14">
        <v>22648.2</v>
      </c>
    </row>
    <row r="665" spans="1:6">
      <c r="A665" s="12">
        <v>45415</v>
      </c>
      <c r="B665" s="14">
        <v>2193</v>
      </c>
      <c r="C665" s="13">
        <v>896.51</v>
      </c>
      <c r="D665" s="14">
        <v>1269.9100000000001</v>
      </c>
      <c r="E665" s="14">
        <v>4744.6000000000004</v>
      </c>
      <c r="F665" s="14">
        <v>22475.85</v>
      </c>
    </row>
    <row r="666" spans="1:6">
      <c r="A666" s="12">
        <v>45418</v>
      </c>
      <c r="B666" s="14">
        <v>2224.9499999999998</v>
      </c>
      <c r="C666" s="13">
        <v>882.61</v>
      </c>
      <c r="D666" s="14">
        <v>1258.69</v>
      </c>
      <c r="E666" s="14">
        <v>5061.6000000000004</v>
      </c>
      <c r="F666" s="14">
        <v>22442.7</v>
      </c>
    </row>
    <row r="667" spans="1:6">
      <c r="A667" s="12">
        <v>45419</v>
      </c>
      <c r="B667" s="14">
        <v>2191.5</v>
      </c>
      <c r="C667" s="13">
        <v>883.83</v>
      </c>
      <c r="D667" s="14">
        <v>1251.52</v>
      </c>
      <c r="E667" s="14">
        <v>5173.8500000000004</v>
      </c>
      <c r="F667" s="14">
        <v>22302.5</v>
      </c>
    </row>
    <row r="668" spans="1:6">
      <c r="A668" s="12">
        <v>45420</v>
      </c>
      <c r="B668" s="14">
        <v>2182.4</v>
      </c>
      <c r="C668" s="13">
        <v>881.91</v>
      </c>
      <c r="D668" s="14">
        <v>1211.27</v>
      </c>
      <c r="E668" s="14">
        <v>5228.3999999999996</v>
      </c>
      <c r="F668" s="14">
        <v>22302.5</v>
      </c>
    </row>
    <row r="669" spans="1:6">
      <c r="A669" s="12">
        <v>45421</v>
      </c>
      <c r="B669" s="14">
        <v>2212.5500000000002</v>
      </c>
      <c r="C669" s="13">
        <v>860.36</v>
      </c>
      <c r="D669" s="14">
        <v>1175.47</v>
      </c>
      <c r="E669" s="14">
        <v>5070.1000000000004</v>
      </c>
      <c r="F669" s="14">
        <v>21957.5</v>
      </c>
    </row>
    <row r="670" spans="1:6">
      <c r="A670" s="12">
        <v>45422</v>
      </c>
      <c r="B670" s="14">
        <v>2193.0500000000002</v>
      </c>
      <c r="C670" s="13">
        <v>893.06</v>
      </c>
      <c r="D670" s="14">
        <v>1184.2</v>
      </c>
      <c r="E670" s="14">
        <v>5066.8</v>
      </c>
      <c r="F670" s="14">
        <v>22055.200000000001</v>
      </c>
    </row>
    <row r="671" spans="1:6">
      <c r="A671" s="12">
        <v>45425</v>
      </c>
      <c r="B671" s="14">
        <v>2184.25</v>
      </c>
      <c r="C671" s="13">
        <v>906.97</v>
      </c>
      <c r="D671" s="14">
        <v>1181.71</v>
      </c>
      <c r="E671" s="14">
        <v>5130.55</v>
      </c>
      <c r="F671" s="14">
        <v>22104.05</v>
      </c>
    </row>
    <row r="672" spans="1:6">
      <c r="A672" s="12">
        <v>45426</v>
      </c>
      <c r="B672" s="14">
        <v>2269.9</v>
      </c>
      <c r="C672" s="13">
        <v>911.87</v>
      </c>
      <c r="D672" s="14">
        <v>1173.76</v>
      </c>
      <c r="E672" s="14">
        <v>5140.8</v>
      </c>
      <c r="F672" s="14">
        <v>22217.85</v>
      </c>
    </row>
    <row r="673" spans="1:6">
      <c r="A673" s="12">
        <v>45427</v>
      </c>
      <c r="B673" s="14">
        <v>2302.3000000000002</v>
      </c>
      <c r="C673" s="13">
        <v>922.99</v>
      </c>
      <c r="D673" s="14">
        <v>1175</v>
      </c>
      <c r="E673" s="14">
        <v>5064</v>
      </c>
      <c r="F673" s="14">
        <v>22200.55</v>
      </c>
    </row>
    <row r="674" spans="1:6">
      <c r="A674" s="12">
        <v>45428</v>
      </c>
      <c r="B674" s="14">
        <v>2371.75</v>
      </c>
      <c r="C674" s="13">
        <v>936.19</v>
      </c>
      <c r="D674" s="14">
        <v>1170.08</v>
      </c>
      <c r="E674" s="14">
        <v>5137.75</v>
      </c>
      <c r="F674" s="14">
        <v>22403.85</v>
      </c>
    </row>
    <row r="675" spans="1:6">
      <c r="A675" s="12">
        <v>45429</v>
      </c>
      <c r="B675" s="14">
        <v>2514.6</v>
      </c>
      <c r="C675" s="13">
        <v>942.52</v>
      </c>
      <c r="D675" s="14">
        <v>1159.9100000000001</v>
      </c>
      <c r="E675" s="14">
        <v>5086.8</v>
      </c>
      <c r="F675" s="14">
        <v>22466.1</v>
      </c>
    </row>
    <row r="676" spans="1:6">
      <c r="A676" s="12">
        <v>45430</v>
      </c>
      <c r="B676" s="14">
        <v>2503.6999999999998</v>
      </c>
      <c r="C676" s="13">
        <v>945.92</v>
      </c>
      <c r="D676" s="14">
        <v>1162.32</v>
      </c>
      <c r="E676" s="14">
        <v>5096.05</v>
      </c>
      <c r="F676" s="14">
        <v>22502</v>
      </c>
    </row>
    <row r="677" spans="1:6">
      <c r="A677" s="12">
        <v>45433</v>
      </c>
      <c r="B677" s="14">
        <v>2522.65</v>
      </c>
      <c r="C677" s="13">
        <v>958.03</v>
      </c>
      <c r="D677" s="14">
        <v>1155.96</v>
      </c>
      <c r="E677" s="14">
        <v>5178.1000000000004</v>
      </c>
      <c r="F677" s="14">
        <v>22529.05</v>
      </c>
    </row>
    <row r="678" spans="1:6">
      <c r="A678" s="12">
        <v>45434</v>
      </c>
      <c r="B678" s="14">
        <v>2521.0500000000002</v>
      </c>
      <c r="C678" s="13">
        <v>982.07</v>
      </c>
      <c r="D678" s="14">
        <v>1174.55</v>
      </c>
      <c r="E678" s="14">
        <v>5267.4</v>
      </c>
      <c r="F678" s="14">
        <v>22597.8</v>
      </c>
    </row>
    <row r="679" spans="1:6">
      <c r="A679" s="12">
        <v>45435</v>
      </c>
      <c r="B679" s="14">
        <v>2609.1999999999998</v>
      </c>
      <c r="C679" s="14">
        <v>1013.41</v>
      </c>
      <c r="D679" s="14">
        <v>1179.54</v>
      </c>
      <c r="E679" s="14">
        <v>5281.15</v>
      </c>
      <c r="F679" s="14">
        <v>22967.65</v>
      </c>
    </row>
    <row r="680" spans="1:6">
      <c r="A680" s="12">
        <v>45436</v>
      </c>
      <c r="B680" s="14">
        <v>2579.75</v>
      </c>
      <c r="C680" s="14">
        <v>1021.09</v>
      </c>
      <c r="D680" s="14">
        <v>1173.1500000000001</v>
      </c>
      <c r="E680" s="14">
        <v>5240.7</v>
      </c>
      <c r="F680" s="14">
        <v>22957.1</v>
      </c>
    </row>
    <row r="681" spans="1:6">
      <c r="A681" s="12">
        <v>45439</v>
      </c>
      <c r="B681" s="14">
        <v>2549.1</v>
      </c>
      <c r="C681" s="14">
        <v>1052.72</v>
      </c>
      <c r="D681" s="14">
        <v>1174.54</v>
      </c>
      <c r="E681" s="14">
        <v>5212.25</v>
      </c>
      <c r="F681" s="14">
        <v>22932.45</v>
      </c>
    </row>
    <row r="682" spans="1:6">
      <c r="A682" s="12">
        <v>45440</v>
      </c>
      <c r="B682" s="14">
        <v>2552.8000000000002</v>
      </c>
      <c r="C682" s="14">
        <v>1029.25</v>
      </c>
      <c r="D682" s="14">
        <v>1193.06</v>
      </c>
      <c r="E682" s="14">
        <v>5250.55</v>
      </c>
      <c r="F682" s="14">
        <v>22888.15</v>
      </c>
    </row>
    <row r="683" spans="1:6">
      <c r="A683" s="12">
        <v>45441</v>
      </c>
      <c r="B683" s="14">
        <v>2533.65</v>
      </c>
      <c r="C683" s="14">
        <v>1028.31</v>
      </c>
      <c r="D683" s="14">
        <v>1200.1500000000001</v>
      </c>
      <c r="E683" s="14">
        <v>5229.8</v>
      </c>
      <c r="F683" s="14">
        <v>22704.7</v>
      </c>
    </row>
    <row r="684" spans="1:6">
      <c r="A684" s="12">
        <v>45442</v>
      </c>
      <c r="B684" s="14">
        <v>2493.5</v>
      </c>
      <c r="C684" s="13">
        <v>999.41</v>
      </c>
      <c r="D684" s="14">
        <v>1174.75</v>
      </c>
      <c r="E684" s="14">
        <v>5198.55</v>
      </c>
      <c r="F684" s="14">
        <v>22488.65</v>
      </c>
    </row>
    <row r="685" spans="1:6">
      <c r="A685" s="12">
        <v>45443</v>
      </c>
      <c r="B685" s="14">
        <v>2506.25</v>
      </c>
      <c r="C685" s="13">
        <v>994.2</v>
      </c>
      <c r="D685" s="14">
        <v>1158.3699999999999</v>
      </c>
      <c r="E685" s="14">
        <v>5179.8</v>
      </c>
      <c r="F685" s="14">
        <v>22530.7</v>
      </c>
    </row>
    <row r="686" spans="1:6">
      <c r="A686" s="12">
        <v>45446</v>
      </c>
      <c r="B686" s="14">
        <v>2634</v>
      </c>
      <c r="C686" s="14">
        <v>1003.32</v>
      </c>
      <c r="D686" s="14">
        <v>1156.6600000000001</v>
      </c>
      <c r="E686" s="14">
        <v>5167.8</v>
      </c>
      <c r="F686" s="14">
        <v>23263.9</v>
      </c>
    </row>
    <row r="687" spans="1:6">
      <c r="A687" s="12">
        <v>45447</v>
      </c>
      <c r="B687" s="14">
        <v>2572.9</v>
      </c>
      <c r="C687" s="13">
        <v>993.39</v>
      </c>
      <c r="D687" s="14">
        <v>1146.1600000000001</v>
      </c>
      <c r="E687" s="14">
        <v>5325.1</v>
      </c>
      <c r="F687" s="14">
        <v>21884.5</v>
      </c>
    </row>
    <row r="688" spans="1:6">
      <c r="A688" s="12">
        <v>45448</v>
      </c>
      <c r="B688" s="14">
        <v>2740.95</v>
      </c>
      <c r="C688" s="14">
        <v>1025.82</v>
      </c>
      <c r="D688" s="14">
        <v>1164.83</v>
      </c>
      <c r="E688" s="14">
        <v>5486.65</v>
      </c>
      <c r="F688" s="14">
        <v>22620.35</v>
      </c>
    </row>
    <row r="689" spans="1:6">
      <c r="A689" s="12">
        <v>45449</v>
      </c>
      <c r="B689" s="14">
        <v>2699.85</v>
      </c>
      <c r="C689" s="14">
        <v>1042.53</v>
      </c>
      <c r="D689" s="14">
        <v>1178.19</v>
      </c>
      <c r="E689" s="14">
        <v>5440.45</v>
      </c>
      <c r="F689" s="14">
        <v>22821.4</v>
      </c>
    </row>
    <row r="690" spans="1:6">
      <c r="A690" s="12">
        <v>45450</v>
      </c>
      <c r="B690" s="14">
        <v>2857.45</v>
      </c>
      <c r="C690" s="14">
        <v>1086.22</v>
      </c>
      <c r="D690" s="14">
        <v>1212.26</v>
      </c>
      <c r="E690" s="14">
        <v>5463.55</v>
      </c>
      <c r="F690" s="14">
        <v>23290.15</v>
      </c>
    </row>
    <row r="691" spans="1:6">
      <c r="A691" s="12">
        <v>45453</v>
      </c>
      <c r="B691" s="14">
        <v>2807.55</v>
      </c>
      <c r="C691" s="14">
        <v>1044.03</v>
      </c>
      <c r="D691" s="14">
        <v>1221.23</v>
      </c>
      <c r="E691" s="14">
        <v>5488.4</v>
      </c>
      <c r="F691" s="14">
        <v>23259.200000000001</v>
      </c>
    </row>
    <row r="692" spans="1:6">
      <c r="A692" s="12">
        <v>45454</v>
      </c>
      <c r="B692" s="14">
        <v>2835.55</v>
      </c>
      <c r="C692" s="14">
        <v>1035.17</v>
      </c>
      <c r="D692" s="14">
        <v>1207.8499999999999</v>
      </c>
      <c r="E692" s="14">
        <v>5517.75</v>
      </c>
      <c r="F692" s="14">
        <v>23264.85</v>
      </c>
    </row>
    <row r="693" spans="1:6">
      <c r="A693" s="12">
        <v>45455</v>
      </c>
      <c r="B693" s="14">
        <v>2787.55</v>
      </c>
      <c r="C693" s="14">
        <v>1035.8399999999999</v>
      </c>
      <c r="D693" s="14">
        <v>1212.01</v>
      </c>
      <c r="E693" s="14">
        <v>5439.3</v>
      </c>
      <c r="F693" s="14">
        <v>23322.95</v>
      </c>
    </row>
    <row r="694" spans="1:6">
      <c r="A694" s="12">
        <v>45456</v>
      </c>
      <c r="B694" s="14">
        <v>2861.7</v>
      </c>
      <c r="C694" s="14">
        <v>1054.6500000000001</v>
      </c>
      <c r="D694" s="14">
        <v>1219.17</v>
      </c>
      <c r="E694" s="14">
        <v>5379.45</v>
      </c>
      <c r="F694" s="14">
        <v>23398.9</v>
      </c>
    </row>
    <row r="695" spans="1:6">
      <c r="A695" s="12">
        <v>45457</v>
      </c>
      <c r="B695" s="14">
        <v>2928.6</v>
      </c>
      <c r="C695" s="14">
        <v>1040.3499999999999</v>
      </c>
      <c r="D695" s="14">
        <v>1217.05</v>
      </c>
      <c r="E695" s="14">
        <v>5393.65</v>
      </c>
      <c r="F695" s="14">
        <v>23465.599999999999</v>
      </c>
    </row>
    <row r="696" spans="1:6">
      <c r="A696" s="12">
        <v>45461</v>
      </c>
      <c r="B696" s="14">
        <v>2961.9</v>
      </c>
      <c r="C696" s="14">
        <v>1054.6199999999999</v>
      </c>
      <c r="D696" s="14">
        <v>1198.25</v>
      </c>
      <c r="E696" s="14">
        <v>5395.85</v>
      </c>
      <c r="F696" s="14">
        <v>23557.9</v>
      </c>
    </row>
    <row r="697" spans="1:6">
      <c r="A697" s="12">
        <v>45462</v>
      </c>
      <c r="B697" s="14">
        <v>2933.85</v>
      </c>
      <c r="C697" s="14">
        <v>1079.03</v>
      </c>
      <c r="D697" s="14">
        <v>1191.24</v>
      </c>
      <c r="E697" s="14">
        <v>5360.65</v>
      </c>
      <c r="F697" s="14">
        <v>23516</v>
      </c>
    </row>
    <row r="698" spans="1:6">
      <c r="A698" s="12">
        <v>45463</v>
      </c>
      <c r="B698" s="14">
        <v>2871.2</v>
      </c>
      <c r="C698" s="14">
        <v>1063.19</v>
      </c>
      <c r="D698" s="14">
        <v>1194.1600000000001</v>
      </c>
      <c r="E698" s="14">
        <v>5378.45</v>
      </c>
      <c r="F698" s="14">
        <v>23567</v>
      </c>
    </row>
    <row r="699" spans="1:6">
      <c r="A699" s="12">
        <v>45464</v>
      </c>
      <c r="B699" s="14">
        <v>2839.95</v>
      </c>
      <c r="C699" s="14">
        <v>1076.68</v>
      </c>
      <c r="D699" s="14">
        <v>1202.29</v>
      </c>
      <c r="E699" s="14">
        <v>5330.3</v>
      </c>
      <c r="F699" s="14">
        <v>23501.1</v>
      </c>
    </row>
    <row r="700" spans="1:6">
      <c r="A700" s="12">
        <v>45467</v>
      </c>
      <c r="B700" s="14">
        <v>2915.8</v>
      </c>
      <c r="C700" s="14">
        <v>1070.33</v>
      </c>
      <c r="D700" s="14">
        <v>1210.99</v>
      </c>
      <c r="E700" s="14">
        <v>5297.75</v>
      </c>
      <c r="F700" s="14">
        <v>23537.85</v>
      </c>
    </row>
    <row r="701" spans="1:6">
      <c r="A701" s="12">
        <v>45468</v>
      </c>
      <c r="B701" s="14">
        <v>2909.4</v>
      </c>
      <c r="C701" s="14">
        <v>1070.1300000000001</v>
      </c>
      <c r="D701" s="14">
        <v>1215.68</v>
      </c>
      <c r="E701" s="14">
        <v>5352.05</v>
      </c>
      <c r="F701" s="14">
        <v>23721.3</v>
      </c>
    </row>
    <row r="702" spans="1:6">
      <c r="A702" s="12">
        <v>45469</v>
      </c>
      <c r="B702" s="14">
        <v>2851.5</v>
      </c>
      <c r="C702" s="14">
        <v>1065.07</v>
      </c>
      <c r="D702" s="14">
        <v>1214.01</v>
      </c>
      <c r="E702" s="14">
        <v>5421.7</v>
      </c>
      <c r="F702" s="14">
        <v>23868.799999999999</v>
      </c>
    </row>
    <row r="703" spans="1:6">
      <c r="A703" s="12">
        <v>45470</v>
      </c>
      <c r="B703" s="14">
        <v>2888.95</v>
      </c>
      <c r="C703" s="14">
        <v>1087.8</v>
      </c>
      <c r="D703" s="14">
        <v>1247.18</v>
      </c>
      <c r="E703" s="14">
        <v>5430.3</v>
      </c>
      <c r="F703" s="14">
        <v>24044.5</v>
      </c>
    </row>
    <row r="704" spans="1:6">
      <c r="A704" s="12">
        <v>45471</v>
      </c>
      <c r="B704" s="14">
        <v>2866.65</v>
      </c>
      <c r="C704" s="14">
        <v>1091.76</v>
      </c>
      <c r="D704" s="14">
        <v>1280.47</v>
      </c>
      <c r="E704" s="14">
        <v>5475.55</v>
      </c>
      <c r="F704" s="14">
        <v>24010.6</v>
      </c>
    </row>
    <row r="705" spans="1:6">
      <c r="A705" s="12">
        <v>45474</v>
      </c>
      <c r="B705" s="14">
        <v>2875.85</v>
      </c>
      <c r="C705" s="14">
        <v>1103.68</v>
      </c>
      <c r="D705" s="14">
        <v>1270.74</v>
      </c>
      <c r="E705" s="14">
        <v>5476.5</v>
      </c>
      <c r="F705" s="14">
        <v>24141.95</v>
      </c>
    </row>
    <row r="706" spans="1:6">
      <c r="A706" s="12">
        <v>45475</v>
      </c>
      <c r="B706" s="14">
        <v>2865.15</v>
      </c>
      <c r="C706" s="14">
        <v>1130.75</v>
      </c>
      <c r="D706" s="14">
        <v>1274.05</v>
      </c>
      <c r="E706" s="14">
        <v>5401.65</v>
      </c>
      <c r="F706" s="14">
        <v>24123.85</v>
      </c>
    </row>
    <row r="707" spans="1:6">
      <c r="A707" s="12">
        <v>45476</v>
      </c>
      <c r="B707" s="14">
        <v>2877.95</v>
      </c>
      <c r="C707" s="14">
        <v>1136.18</v>
      </c>
      <c r="D707" s="14">
        <v>1285.18</v>
      </c>
      <c r="E707" s="14">
        <v>5449.1</v>
      </c>
      <c r="F707" s="14">
        <v>24286.5</v>
      </c>
    </row>
    <row r="708" spans="1:6">
      <c r="A708" s="12">
        <v>45477</v>
      </c>
      <c r="B708" s="14">
        <v>2902.8</v>
      </c>
      <c r="C708" s="14">
        <v>1179.74</v>
      </c>
      <c r="D708" s="14">
        <v>1295.8699999999999</v>
      </c>
      <c r="E708" s="14">
        <v>5426.25</v>
      </c>
      <c r="F708" s="14">
        <v>24302.15</v>
      </c>
    </row>
    <row r="709" spans="1:6">
      <c r="A709" s="12">
        <v>45478</v>
      </c>
      <c r="B709" s="14">
        <v>2880.6</v>
      </c>
      <c r="C709" s="14">
        <v>1174.03</v>
      </c>
      <c r="D709" s="14">
        <v>1304</v>
      </c>
      <c r="E709" s="14">
        <v>5546.8</v>
      </c>
      <c r="F709" s="14">
        <v>24323.85</v>
      </c>
    </row>
    <row r="710" spans="1:6">
      <c r="A710" s="12">
        <v>45481</v>
      </c>
      <c r="B710" s="14">
        <v>2851.35</v>
      </c>
      <c r="C710" s="14">
        <v>1171.0899999999999</v>
      </c>
      <c r="D710" s="14">
        <v>1306.83</v>
      </c>
      <c r="E710" s="14">
        <v>5568.55</v>
      </c>
      <c r="F710" s="14">
        <v>24320.55</v>
      </c>
    </row>
    <row r="711" spans="1:6">
      <c r="A711" s="12">
        <v>45482</v>
      </c>
      <c r="B711" s="14">
        <v>2925.5</v>
      </c>
      <c r="C711" s="14">
        <v>1152.1300000000001</v>
      </c>
      <c r="D711" s="14">
        <v>1316.57</v>
      </c>
      <c r="E711" s="14">
        <v>5668.85</v>
      </c>
      <c r="F711" s="14">
        <v>24433.200000000001</v>
      </c>
    </row>
    <row r="712" spans="1:6">
      <c r="A712" s="12">
        <v>45483</v>
      </c>
      <c r="B712" s="14">
        <v>2732</v>
      </c>
      <c r="C712" s="14">
        <v>1133.82</v>
      </c>
      <c r="D712" s="14">
        <v>1318.51</v>
      </c>
      <c r="E712" s="14">
        <v>5755.55</v>
      </c>
      <c r="F712" s="14">
        <v>24324.45</v>
      </c>
    </row>
    <row r="713" spans="1:6">
      <c r="A713" s="12">
        <v>45484</v>
      </c>
      <c r="B713" s="14">
        <v>2698.05</v>
      </c>
      <c r="C713" s="14">
        <v>1112.7</v>
      </c>
      <c r="D713" s="14">
        <v>1318.95</v>
      </c>
      <c r="E713" s="14">
        <v>5761.3</v>
      </c>
      <c r="F713" s="14">
        <v>24315.95</v>
      </c>
    </row>
    <row r="714" spans="1:6">
      <c r="A714" s="12">
        <v>45485</v>
      </c>
      <c r="B714" s="14">
        <v>2703.95</v>
      </c>
      <c r="C714" s="14">
        <v>1195.53</v>
      </c>
      <c r="D714" s="14">
        <v>1343.89</v>
      </c>
      <c r="E714" s="14">
        <v>5787.05</v>
      </c>
      <c r="F714" s="14">
        <v>24502.15</v>
      </c>
    </row>
    <row r="715" spans="1:6">
      <c r="A715" s="12">
        <v>45488</v>
      </c>
      <c r="B715" s="14">
        <v>2731.05</v>
      </c>
      <c r="C715" s="14">
        <v>1183.2</v>
      </c>
      <c r="D715" s="14">
        <v>1358.95</v>
      </c>
      <c r="E715" s="14">
        <v>5809.7</v>
      </c>
      <c r="F715" s="14">
        <v>24586.7</v>
      </c>
    </row>
    <row r="716" spans="1:6">
      <c r="A716" s="12">
        <v>45489</v>
      </c>
      <c r="B716" s="14">
        <v>2756.75</v>
      </c>
      <c r="C716" s="14">
        <v>1179.3800000000001</v>
      </c>
      <c r="D716" s="14">
        <v>1329.21</v>
      </c>
      <c r="E716" s="14">
        <v>5862.35</v>
      </c>
      <c r="F716" s="14">
        <v>24613</v>
      </c>
    </row>
    <row r="717" spans="1:6">
      <c r="A717" s="12">
        <v>45491</v>
      </c>
      <c r="B717" s="14">
        <v>2819.45</v>
      </c>
      <c r="C717" s="14">
        <v>1199.52</v>
      </c>
      <c r="D717" s="14">
        <v>1333.5</v>
      </c>
      <c r="E717" s="14">
        <v>5871.5</v>
      </c>
      <c r="F717" s="14">
        <v>24800.85</v>
      </c>
    </row>
    <row r="718" spans="1:6">
      <c r="A718" s="12">
        <v>45492</v>
      </c>
      <c r="B718" s="14">
        <v>2749.3</v>
      </c>
      <c r="C718" s="14">
        <v>1196.75</v>
      </c>
      <c r="D718" s="14">
        <v>1327.2</v>
      </c>
      <c r="E718" s="14">
        <v>5877.95</v>
      </c>
      <c r="F718" s="14">
        <v>24530.9</v>
      </c>
    </row>
    <row r="719" spans="1:6">
      <c r="A719" s="12">
        <v>45495</v>
      </c>
      <c r="B719" s="14">
        <v>2804.75</v>
      </c>
      <c r="C719" s="14">
        <v>1215.24</v>
      </c>
      <c r="D719" s="14">
        <v>1354.18</v>
      </c>
      <c r="E719" s="14">
        <v>5887.85</v>
      </c>
      <c r="F719" s="14">
        <v>24509.25</v>
      </c>
    </row>
    <row r="720" spans="1:6">
      <c r="A720" s="12">
        <v>45496</v>
      </c>
      <c r="B720" s="14">
        <v>2821.35</v>
      </c>
      <c r="C720" s="14">
        <v>1235.8699999999999</v>
      </c>
      <c r="D720" s="14">
        <v>1373</v>
      </c>
      <c r="E720" s="14">
        <v>5944.75</v>
      </c>
      <c r="F720" s="14">
        <v>24479.05</v>
      </c>
    </row>
    <row r="721" spans="1:6">
      <c r="A721" s="12">
        <v>45497</v>
      </c>
      <c r="B721" s="14">
        <v>2805.5</v>
      </c>
      <c r="C721" s="14">
        <v>1266.82</v>
      </c>
      <c r="D721" s="14">
        <v>1364.03</v>
      </c>
      <c r="E721" s="14">
        <v>5829.5</v>
      </c>
      <c r="F721" s="14">
        <v>24413.5</v>
      </c>
    </row>
    <row r="722" spans="1:6">
      <c r="A722" s="12">
        <v>45498</v>
      </c>
      <c r="B722" s="14">
        <v>2811.4</v>
      </c>
      <c r="C722" s="14">
        <v>1264.3399999999999</v>
      </c>
      <c r="D722" s="14">
        <v>1370.64</v>
      </c>
      <c r="E722" s="14">
        <v>5829.6</v>
      </c>
      <c r="F722" s="14">
        <v>24406.1</v>
      </c>
    </row>
    <row r="723" spans="1:6">
      <c r="A723" s="12">
        <v>45499</v>
      </c>
      <c r="B723" s="14">
        <v>2887.8</v>
      </c>
      <c r="C723" s="14">
        <v>1268.74</v>
      </c>
      <c r="D723" s="14">
        <v>1375.73</v>
      </c>
      <c r="E723" s="14">
        <v>5872.8</v>
      </c>
      <c r="F723" s="14">
        <v>24834.85</v>
      </c>
    </row>
    <row r="724" spans="1:6">
      <c r="A724" s="12">
        <v>45502</v>
      </c>
      <c r="B724" s="14">
        <v>2933</v>
      </c>
      <c r="C724" s="14">
        <v>1262.69</v>
      </c>
      <c r="D724" s="14">
        <v>1368.01</v>
      </c>
      <c r="E724" s="14">
        <v>5897.6</v>
      </c>
      <c r="F724" s="14">
        <v>24836.1</v>
      </c>
    </row>
    <row r="725" spans="1:6">
      <c r="A725" s="12">
        <v>45503</v>
      </c>
      <c r="B725" s="14">
        <v>2922.1</v>
      </c>
      <c r="C725" s="14">
        <v>1262.5999999999999</v>
      </c>
      <c r="D725" s="14">
        <v>1360.83</v>
      </c>
      <c r="E725" s="14">
        <v>5842.2</v>
      </c>
      <c r="F725" s="14">
        <v>24857.3</v>
      </c>
    </row>
    <row r="726" spans="1:6">
      <c r="A726" s="12">
        <v>45504</v>
      </c>
      <c r="B726" s="14">
        <v>2907.8</v>
      </c>
      <c r="C726" s="14">
        <v>1261.0999999999999</v>
      </c>
      <c r="D726" s="14">
        <v>1350.1</v>
      </c>
      <c r="E726" s="14">
        <v>5784.45</v>
      </c>
      <c r="F726" s="14">
        <v>24951.15</v>
      </c>
    </row>
    <row r="727" spans="1:6">
      <c r="A727" s="12">
        <v>45505</v>
      </c>
      <c r="B727" s="14">
        <v>2828.4</v>
      </c>
      <c r="C727" s="14">
        <v>1257.23</v>
      </c>
      <c r="D727" s="14">
        <v>1377.59</v>
      </c>
      <c r="E727" s="14">
        <v>5730.15</v>
      </c>
      <c r="F727" s="14">
        <v>25010.9</v>
      </c>
    </row>
    <row r="728" spans="1:6">
      <c r="A728" s="12">
        <v>45506</v>
      </c>
      <c r="B728" s="14">
        <v>2749.65</v>
      </c>
      <c r="C728" s="14">
        <v>1216</v>
      </c>
      <c r="D728" s="14">
        <v>1392.83</v>
      </c>
      <c r="E728" s="14">
        <v>5720.35</v>
      </c>
      <c r="F728" s="14">
        <v>24717.7</v>
      </c>
    </row>
    <row r="729" spans="1:6">
      <c r="A729" s="12">
        <v>45509</v>
      </c>
      <c r="B729" s="14">
        <v>2678.95</v>
      </c>
      <c r="C729" s="14">
        <v>1179.4100000000001</v>
      </c>
      <c r="D729" s="14">
        <v>1362.41</v>
      </c>
      <c r="E729" s="14">
        <v>5697.9</v>
      </c>
      <c r="F729" s="14">
        <v>24055.599999999999</v>
      </c>
    </row>
    <row r="730" spans="1:6">
      <c r="A730" s="12">
        <v>45510</v>
      </c>
      <c r="B730" s="14">
        <v>2632.95</v>
      </c>
      <c r="C730" s="14">
        <v>1179.2</v>
      </c>
      <c r="D730" s="14">
        <v>1361.48</v>
      </c>
      <c r="E730" s="14">
        <v>5854.5</v>
      </c>
      <c r="F730" s="14">
        <v>23992.55</v>
      </c>
    </row>
    <row r="731" spans="1:6">
      <c r="A731" s="12">
        <v>45511</v>
      </c>
      <c r="B731" s="14">
        <v>2680.85</v>
      </c>
      <c r="C731" s="14">
        <v>1203.3399999999999</v>
      </c>
      <c r="D731" s="14">
        <v>1385.27</v>
      </c>
      <c r="E731" s="14">
        <v>5836.8</v>
      </c>
      <c r="F731" s="14">
        <v>24297.5</v>
      </c>
    </row>
    <row r="732" spans="1:6">
      <c r="A732" s="12">
        <v>45512</v>
      </c>
      <c r="B732" s="14">
        <v>2682.95</v>
      </c>
      <c r="C732" s="14">
        <v>1169.02</v>
      </c>
      <c r="D732" s="14">
        <v>1387.66</v>
      </c>
      <c r="E732" s="14">
        <v>5744.65</v>
      </c>
      <c r="F732" s="14">
        <v>24117</v>
      </c>
    </row>
    <row r="733" spans="1:6">
      <c r="A733" s="12">
        <v>45513</v>
      </c>
      <c r="B733" s="14">
        <v>2749.15</v>
      </c>
      <c r="C733" s="14">
        <v>1175.68</v>
      </c>
      <c r="D733" s="14">
        <v>1402.7</v>
      </c>
      <c r="E733" s="14">
        <v>5740.3</v>
      </c>
      <c r="F733" s="14">
        <v>24367.5</v>
      </c>
    </row>
    <row r="734" spans="1:6">
      <c r="A734" s="12">
        <v>45516</v>
      </c>
      <c r="B734" s="14">
        <v>2717.65</v>
      </c>
      <c r="C734" s="14">
        <v>1174.9100000000001</v>
      </c>
      <c r="D734" s="14">
        <v>1377.31</v>
      </c>
      <c r="E734" s="14">
        <v>5645.75</v>
      </c>
      <c r="F734" s="14">
        <v>24347</v>
      </c>
    </row>
    <row r="735" spans="1:6">
      <c r="A735" s="12">
        <v>45517</v>
      </c>
      <c r="B735" s="14">
        <v>2718.05</v>
      </c>
      <c r="C735" s="14">
        <v>1169.55</v>
      </c>
      <c r="D735" s="14">
        <v>1389.68</v>
      </c>
      <c r="E735" s="14">
        <v>5666.5</v>
      </c>
      <c r="F735" s="14">
        <v>24139</v>
      </c>
    </row>
    <row r="736" spans="1:6">
      <c r="A736" s="12">
        <v>45518</v>
      </c>
      <c r="B736" s="14">
        <v>2745.25</v>
      </c>
      <c r="C736" s="14">
        <v>1174.06</v>
      </c>
      <c r="D736" s="14">
        <v>1360.21</v>
      </c>
      <c r="E736" s="14">
        <v>5659.15</v>
      </c>
      <c r="F736" s="14">
        <v>24143.75</v>
      </c>
    </row>
    <row r="737" spans="1:6">
      <c r="A737" s="12">
        <v>45520</v>
      </c>
      <c r="B737" s="14">
        <v>2840.45</v>
      </c>
      <c r="C737" s="14">
        <v>1215.4000000000001</v>
      </c>
      <c r="D737" s="14">
        <v>1358.72</v>
      </c>
      <c r="E737" s="14">
        <v>5729.65</v>
      </c>
      <c r="F737" s="14">
        <v>24541.15</v>
      </c>
    </row>
    <row r="738" spans="1:6">
      <c r="A738" s="12">
        <v>45523</v>
      </c>
      <c r="B738" s="14">
        <v>2765.15</v>
      </c>
      <c r="C738" s="14">
        <v>1211.93</v>
      </c>
      <c r="D738" s="14">
        <v>1382.27</v>
      </c>
      <c r="E738" s="14">
        <v>5732.5</v>
      </c>
      <c r="F738" s="14">
        <v>24572.65</v>
      </c>
    </row>
    <row r="739" spans="1:6">
      <c r="A739" s="12">
        <v>45524</v>
      </c>
      <c r="B739" s="14">
        <v>2771.3</v>
      </c>
      <c r="C739" s="14">
        <v>1223.05</v>
      </c>
      <c r="D739" s="14">
        <v>1393.07</v>
      </c>
      <c r="E739" s="14">
        <v>5765.8</v>
      </c>
      <c r="F739" s="14">
        <v>24698.85</v>
      </c>
    </row>
    <row r="740" spans="1:6">
      <c r="A740" s="12">
        <v>45525</v>
      </c>
      <c r="B740" s="14">
        <v>2769.4</v>
      </c>
      <c r="C740" s="14">
        <v>1218.07</v>
      </c>
      <c r="D740" s="14">
        <v>1412.49</v>
      </c>
      <c r="E740" s="14">
        <v>5837.35</v>
      </c>
      <c r="F740" s="14">
        <v>24770.2</v>
      </c>
    </row>
    <row r="741" spans="1:6">
      <c r="A741" s="12">
        <v>45526</v>
      </c>
      <c r="B741" s="14">
        <v>2732.95</v>
      </c>
      <c r="C741" s="14">
        <v>1216.8399999999999</v>
      </c>
      <c r="D741" s="14">
        <v>1393.81</v>
      </c>
      <c r="E741" s="14">
        <v>5836.8</v>
      </c>
      <c r="F741" s="14">
        <v>24811.5</v>
      </c>
    </row>
    <row r="742" spans="1:6">
      <c r="A742" s="12">
        <v>45527</v>
      </c>
      <c r="B742" s="14">
        <v>2759</v>
      </c>
      <c r="C742" s="14">
        <v>1204.45</v>
      </c>
      <c r="D742" s="14">
        <v>1390.9</v>
      </c>
      <c r="E742" s="14">
        <v>5792.65</v>
      </c>
      <c r="F742" s="14">
        <v>24823.15</v>
      </c>
    </row>
    <row r="743" spans="1:6">
      <c r="A743" s="12">
        <v>45530</v>
      </c>
      <c r="B743" s="14">
        <v>2793.1</v>
      </c>
      <c r="C743" s="14">
        <v>1205.23</v>
      </c>
      <c r="D743" s="14">
        <v>1388.66</v>
      </c>
      <c r="E743" s="14">
        <v>5796.95</v>
      </c>
      <c r="F743" s="14">
        <v>25010.6</v>
      </c>
    </row>
    <row r="744" spans="1:6">
      <c r="A744" s="12">
        <v>45531</v>
      </c>
      <c r="B744" s="14">
        <v>2780.8</v>
      </c>
      <c r="C744" s="14">
        <v>1216.18</v>
      </c>
      <c r="D744" s="14">
        <v>1392.59</v>
      </c>
      <c r="E744" s="14">
        <v>5764.3</v>
      </c>
      <c r="F744" s="14">
        <v>25017.75</v>
      </c>
    </row>
    <row r="745" spans="1:6">
      <c r="A745" s="12">
        <v>45532</v>
      </c>
      <c r="B745" s="14">
        <v>2798</v>
      </c>
      <c r="C745" s="14">
        <v>1251.0899999999999</v>
      </c>
      <c r="D745" s="14">
        <v>1399.86</v>
      </c>
      <c r="E745" s="14">
        <v>5703.35</v>
      </c>
      <c r="F745" s="14">
        <v>25052.35</v>
      </c>
    </row>
    <row r="746" spans="1:6">
      <c r="A746" s="12">
        <v>45533</v>
      </c>
      <c r="B746" s="14">
        <v>2757.6</v>
      </c>
      <c r="C746" s="14">
        <v>1256.45</v>
      </c>
      <c r="D746" s="14">
        <v>1386.23</v>
      </c>
      <c r="E746" s="14">
        <v>5831.4</v>
      </c>
      <c r="F746" s="14">
        <v>25151.95</v>
      </c>
    </row>
    <row r="747" spans="1:6">
      <c r="A747" s="12">
        <v>45534</v>
      </c>
      <c r="B747" s="14">
        <v>2805.4</v>
      </c>
      <c r="C747" s="14">
        <v>1268.81</v>
      </c>
      <c r="D747" s="14">
        <v>1406.27</v>
      </c>
      <c r="E747" s="14">
        <v>5855.25</v>
      </c>
      <c r="F747" s="14">
        <v>25235.9</v>
      </c>
    </row>
    <row r="748" spans="1:6">
      <c r="A748" s="12">
        <v>45537</v>
      </c>
      <c r="B748" s="14">
        <v>2777</v>
      </c>
      <c r="C748" s="14">
        <v>1268.1199999999999</v>
      </c>
      <c r="D748" s="14">
        <v>1374.43</v>
      </c>
      <c r="E748" s="14">
        <v>5922.15</v>
      </c>
      <c r="F748" s="14">
        <v>25278.7</v>
      </c>
    </row>
    <row r="749" spans="1:6">
      <c r="A749" s="12">
        <v>45538</v>
      </c>
      <c r="B749" s="14">
        <v>2784.85</v>
      </c>
      <c r="C749" s="14">
        <v>1281.52</v>
      </c>
      <c r="D749" s="14">
        <v>1370.77</v>
      </c>
      <c r="E749" s="14">
        <v>5916.05</v>
      </c>
      <c r="F749" s="14">
        <v>25279.85</v>
      </c>
    </row>
    <row r="750" spans="1:6">
      <c r="A750" s="12">
        <v>45539</v>
      </c>
      <c r="B750" s="14">
        <v>2749.6</v>
      </c>
      <c r="C750" s="14">
        <v>1266.22</v>
      </c>
      <c r="D750" s="14">
        <v>1357.44</v>
      </c>
      <c r="E750" s="14">
        <v>5926.55</v>
      </c>
      <c r="F750" s="14">
        <v>25198.7</v>
      </c>
    </row>
    <row r="751" spans="1:6">
      <c r="A751" s="12">
        <v>45540</v>
      </c>
      <c r="B751" s="14">
        <v>2723.1</v>
      </c>
      <c r="C751" s="14">
        <v>1310.25</v>
      </c>
      <c r="D751" s="14">
        <v>1339.15</v>
      </c>
      <c r="E751" s="14">
        <v>5850</v>
      </c>
      <c r="F751" s="14">
        <v>25145.1</v>
      </c>
    </row>
    <row r="752" spans="1:6">
      <c r="A752" s="12">
        <v>45541</v>
      </c>
      <c r="B752" s="14">
        <v>2698.1</v>
      </c>
      <c r="C752" s="14">
        <v>1324.93</v>
      </c>
      <c r="D752" s="14">
        <v>1333.43</v>
      </c>
      <c r="E752" s="14">
        <v>5843.55</v>
      </c>
      <c r="F752" s="14">
        <v>24852.15</v>
      </c>
    </row>
    <row r="753" spans="1:6">
      <c r="A753" s="12">
        <v>45544</v>
      </c>
      <c r="B753" s="14">
        <v>2708.85</v>
      </c>
      <c r="C753" s="14">
        <v>1298.1500000000001</v>
      </c>
      <c r="D753" s="14">
        <v>1331.18</v>
      </c>
      <c r="E753" s="14">
        <v>5939.45</v>
      </c>
      <c r="F753" s="14">
        <v>24936.400000000001</v>
      </c>
    </row>
    <row r="754" spans="1:6">
      <c r="A754" s="12">
        <v>45545</v>
      </c>
      <c r="B754" s="14">
        <v>2690</v>
      </c>
      <c r="C754" s="14">
        <v>1361.4</v>
      </c>
      <c r="D754" s="14">
        <v>1330.08</v>
      </c>
      <c r="E754" s="14">
        <v>5969.9</v>
      </c>
      <c r="F754" s="14">
        <v>25041.1</v>
      </c>
    </row>
    <row r="755" spans="1:6">
      <c r="A755" s="12">
        <v>45546</v>
      </c>
      <c r="B755" s="14">
        <v>2654.25</v>
      </c>
      <c r="C755" s="14">
        <v>1368.22</v>
      </c>
      <c r="D755" s="14">
        <v>1322.5</v>
      </c>
      <c r="E755" s="14">
        <v>6008.65</v>
      </c>
      <c r="F755" s="14">
        <v>24918.45</v>
      </c>
    </row>
    <row r="756" spans="1:6">
      <c r="A756" s="12">
        <v>45547</v>
      </c>
      <c r="B756" s="14">
        <v>2740.9</v>
      </c>
      <c r="C756" s="14">
        <v>1375.3</v>
      </c>
      <c r="D756" s="14">
        <v>1336.77</v>
      </c>
      <c r="E756" s="14">
        <v>6109.25</v>
      </c>
      <c r="F756" s="14">
        <v>25388.9</v>
      </c>
    </row>
    <row r="757" spans="1:6">
      <c r="A757" s="12">
        <v>45548</v>
      </c>
      <c r="B757" s="14">
        <v>2739.1</v>
      </c>
      <c r="C757" s="14">
        <v>1402.75</v>
      </c>
      <c r="D757" s="14">
        <v>1332.14</v>
      </c>
      <c r="E757" s="14">
        <v>6133.1</v>
      </c>
      <c r="F757" s="14">
        <v>25356.5</v>
      </c>
    </row>
    <row r="758" spans="1:6">
      <c r="A758" s="12">
        <v>45551</v>
      </c>
      <c r="B758" s="14">
        <v>2757.4</v>
      </c>
      <c r="C758" s="14">
        <v>1397.86</v>
      </c>
      <c r="D758" s="14">
        <v>1329.42</v>
      </c>
      <c r="E758" s="14">
        <v>6063</v>
      </c>
      <c r="F758" s="14">
        <v>25383.75</v>
      </c>
    </row>
    <row r="759" spans="1:6">
      <c r="A759" s="12">
        <v>45552</v>
      </c>
      <c r="B759" s="14">
        <v>2787.65</v>
      </c>
      <c r="C759" s="14">
        <v>1399.71</v>
      </c>
      <c r="D759" s="14">
        <v>1326.33</v>
      </c>
      <c r="E759" s="14">
        <v>6111.05</v>
      </c>
      <c r="F759" s="14">
        <v>25418.55</v>
      </c>
    </row>
    <row r="760" spans="1:6">
      <c r="A760" s="12">
        <v>45553</v>
      </c>
      <c r="B760" s="14">
        <v>2808.2</v>
      </c>
      <c r="C760" s="14">
        <v>1372.15</v>
      </c>
      <c r="D760" s="14">
        <v>1313.56</v>
      </c>
      <c r="E760" s="14">
        <v>6123.25</v>
      </c>
      <c r="F760" s="14">
        <v>25377.55</v>
      </c>
    </row>
    <row r="761" spans="1:6">
      <c r="A761" s="12">
        <v>45554</v>
      </c>
      <c r="B761" s="14">
        <v>2797.5</v>
      </c>
      <c r="C761" s="14">
        <v>1383.12</v>
      </c>
      <c r="D761" s="14">
        <v>1300.51</v>
      </c>
      <c r="E761" s="14">
        <v>6134.5</v>
      </c>
      <c r="F761" s="14">
        <v>25415.8</v>
      </c>
    </row>
    <row r="762" spans="1:6">
      <c r="A762" s="12">
        <v>45555</v>
      </c>
      <c r="B762" s="14">
        <v>2950.85</v>
      </c>
      <c r="C762" s="14">
        <v>1389.07</v>
      </c>
      <c r="D762" s="14">
        <v>1310.23</v>
      </c>
      <c r="E762" s="14">
        <v>6210.55</v>
      </c>
      <c r="F762" s="14">
        <v>25790.95</v>
      </c>
    </row>
    <row r="763" spans="1:6">
      <c r="A763" s="12">
        <v>45558</v>
      </c>
      <c r="B763" s="14">
        <v>3049.8</v>
      </c>
      <c r="C763" s="14">
        <v>1377.06</v>
      </c>
      <c r="D763" s="14">
        <v>1330.89</v>
      </c>
      <c r="E763" s="14">
        <v>6211.2</v>
      </c>
      <c r="F763" s="14">
        <v>25939.05</v>
      </c>
    </row>
    <row r="764" spans="1:6">
      <c r="A764" s="12">
        <v>45559</v>
      </c>
      <c r="B764" s="14">
        <v>3074.3</v>
      </c>
      <c r="C764" s="14">
        <v>1399.6</v>
      </c>
      <c r="D764" s="14">
        <v>1330.07</v>
      </c>
      <c r="E764" s="14">
        <v>6203.15</v>
      </c>
      <c r="F764" s="14">
        <v>25940.400000000001</v>
      </c>
    </row>
    <row r="765" spans="1:6">
      <c r="A765" s="12">
        <v>45560</v>
      </c>
      <c r="B765" s="14">
        <v>3091.05</v>
      </c>
      <c r="C765" s="14">
        <v>1381.36</v>
      </c>
      <c r="D765" s="14">
        <v>1338.29</v>
      </c>
      <c r="E765" s="14">
        <v>6180.3</v>
      </c>
      <c r="F765" s="14">
        <v>26004.15</v>
      </c>
    </row>
    <row r="766" spans="1:6">
      <c r="A766" s="12">
        <v>45561</v>
      </c>
      <c r="B766" s="14">
        <v>3181.1</v>
      </c>
      <c r="C766" s="14">
        <v>1374.85</v>
      </c>
      <c r="D766" s="14">
        <v>1348.88</v>
      </c>
      <c r="E766" s="14">
        <v>6254.1</v>
      </c>
      <c r="F766" s="14">
        <v>26216.05</v>
      </c>
    </row>
    <row r="767" spans="1:6">
      <c r="A767" s="12">
        <v>45562</v>
      </c>
      <c r="B767" s="14">
        <v>3183.65</v>
      </c>
      <c r="C767" s="14">
        <v>1387.07</v>
      </c>
      <c r="D767" s="14">
        <v>1349.98</v>
      </c>
      <c r="E767" s="14">
        <v>6268.8</v>
      </c>
      <c r="F767" s="14">
        <v>26178.95</v>
      </c>
    </row>
    <row r="768" spans="1:6">
      <c r="A768" s="12">
        <v>45565</v>
      </c>
      <c r="B768" s="14">
        <v>3094.9</v>
      </c>
      <c r="C768" s="14">
        <v>1403.29</v>
      </c>
      <c r="D768" s="14">
        <v>1350.32</v>
      </c>
      <c r="E768" s="14">
        <v>6338.15</v>
      </c>
      <c r="F768" s="14">
        <v>25810.85</v>
      </c>
    </row>
    <row r="769" spans="1:6">
      <c r="A769" s="12">
        <v>45566</v>
      </c>
      <c r="B769" s="14">
        <v>3165.5</v>
      </c>
      <c r="C769" s="14">
        <v>1425.29</v>
      </c>
      <c r="D769" s="14">
        <v>1349.82</v>
      </c>
      <c r="E769" s="14">
        <v>6446.05</v>
      </c>
      <c r="F769" s="14">
        <v>25796.9</v>
      </c>
    </row>
    <row r="770" spans="1:6">
      <c r="A770" s="12">
        <v>45568</v>
      </c>
      <c r="B770" s="14">
        <v>3129.85</v>
      </c>
      <c r="C770" s="14">
        <v>1412.03</v>
      </c>
      <c r="D770" s="14">
        <v>1347.13</v>
      </c>
      <c r="E770" s="14">
        <v>6331.75</v>
      </c>
      <c r="F770" s="14">
        <v>25250.1</v>
      </c>
    </row>
    <row r="771" spans="1:6">
      <c r="A771" s="12">
        <v>45569</v>
      </c>
      <c r="B771" s="14">
        <v>3017.45</v>
      </c>
      <c r="C771" s="14">
        <v>1425.11</v>
      </c>
      <c r="D771" s="14">
        <v>1326.65</v>
      </c>
      <c r="E771" s="14">
        <v>6206</v>
      </c>
      <c r="F771" s="14">
        <v>25014.6</v>
      </c>
    </row>
    <row r="772" spans="1:6">
      <c r="A772" s="12">
        <v>45572</v>
      </c>
      <c r="B772" s="14">
        <v>3060.2</v>
      </c>
      <c r="C772" s="14">
        <v>1441.61</v>
      </c>
      <c r="D772" s="14">
        <v>1321.98</v>
      </c>
      <c r="E772" s="14">
        <v>6120.3</v>
      </c>
      <c r="F772" s="14">
        <v>24795.75</v>
      </c>
    </row>
    <row r="773" spans="1:6">
      <c r="A773" s="12">
        <v>45573</v>
      </c>
      <c r="B773" s="14">
        <v>3165.85</v>
      </c>
      <c r="C773" s="14">
        <v>1464.39</v>
      </c>
      <c r="D773" s="14">
        <v>1331.21</v>
      </c>
      <c r="E773" s="14">
        <v>6204.4</v>
      </c>
      <c r="F773" s="14">
        <v>25013.15</v>
      </c>
    </row>
    <row r="774" spans="1:6">
      <c r="A774" s="12">
        <v>45574</v>
      </c>
      <c r="B774" s="14">
        <v>3153</v>
      </c>
      <c r="C774" s="14">
        <v>1475.47</v>
      </c>
      <c r="D774" s="14">
        <v>1332.97</v>
      </c>
      <c r="E774" s="14">
        <v>6097.25</v>
      </c>
      <c r="F774" s="14">
        <v>24981.95</v>
      </c>
    </row>
    <row r="775" spans="1:6">
      <c r="A775" s="12">
        <v>45575</v>
      </c>
      <c r="B775" s="14">
        <v>3194.3</v>
      </c>
      <c r="C775" s="14">
        <v>1456.3</v>
      </c>
      <c r="D775" s="14">
        <v>1316.62</v>
      </c>
      <c r="E775" s="14">
        <v>6002.15</v>
      </c>
      <c r="F775" s="14">
        <v>24998.45</v>
      </c>
    </row>
    <row r="776" spans="1:6">
      <c r="A776" s="12">
        <v>45576</v>
      </c>
      <c r="B776" s="14">
        <v>3134.35</v>
      </c>
      <c r="C776" s="14">
        <v>1476.12</v>
      </c>
      <c r="D776" s="14">
        <v>1319.84</v>
      </c>
      <c r="E776" s="14">
        <v>5978.5</v>
      </c>
      <c r="F776" s="14">
        <v>24964.25</v>
      </c>
    </row>
    <row r="777" spans="1:6">
      <c r="A777" s="12">
        <v>45579</v>
      </c>
      <c r="B777" s="14">
        <v>3154.9</v>
      </c>
      <c r="C777" s="14">
        <v>1486.42</v>
      </c>
      <c r="D777" s="14">
        <v>1331.98</v>
      </c>
      <c r="E777" s="14">
        <v>5978.05</v>
      </c>
      <c r="F777" s="14">
        <v>25127.95</v>
      </c>
    </row>
    <row r="778" spans="1:6">
      <c r="A778" s="12">
        <v>45580</v>
      </c>
      <c r="B778" s="14">
        <v>3155.8</v>
      </c>
      <c r="C778" s="14">
        <v>1493.99</v>
      </c>
      <c r="D778" s="14">
        <v>1322.33</v>
      </c>
      <c r="E778" s="14">
        <v>6068.7</v>
      </c>
      <c r="F778" s="14">
        <v>25057.35</v>
      </c>
    </row>
    <row r="779" spans="1:6">
      <c r="A779" s="12">
        <v>45581</v>
      </c>
      <c r="B779" s="14">
        <v>3068</v>
      </c>
      <c r="C779" s="14">
        <v>1440.85</v>
      </c>
      <c r="D779" s="14">
        <v>1342.18</v>
      </c>
      <c r="E779" s="14">
        <v>6090.1</v>
      </c>
      <c r="F779" s="14">
        <v>24971.3</v>
      </c>
    </row>
    <row r="780" spans="1:6">
      <c r="A780" s="12">
        <v>45582</v>
      </c>
      <c r="B780" s="14">
        <v>2964.6</v>
      </c>
      <c r="C780" s="14">
        <v>1451.45</v>
      </c>
      <c r="D780" s="14">
        <v>1340.81</v>
      </c>
      <c r="E780" s="14">
        <v>5988.5</v>
      </c>
      <c r="F780" s="14">
        <v>24749.85</v>
      </c>
    </row>
    <row r="781" spans="1:6">
      <c r="A781" s="12">
        <v>45583</v>
      </c>
      <c r="B781" s="14">
        <v>2964.25</v>
      </c>
      <c r="C781" s="14">
        <v>1442.08</v>
      </c>
      <c r="D781" s="14">
        <v>1348.22</v>
      </c>
      <c r="E781" s="14">
        <v>5887.2</v>
      </c>
      <c r="F781" s="14">
        <v>24854.05</v>
      </c>
    </row>
    <row r="782" spans="1:6">
      <c r="A782" s="12">
        <v>45586</v>
      </c>
      <c r="B782" s="14">
        <v>2998.2</v>
      </c>
      <c r="C782" s="14">
        <v>1365.05</v>
      </c>
      <c r="D782" s="14">
        <v>1339.48</v>
      </c>
      <c r="E782" s="14">
        <v>5778.3</v>
      </c>
      <c r="F782" s="14">
        <v>24781.1</v>
      </c>
    </row>
    <row r="783" spans="1:6">
      <c r="A783" s="12">
        <v>45587</v>
      </c>
      <c r="B783" s="14">
        <v>2887.2</v>
      </c>
      <c r="C783" s="14">
        <v>1360.05</v>
      </c>
      <c r="D783" s="14">
        <v>1332.48</v>
      </c>
      <c r="E783" s="14">
        <v>5727</v>
      </c>
      <c r="F783" s="14">
        <v>24472.1</v>
      </c>
    </row>
    <row r="784" spans="1:6">
      <c r="A784" s="12">
        <v>45588</v>
      </c>
      <c r="B784" s="14">
        <v>2793.5</v>
      </c>
      <c r="C784" s="14">
        <v>1511.56</v>
      </c>
      <c r="D784" s="14">
        <v>1321.58</v>
      </c>
      <c r="E784" s="14">
        <v>5748.85</v>
      </c>
      <c r="F784" s="14">
        <v>24435.5</v>
      </c>
    </row>
    <row r="785" spans="1:6">
      <c r="A785" s="12">
        <v>45589</v>
      </c>
      <c r="B785" s="14">
        <v>2826.35</v>
      </c>
      <c r="C785" s="14">
        <v>1539.81</v>
      </c>
      <c r="D785" s="14">
        <v>1316.54</v>
      </c>
      <c r="E785" s="14">
        <v>5612.4</v>
      </c>
      <c r="F785" s="14">
        <v>24399.4</v>
      </c>
    </row>
    <row r="786" spans="1:6">
      <c r="A786" s="12">
        <v>45590</v>
      </c>
      <c r="B786" s="14">
        <v>2720.85</v>
      </c>
      <c r="C786" s="14">
        <v>1547.97</v>
      </c>
      <c r="D786" s="14">
        <v>1302.94</v>
      </c>
      <c r="E786" s="14">
        <v>5669.4</v>
      </c>
      <c r="F786" s="14">
        <v>24180.799999999999</v>
      </c>
    </row>
    <row r="787" spans="1:6">
      <c r="A787" s="12">
        <v>45593</v>
      </c>
      <c r="B787" s="14">
        <v>2781</v>
      </c>
      <c r="C787" s="14">
        <v>1541.07</v>
      </c>
      <c r="D787" s="14">
        <v>1311.5</v>
      </c>
      <c r="E787" s="14">
        <v>5722.3</v>
      </c>
      <c r="F787" s="14">
        <v>24339.15</v>
      </c>
    </row>
    <row r="788" spans="1:6">
      <c r="A788" s="12">
        <v>45594</v>
      </c>
      <c r="B788" s="14">
        <v>2746.9</v>
      </c>
      <c r="C788" s="14">
        <v>1550.75</v>
      </c>
      <c r="D788" s="14">
        <v>1274.7</v>
      </c>
      <c r="E788" s="14">
        <v>5667.5</v>
      </c>
      <c r="F788" s="14">
        <v>24466.85</v>
      </c>
    </row>
    <row r="789" spans="1:6">
      <c r="A789" s="12">
        <v>45595</v>
      </c>
      <c r="B789" s="14">
        <v>2707.7</v>
      </c>
      <c r="C789" s="14">
        <v>1548.48</v>
      </c>
      <c r="D789" s="14">
        <v>1249.8499999999999</v>
      </c>
      <c r="E789" s="14">
        <v>5782.5</v>
      </c>
      <c r="F789" s="14">
        <v>24340.85</v>
      </c>
    </row>
    <row r="790" spans="1:6">
      <c r="A790" s="12">
        <v>45596</v>
      </c>
      <c r="B790" s="14">
        <v>2728.55</v>
      </c>
      <c r="C790" s="14">
        <v>1524.82</v>
      </c>
      <c r="D790" s="14">
        <v>1274.2</v>
      </c>
      <c r="E790" s="14">
        <v>5726.9</v>
      </c>
      <c r="F790" s="14">
        <v>24205.35</v>
      </c>
    </row>
    <row r="791" spans="1:6">
      <c r="A791" s="12">
        <v>45597</v>
      </c>
      <c r="B791" s="14">
        <v>2817.65</v>
      </c>
      <c r="C791" s="14">
        <v>1510.54</v>
      </c>
      <c r="D791" s="14">
        <v>1259.5999999999999</v>
      </c>
      <c r="E791" s="14">
        <v>5693.05</v>
      </c>
      <c r="F791" s="14">
        <v>24304.35</v>
      </c>
    </row>
    <row r="792" spans="1:6">
      <c r="A792" s="12">
        <v>45600</v>
      </c>
      <c r="B792" s="14">
        <v>2883.95</v>
      </c>
      <c r="C792" s="14">
        <v>1508.65</v>
      </c>
      <c r="D792" s="14">
        <v>1268.3</v>
      </c>
      <c r="E792" s="14">
        <v>5625.2</v>
      </c>
      <c r="F792" s="14">
        <v>23995.35</v>
      </c>
    </row>
    <row r="793" spans="1:6">
      <c r="A793" s="12">
        <v>45601</v>
      </c>
      <c r="B793" s="14">
        <v>2899.45</v>
      </c>
      <c r="C793" s="14">
        <v>1509.3</v>
      </c>
      <c r="D793" s="14">
        <v>1272.2</v>
      </c>
      <c r="E793" s="14">
        <v>5605.1</v>
      </c>
      <c r="F793" s="14">
        <v>24213.3</v>
      </c>
    </row>
    <row r="794" spans="1:6">
      <c r="A794" s="12">
        <v>45602</v>
      </c>
      <c r="B794" s="14">
        <v>2934.55</v>
      </c>
      <c r="C794" s="14">
        <v>1565.9</v>
      </c>
      <c r="D794" s="14">
        <v>1302.0999999999999</v>
      </c>
      <c r="E794" s="14">
        <v>5694.9</v>
      </c>
      <c r="F794" s="14">
        <v>24484.05</v>
      </c>
    </row>
    <row r="795" spans="1:6">
      <c r="A795" s="12">
        <v>45603</v>
      </c>
      <c r="B795" s="14">
        <v>2891.35</v>
      </c>
      <c r="C795" s="14">
        <v>1570.67</v>
      </c>
      <c r="D795" s="14">
        <v>1287.3499999999999</v>
      </c>
      <c r="E795" s="14">
        <v>5688.9</v>
      </c>
      <c r="F795" s="14">
        <v>24199.35</v>
      </c>
    </row>
    <row r="796" spans="1:6">
      <c r="A796" s="12">
        <v>45604</v>
      </c>
      <c r="B796" s="14">
        <v>2974.9</v>
      </c>
      <c r="C796" s="14">
        <v>1590.76</v>
      </c>
      <c r="D796" s="14">
        <v>1283.6500000000001</v>
      </c>
      <c r="E796" s="14">
        <v>5747.15</v>
      </c>
      <c r="F796" s="14">
        <v>24148.2</v>
      </c>
    </row>
    <row r="797" spans="1:6">
      <c r="A797" s="12">
        <v>45607</v>
      </c>
      <c r="B797" s="14">
        <v>2930.6</v>
      </c>
      <c r="C797" s="14">
        <v>1613.38</v>
      </c>
      <c r="D797" s="14">
        <v>1287.9000000000001</v>
      </c>
      <c r="E797" s="14">
        <v>5434.65</v>
      </c>
      <c r="F797" s="14">
        <v>24141.3</v>
      </c>
    </row>
    <row r="798" spans="1:6">
      <c r="A798" s="12">
        <v>45608</v>
      </c>
      <c r="B798" s="14">
        <v>2898.55</v>
      </c>
      <c r="C798" s="14">
        <v>1619.85</v>
      </c>
      <c r="D798" s="14">
        <v>1263.9000000000001</v>
      </c>
      <c r="E798" s="14">
        <v>5027.55</v>
      </c>
      <c r="F798" s="14">
        <v>23883.45</v>
      </c>
    </row>
    <row r="799" spans="1:6">
      <c r="A799" s="12">
        <v>45609</v>
      </c>
      <c r="B799" s="14">
        <v>2798.95</v>
      </c>
      <c r="C799" s="14">
        <v>1611.24</v>
      </c>
      <c r="D799" s="14">
        <v>1245</v>
      </c>
      <c r="E799" s="14">
        <v>5046.5</v>
      </c>
      <c r="F799" s="14">
        <v>23559.05</v>
      </c>
    </row>
    <row r="800" spans="1:6">
      <c r="A800" s="12">
        <v>45610</v>
      </c>
      <c r="B800" s="14">
        <v>2807.2</v>
      </c>
      <c r="C800" s="14">
        <v>1614.8</v>
      </c>
      <c r="D800" s="14">
        <v>1226.7</v>
      </c>
      <c r="E800" s="14">
        <v>4915.6000000000004</v>
      </c>
      <c r="F800" s="14">
        <v>23532.7</v>
      </c>
    </row>
    <row r="801" spans="1:6">
      <c r="A801" s="12">
        <v>45614</v>
      </c>
      <c r="B801" s="14">
        <v>2846.9</v>
      </c>
      <c r="C801" s="14">
        <v>1601.32</v>
      </c>
      <c r="D801" s="14">
        <v>1193.55</v>
      </c>
      <c r="E801" s="14">
        <v>4911.3500000000004</v>
      </c>
      <c r="F801" s="14">
        <v>23453.8</v>
      </c>
    </row>
    <row r="802" spans="1:6">
      <c r="A802" s="12">
        <v>45615</v>
      </c>
      <c r="B802" s="14">
        <v>2948.95</v>
      </c>
      <c r="C802" s="14">
        <v>1623.3</v>
      </c>
      <c r="D802" s="14">
        <v>1213.45</v>
      </c>
      <c r="E802" s="14">
        <v>4892.7</v>
      </c>
      <c r="F802" s="14">
        <v>23518.5</v>
      </c>
    </row>
    <row r="803" spans="1:6">
      <c r="A803" s="12">
        <v>45617</v>
      </c>
      <c r="B803" s="14">
        <v>2936.25</v>
      </c>
      <c r="C803" s="14">
        <v>1642.02</v>
      </c>
      <c r="D803" s="14">
        <v>1195.3499999999999</v>
      </c>
      <c r="E803" s="14">
        <v>4803.3500000000004</v>
      </c>
      <c r="F803" s="14">
        <v>23349.9</v>
      </c>
    </row>
    <row r="804" spans="1:6">
      <c r="A804" s="12">
        <v>45618</v>
      </c>
      <c r="B804" s="14">
        <v>3012.95</v>
      </c>
      <c r="C804" s="14">
        <v>1665.5</v>
      </c>
      <c r="D804" s="14">
        <v>1214.45</v>
      </c>
      <c r="E804" s="14">
        <v>4848.3500000000004</v>
      </c>
      <c r="F804" s="14">
        <v>23907.25</v>
      </c>
    </row>
    <row r="805" spans="1:6">
      <c r="A805" s="12">
        <v>45621</v>
      </c>
      <c r="B805" s="14">
        <v>3045.6</v>
      </c>
      <c r="C805" s="14">
        <v>1722.32</v>
      </c>
      <c r="D805" s="14">
        <v>1209.3</v>
      </c>
      <c r="E805" s="14">
        <v>4903.95</v>
      </c>
      <c r="F805" s="14">
        <v>24221.9</v>
      </c>
    </row>
    <row r="806" spans="1:6">
      <c r="A806" s="12">
        <v>45622</v>
      </c>
      <c r="B806" s="14">
        <v>2985.2</v>
      </c>
      <c r="C806" s="14">
        <v>1723.31</v>
      </c>
      <c r="D806" s="14">
        <v>1208.6500000000001</v>
      </c>
      <c r="E806" s="14">
        <v>5013.6000000000004</v>
      </c>
      <c r="F806" s="14">
        <v>24194.5</v>
      </c>
    </row>
    <row r="807" spans="1:6">
      <c r="A807" s="12">
        <v>45623</v>
      </c>
      <c r="B807" s="14">
        <v>3004.8</v>
      </c>
      <c r="C807" s="14">
        <v>1734.58</v>
      </c>
      <c r="D807" s="14">
        <v>1199.9000000000001</v>
      </c>
      <c r="E807" s="14">
        <v>4984.1499999999996</v>
      </c>
      <c r="F807" s="14">
        <v>24274.9</v>
      </c>
    </row>
    <row r="808" spans="1:6">
      <c r="A808" s="12">
        <v>45624</v>
      </c>
      <c r="B808" s="14">
        <v>2898.7</v>
      </c>
      <c r="C808" s="14">
        <v>1732.21</v>
      </c>
      <c r="D808" s="14">
        <v>1191.95</v>
      </c>
      <c r="E808" s="14">
        <v>4923.6499999999996</v>
      </c>
      <c r="F808" s="14">
        <v>23914.15</v>
      </c>
    </row>
    <row r="809" spans="1:6">
      <c r="A809" s="12">
        <v>45625</v>
      </c>
      <c r="B809" s="14">
        <v>2966.1</v>
      </c>
      <c r="C809" s="14">
        <v>1737.17</v>
      </c>
      <c r="D809" s="14">
        <v>1202.3</v>
      </c>
      <c r="E809" s="14">
        <v>4941.1499999999996</v>
      </c>
      <c r="F809" s="14">
        <v>24131.1</v>
      </c>
    </row>
    <row r="810" spans="1:6">
      <c r="A810" s="12">
        <v>45628</v>
      </c>
      <c r="B810" s="14">
        <v>3016.4</v>
      </c>
      <c r="C810" s="14">
        <v>1742.14</v>
      </c>
      <c r="D810" s="14">
        <v>1221.75</v>
      </c>
      <c r="E810" s="14">
        <v>4907.25</v>
      </c>
      <c r="F810" s="14">
        <v>24276.05</v>
      </c>
    </row>
    <row r="811" spans="1:6">
      <c r="A811" s="12">
        <v>45629</v>
      </c>
      <c r="B811" s="14">
        <v>3027.3</v>
      </c>
      <c r="C811" s="14">
        <v>1743.65</v>
      </c>
      <c r="D811" s="14">
        <v>1224.5</v>
      </c>
      <c r="E811" s="14">
        <v>4909.6000000000004</v>
      </c>
      <c r="F811" s="14">
        <v>24457.15</v>
      </c>
    </row>
    <row r="812" spans="1:6">
      <c r="A812" s="12">
        <v>45630</v>
      </c>
      <c r="B812" s="14">
        <v>3031.75</v>
      </c>
      <c r="C812" s="14">
        <v>1753.18</v>
      </c>
      <c r="D812" s="14">
        <v>1215.55</v>
      </c>
      <c r="E812" s="14">
        <v>4851.55</v>
      </c>
      <c r="F812" s="14">
        <v>24467.45</v>
      </c>
    </row>
    <row r="813" spans="1:6">
      <c r="A813" s="12">
        <v>45631</v>
      </c>
      <c r="B813" s="14">
        <v>3071.6</v>
      </c>
      <c r="C813" s="14">
        <v>1763.56</v>
      </c>
      <c r="D813" s="14">
        <v>1239.8499999999999</v>
      </c>
      <c r="E813" s="14">
        <v>4872</v>
      </c>
      <c r="F813" s="14">
        <v>24708.400000000001</v>
      </c>
    </row>
    <row r="814" spans="1:6">
      <c r="A814" s="12">
        <v>45632</v>
      </c>
      <c r="B814" s="14">
        <v>3073</v>
      </c>
      <c r="C814" s="14">
        <v>1780.29</v>
      </c>
      <c r="D814" s="14">
        <v>1253.7</v>
      </c>
      <c r="E814" s="14">
        <v>4870.8500000000004</v>
      </c>
      <c r="F814" s="14">
        <v>24677.8</v>
      </c>
    </row>
    <row r="815" spans="1:6">
      <c r="A815" s="12">
        <v>45635</v>
      </c>
      <c r="B815" s="14">
        <v>3051.25</v>
      </c>
      <c r="C815" s="14">
        <v>1783.72</v>
      </c>
      <c r="D815" s="14">
        <v>1255.1500000000001</v>
      </c>
      <c r="E815" s="14">
        <v>4793</v>
      </c>
      <c r="F815" s="14">
        <v>24619</v>
      </c>
    </row>
    <row r="816" spans="1:6">
      <c r="A816" s="12">
        <v>45636</v>
      </c>
      <c r="B816" s="14">
        <v>3066.9</v>
      </c>
      <c r="C816" s="14">
        <v>1801.71</v>
      </c>
      <c r="D816" s="14">
        <v>1240.3499999999999</v>
      </c>
      <c r="E816" s="14">
        <v>4787.25</v>
      </c>
      <c r="F816" s="14">
        <v>24610.05</v>
      </c>
    </row>
    <row r="817" spans="1:6">
      <c r="A817" s="12">
        <v>45637</v>
      </c>
      <c r="B817" s="14">
        <v>3072.05</v>
      </c>
      <c r="C817" s="14">
        <v>1799.24</v>
      </c>
      <c r="D817" s="14">
        <v>1238.55</v>
      </c>
      <c r="E817" s="14">
        <v>4889.5</v>
      </c>
      <c r="F817" s="14">
        <v>24641.8</v>
      </c>
    </row>
    <row r="818" spans="1:6">
      <c r="A818" s="12">
        <v>45638</v>
      </c>
      <c r="B818" s="14">
        <v>3067.45</v>
      </c>
      <c r="C818" s="14">
        <v>1839.19</v>
      </c>
      <c r="D818" s="14">
        <v>1245.4000000000001</v>
      </c>
      <c r="E818" s="14">
        <v>4828.3500000000004</v>
      </c>
      <c r="F818" s="14">
        <v>24548.7</v>
      </c>
    </row>
    <row r="819" spans="1:6">
      <c r="A819" s="12">
        <v>45639</v>
      </c>
      <c r="B819" s="14">
        <v>3081.4</v>
      </c>
      <c r="C819" s="14">
        <v>1860.15</v>
      </c>
      <c r="D819" s="14">
        <v>1246.3499999999999</v>
      </c>
      <c r="E819" s="14">
        <v>4850.1000000000004</v>
      </c>
      <c r="F819" s="14">
        <v>24768.3</v>
      </c>
    </row>
    <row r="820" spans="1:6">
      <c r="A820" s="12">
        <v>45642</v>
      </c>
      <c r="B820" s="14">
        <v>3084.85</v>
      </c>
      <c r="C820" s="14">
        <v>1856.94</v>
      </c>
      <c r="D820" s="14">
        <v>1269.95</v>
      </c>
      <c r="E820" s="14">
        <v>4846.5</v>
      </c>
      <c r="F820" s="14">
        <v>24668.25</v>
      </c>
    </row>
    <row r="821" spans="1:6">
      <c r="A821" s="12">
        <v>45643</v>
      </c>
      <c r="B821" s="14">
        <v>3041.5</v>
      </c>
      <c r="C821" s="14">
        <v>1880.59</v>
      </c>
      <c r="D821" s="14">
        <v>1247.6500000000001</v>
      </c>
      <c r="E821" s="14">
        <v>4776.75</v>
      </c>
      <c r="F821" s="14">
        <v>24336</v>
      </c>
    </row>
    <row r="822" spans="1:6">
      <c r="A822" s="12">
        <v>45644</v>
      </c>
      <c r="B822" s="14">
        <v>3051.2</v>
      </c>
      <c r="C822" s="14">
        <v>1894.27</v>
      </c>
      <c r="D822" s="14">
        <v>1275.4000000000001</v>
      </c>
      <c r="E822" s="14">
        <v>4782.6499999999996</v>
      </c>
      <c r="F822" s="14">
        <v>24198.85</v>
      </c>
    </row>
    <row r="823" spans="1:6">
      <c r="A823" s="12">
        <v>45645</v>
      </c>
      <c r="B823" s="14">
        <v>3014.65</v>
      </c>
      <c r="C823" s="14">
        <v>1931.42</v>
      </c>
      <c r="D823" s="14">
        <v>1325.6</v>
      </c>
      <c r="E823" s="14">
        <v>4785.75</v>
      </c>
      <c r="F823" s="14">
        <v>23951.7</v>
      </c>
    </row>
    <row r="824" spans="1:6">
      <c r="A824" s="12">
        <v>45646</v>
      </c>
      <c r="B824" s="14">
        <v>2906.35</v>
      </c>
      <c r="C824" s="14">
        <v>1874.09</v>
      </c>
      <c r="D824" s="14">
        <v>1343.65</v>
      </c>
      <c r="E824" s="14">
        <v>4698.1000000000004</v>
      </c>
      <c r="F824" s="14">
        <v>23587.5</v>
      </c>
    </row>
    <row r="825" spans="1:6">
      <c r="A825" s="12">
        <v>45649</v>
      </c>
      <c r="B825" s="14">
        <v>2909.3</v>
      </c>
      <c r="C825" s="14">
        <v>1881.27</v>
      </c>
      <c r="D825" s="14">
        <v>1341.35</v>
      </c>
      <c r="E825" s="14">
        <v>4704.3500000000004</v>
      </c>
      <c r="F825" s="14">
        <v>23753.45</v>
      </c>
    </row>
    <row r="826" spans="1:6">
      <c r="A826" s="12">
        <v>45650</v>
      </c>
      <c r="B826" s="14">
        <v>2928.7</v>
      </c>
      <c r="C826" s="14">
        <v>1878.74</v>
      </c>
      <c r="D826" s="14">
        <v>1350.9</v>
      </c>
      <c r="E826" s="14">
        <v>4744.1000000000004</v>
      </c>
      <c r="F826" s="14">
        <v>23727.65</v>
      </c>
    </row>
    <row r="827" spans="1:6">
      <c r="A827" s="12">
        <v>45652</v>
      </c>
      <c r="B827" s="14">
        <v>2975.65</v>
      </c>
      <c r="C827" s="14">
        <v>1898.65</v>
      </c>
      <c r="D827" s="14">
        <v>1355.15</v>
      </c>
      <c r="E827" s="14">
        <v>4761.6499999999996</v>
      </c>
      <c r="F827" s="14">
        <v>23750.2</v>
      </c>
    </row>
    <row r="828" spans="1:6">
      <c r="A828" s="12">
        <v>45653</v>
      </c>
      <c r="B828" s="14">
        <v>3049.45</v>
      </c>
      <c r="C828" s="14">
        <v>1890.22</v>
      </c>
      <c r="D828" s="14">
        <v>1389.45</v>
      </c>
      <c r="E828" s="14">
        <v>4769.3</v>
      </c>
      <c r="F828" s="14">
        <v>23813.4</v>
      </c>
    </row>
    <row r="829" spans="1:6">
      <c r="A829" s="12">
        <v>45656</v>
      </c>
      <c r="B829" s="14">
        <v>3002.9</v>
      </c>
      <c r="C829" s="14">
        <v>1963.59</v>
      </c>
      <c r="D829" s="14">
        <v>1376.9</v>
      </c>
      <c r="E829" s="14">
        <v>4799.45</v>
      </c>
      <c r="F829" s="14">
        <v>23644.9</v>
      </c>
    </row>
    <row r="830" spans="1:6">
      <c r="A830" s="12">
        <v>45657</v>
      </c>
      <c r="B830" s="14">
        <v>3007.1</v>
      </c>
      <c r="C830" s="14">
        <v>1932.59</v>
      </c>
      <c r="D830" s="14">
        <v>1388.5</v>
      </c>
      <c r="E830" s="14">
        <v>4762.75</v>
      </c>
      <c r="F830" s="14">
        <v>23644.799999999999</v>
      </c>
    </row>
    <row r="831" spans="1:6">
      <c r="A831" s="12">
        <v>45658</v>
      </c>
      <c r="B831" s="14">
        <v>3082</v>
      </c>
      <c r="C831" s="14">
        <v>1925.71</v>
      </c>
      <c r="D831" s="14">
        <v>1369</v>
      </c>
      <c r="E831" s="14">
        <v>4794.75</v>
      </c>
      <c r="F831" s="14">
        <v>23742.9</v>
      </c>
    </row>
    <row r="832" spans="1:6">
      <c r="A832" s="12">
        <v>45659</v>
      </c>
      <c r="B832" s="14">
        <v>3211.1</v>
      </c>
      <c r="C832" s="14">
        <v>1939.33</v>
      </c>
      <c r="D832" s="14">
        <v>1375.05</v>
      </c>
      <c r="E832" s="14">
        <v>4787.8</v>
      </c>
      <c r="F832" s="14">
        <v>24188.65</v>
      </c>
    </row>
    <row r="833" spans="1:6">
      <c r="A833" s="12">
        <v>45660</v>
      </c>
      <c r="B833" s="14">
        <v>3190.55</v>
      </c>
      <c r="C833" s="14">
        <v>1933.93</v>
      </c>
      <c r="D833" s="14">
        <v>1352.65</v>
      </c>
      <c r="E833" s="14">
        <v>4834.1000000000004</v>
      </c>
      <c r="F833" s="14">
        <v>24004.75</v>
      </c>
    </row>
    <row r="834" spans="1:6">
      <c r="A834" s="12">
        <v>45663</v>
      </c>
      <c r="B834" s="14">
        <v>3105.7</v>
      </c>
      <c r="C834" s="14">
        <v>1926.35</v>
      </c>
      <c r="D834" s="14">
        <v>1350.35</v>
      </c>
      <c r="E834" s="14">
        <v>4791.25</v>
      </c>
      <c r="F834" s="14">
        <v>23616.05</v>
      </c>
    </row>
    <row r="835" spans="1:6">
      <c r="A835" s="12">
        <v>45664</v>
      </c>
      <c r="B835" s="14">
        <v>3108.85</v>
      </c>
      <c r="C835" s="14">
        <v>1924.04</v>
      </c>
      <c r="D835" s="14">
        <v>1351.55</v>
      </c>
      <c r="E835" s="14">
        <v>4832.25</v>
      </c>
      <c r="F835" s="14">
        <v>23707.9</v>
      </c>
    </row>
    <row r="836" spans="1:6">
      <c r="A836" s="12">
        <v>45665</v>
      </c>
      <c r="B836" s="14">
        <v>3086.1</v>
      </c>
      <c r="C836" s="14">
        <v>1911.6</v>
      </c>
      <c r="D836" s="14">
        <v>1370.75</v>
      </c>
      <c r="E836" s="14">
        <v>4859.8999999999996</v>
      </c>
      <c r="F836" s="14">
        <v>23688.95</v>
      </c>
    </row>
    <row r="837" spans="1:6">
      <c r="A837" s="12">
        <v>45666</v>
      </c>
      <c r="B837" s="14">
        <v>3126.5</v>
      </c>
      <c r="C837" s="14">
        <v>1856.6</v>
      </c>
      <c r="D837" s="14">
        <v>1371.6</v>
      </c>
      <c r="E837" s="14">
        <v>4926.3</v>
      </c>
      <c r="F837" s="14">
        <v>23526.5</v>
      </c>
    </row>
    <row r="838" spans="1:6">
      <c r="A838" s="12">
        <v>45667</v>
      </c>
      <c r="B838" s="14">
        <v>3092.85</v>
      </c>
      <c r="C838" s="14">
        <v>1880.83</v>
      </c>
      <c r="D838" s="14">
        <v>1354.4</v>
      </c>
      <c r="E838" s="14">
        <v>4939.2</v>
      </c>
      <c r="F838" s="14">
        <v>23431.5</v>
      </c>
    </row>
    <row r="839" spans="1:6">
      <c r="A839" s="12">
        <v>45670</v>
      </c>
      <c r="B839" s="14">
        <v>2999.65</v>
      </c>
      <c r="C839" s="14">
        <v>1741.11</v>
      </c>
      <c r="D839" s="14">
        <v>1335.1</v>
      </c>
      <c r="E839" s="14">
        <v>4927.05</v>
      </c>
      <c r="F839" s="14">
        <v>23085.95</v>
      </c>
    </row>
    <row r="840" spans="1:6">
      <c r="A840" s="12">
        <v>45671</v>
      </c>
      <c r="B840" s="14">
        <v>3049.5</v>
      </c>
      <c r="C840" s="14">
        <v>1718.48</v>
      </c>
      <c r="D840" s="14">
        <v>1337.55</v>
      </c>
      <c r="E840" s="14">
        <v>4862.3999999999996</v>
      </c>
      <c r="F840" s="14">
        <v>23176.05</v>
      </c>
    </row>
    <row r="841" spans="1:6">
      <c r="A841" s="12">
        <v>45672</v>
      </c>
      <c r="B841" s="14">
        <v>2960.25</v>
      </c>
      <c r="C841" s="14">
        <v>1716.67</v>
      </c>
      <c r="D841" s="14">
        <v>1337.2</v>
      </c>
      <c r="E841" s="14">
        <v>4877</v>
      </c>
      <c r="F841" s="14">
        <v>23213.200000000001</v>
      </c>
    </row>
    <row r="842" spans="1:6">
      <c r="A842" s="12">
        <v>45673</v>
      </c>
      <c r="B842" s="14">
        <v>2980.6</v>
      </c>
      <c r="C842" s="14">
        <v>1746.27</v>
      </c>
      <c r="D842" s="14">
        <v>1302.75</v>
      </c>
      <c r="E842" s="14">
        <v>4844.55</v>
      </c>
      <c r="F842" s="14">
        <v>23311.8</v>
      </c>
    </row>
    <row r="843" spans="1:6">
      <c r="A843" s="12">
        <v>45674</v>
      </c>
      <c r="B843" s="14">
        <v>2917.35</v>
      </c>
      <c r="C843" s="14">
        <v>1728.31</v>
      </c>
      <c r="D843" s="14">
        <v>1309.4000000000001</v>
      </c>
      <c r="E843" s="14">
        <v>4854.3999999999996</v>
      </c>
      <c r="F843" s="14">
        <v>23203.200000000001</v>
      </c>
    </row>
    <row r="844" spans="1:6">
      <c r="A844" s="12">
        <v>45677</v>
      </c>
      <c r="B844" s="14">
        <v>2888.1</v>
      </c>
      <c r="C844" s="14">
        <v>1732.42</v>
      </c>
      <c r="D844" s="14">
        <v>1302.3499999999999</v>
      </c>
      <c r="E844" s="14">
        <v>4885.3999999999996</v>
      </c>
      <c r="F844" s="14">
        <v>23344.75</v>
      </c>
    </row>
    <row r="845" spans="1:6">
      <c r="A845" s="12">
        <v>45678</v>
      </c>
      <c r="B845" s="14">
        <v>2821.3</v>
      </c>
      <c r="C845" s="14">
        <v>1652.22</v>
      </c>
      <c r="D845" s="14">
        <v>1288.1500000000001</v>
      </c>
      <c r="E845" s="14">
        <v>4903.8500000000004</v>
      </c>
      <c r="F845" s="14">
        <v>23024.65</v>
      </c>
    </row>
    <row r="846" spans="1:6">
      <c r="A846" s="12">
        <v>45679</v>
      </c>
      <c r="B846" s="14">
        <v>2826.45</v>
      </c>
      <c r="C846" s="14">
        <v>1645.64</v>
      </c>
      <c r="D846" s="14">
        <v>1296.25</v>
      </c>
      <c r="E846" s="14">
        <v>4956.7</v>
      </c>
      <c r="F846" s="14">
        <v>23155.35</v>
      </c>
    </row>
    <row r="847" spans="1:6">
      <c r="A847" s="12">
        <v>45680</v>
      </c>
      <c r="B847" s="14">
        <v>2886.45</v>
      </c>
      <c r="C847" s="14">
        <v>1839.29</v>
      </c>
      <c r="D847" s="14">
        <v>1289.4000000000001</v>
      </c>
      <c r="E847" s="14">
        <v>5012.6000000000004</v>
      </c>
      <c r="F847" s="14">
        <v>23205.35</v>
      </c>
    </row>
    <row r="848" spans="1:6">
      <c r="A848" s="12">
        <v>45681</v>
      </c>
      <c r="B848" s="14">
        <v>2801.4</v>
      </c>
      <c r="C848" s="14">
        <v>1846.92</v>
      </c>
      <c r="D848" s="14">
        <v>1224.4000000000001</v>
      </c>
      <c r="E848" s="14">
        <v>5101.55</v>
      </c>
      <c r="F848" s="14">
        <v>23092.2</v>
      </c>
    </row>
    <row r="849" spans="1:6">
      <c r="A849" s="12">
        <v>45684</v>
      </c>
      <c r="B849" s="14">
        <v>2831.6</v>
      </c>
      <c r="C849" s="14">
        <v>1760.34</v>
      </c>
      <c r="D849" s="14">
        <v>1197.6500000000001</v>
      </c>
      <c r="E849" s="14">
        <v>5176.25</v>
      </c>
      <c r="F849" s="14">
        <v>22829.15</v>
      </c>
    </row>
    <row r="850" spans="1:6">
      <c r="A850" s="12">
        <v>45685</v>
      </c>
      <c r="B850" s="14">
        <v>2870.6</v>
      </c>
      <c r="C850" s="14">
        <v>1699.76</v>
      </c>
      <c r="D850" s="14">
        <v>1181.25</v>
      </c>
      <c r="E850" s="14">
        <v>5060.75</v>
      </c>
      <c r="F850" s="14">
        <v>22957.25</v>
      </c>
    </row>
    <row r="851" spans="1:6">
      <c r="A851" s="12">
        <v>45686</v>
      </c>
      <c r="B851" s="14">
        <v>2924.35</v>
      </c>
      <c r="C851" s="14">
        <v>1749.31</v>
      </c>
      <c r="D851" s="14">
        <v>1181.2</v>
      </c>
      <c r="E851" s="14">
        <v>5037.05</v>
      </c>
      <c r="F851" s="14">
        <v>23163.1</v>
      </c>
    </row>
    <row r="852" spans="1:6">
      <c r="A852" s="12">
        <v>45687</v>
      </c>
      <c r="B852" s="14">
        <v>2971.45</v>
      </c>
      <c r="C852" s="14">
        <v>1665.47</v>
      </c>
      <c r="D852" s="14">
        <v>1194.5</v>
      </c>
      <c r="E852" s="14">
        <v>5075.3500000000004</v>
      </c>
      <c r="F852" s="14">
        <v>23249.5</v>
      </c>
    </row>
    <row r="853" spans="1:6">
      <c r="A853" s="12">
        <v>45688</v>
      </c>
      <c r="B853" s="14">
        <v>2989.85</v>
      </c>
      <c r="C853" s="14">
        <v>1652.77</v>
      </c>
      <c r="D853" s="14">
        <v>1217.3499999999999</v>
      </c>
      <c r="E853" s="14">
        <v>5129.6499999999996</v>
      </c>
      <c r="F853" s="14">
        <v>23508.400000000001</v>
      </c>
    </row>
    <row r="854" spans="1:6">
      <c r="A854" s="12">
        <v>45689</v>
      </c>
      <c r="B854" s="14">
        <v>3076.75</v>
      </c>
      <c r="C854" s="14">
        <v>1615.27</v>
      </c>
      <c r="D854" s="14">
        <v>1204.95</v>
      </c>
      <c r="E854" s="14">
        <v>5201.3500000000004</v>
      </c>
      <c r="F854" s="14">
        <v>23482.15</v>
      </c>
    </row>
    <row r="855" spans="1:6">
      <c r="A855" s="12">
        <v>45691</v>
      </c>
      <c r="B855" s="14">
        <v>3173.3</v>
      </c>
      <c r="C855" s="14">
        <v>1668.82</v>
      </c>
      <c r="D855" s="14">
        <v>1203.8499999999999</v>
      </c>
      <c r="E855" s="14">
        <v>5105.55</v>
      </c>
      <c r="F855" s="14">
        <v>23361.05</v>
      </c>
    </row>
    <row r="856" spans="1:6">
      <c r="A856" s="12">
        <v>45692</v>
      </c>
      <c r="B856" s="14">
        <v>3189.05</v>
      </c>
      <c r="C856" s="14">
        <v>1691.81</v>
      </c>
      <c r="D856" s="14">
        <v>1219.95</v>
      </c>
      <c r="E856" s="14">
        <v>5028.3500000000004</v>
      </c>
      <c r="F856" s="14">
        <v>23739.25</v>
      </c>
    </row>
    <row r="857" spans="1:6">
      <c r="A857" s="12">
        <v>45693</v>
      </c>
      <c r="B857" s="14">
        <v>3178.75</v>
      </c>
      <c r="C857" s="14">
        <v>1700.43</v>
      </c>
      <c r="D857" s="14">
        <v>1227.55</v>
      </c>
      <c r="E857" s="14">
        <v>4932.6499999999996</v>
      </c>
      <c r="F857" s="14">
        <v>23696.3</v>
      </c>
    </row>
    <row r="858" spans="1:6">
      <c r="A858" s="12">
        <v>45694</v>
      </c>
      <c r="B858" s="14">
        <v>3139.95</v>
      </c>
      <c r="C858" s="14">
        <v>1704.27</v>
      </c>
      <c r="D858" s="14">
        <v>1236.6500000000001</v>
      </c>
      <c r="E858" s="14">
        <v>4956.05</v>
      </c>
      <c r="F858" s="14">
        <v>23603.35</v>
      </c>
    </row>
    <row r="859" spans="1:6">
      <c r="A859" s="12">
        <v>45695</v>
      </c>
      <c r="B859" s="14">
        <v>3198.45</v>
      </c>
      <c r="C859" s="14">
        <v>1707.17</v>
      </c>
      <c r="D859" s="14">
        <v>1240.4000000000001</v>
      </c>
      <c r="E859" s="14">
        <v>4870.5</v>
      </c>
      <c r="F859" s="14">
        <v>23559.95</v>
      </c>
    </row>
    <row r="860" spans="1:6">
      <c r="A860" s="12">
        <v>45698</v>
      </c>
      <c r="B860" s="14">
        <v>3137.25</v>
      </c>
      <c r="C860" s="14">
        <v>1682.89</v>
      </c>
      <c r="D860" s="14">
        <v>1220.95</v>
      </c>
      <c r="E860" s="14">
        <v>4909.6499999999996</v>
      </c>
      <c r="F860" s="14">
        <v>23381.599999999999</v>
      </c>
    </row>
    <row r="861" spans="1:6">
      <c r="A861" s="12">
        <v>45699</v>
      </c>
      <c r="B861" s="14">
        <v>3085.95</v>
      </c>
      <c r="C861" s="14">
        <v>1619.35</v>
      </c>
      <c r="D861" s="14">
        <v>1209.8</v>
      </c>
      <c r="E861" s="14">
        <v>4904.05</v>
      </c>
      <c r="F861" s="14">
        <v>23071.8</v>
      </c>
    </row>
    <row r="862" spans="1:6">
      <c r="A862" s="12">
        <v>45700</v>
      </c>
      <c r="B862" s="14">
        <v>2987.2</v>
      </c>
      <c r="C862" s="14">
        <v>1600.88</v>
      </c>
      <c r="D862" s="14">
        <v>1215.8499999999999</v>
      </c>
      <c r="E862" s="14">
        <v>4918.3</v>
      </c>
      <c r="F862" s="14">
        <v>23045.25</v>
      </c>
    </row>
    <row r="863" spans="1:6">
      <c r="A863" s="12">
        <v>45701</v>
      </c>
      <c r="B863" s="14">
        <v>2978</v>
      </c>
      <c r="C863" s="14">
        <v>1575.09</v>
      </c>
      <c r="D863" s="14">
        <v>1223.5999999999999</v>
      </c>
      <c r="E863" s="14">
        <v>4888.7</v>
      </c>
      <c r="F863" s="14">
        <v>23031.4</v>
      </c>
    </row>
    <row r="864" spans="1:6">
      <c r="A864" s="12">
        <v>45702</v>
      </c>
      <c r="B864" s="14">
        <v>2942.6</v>
      </c>
      <c r="C864" s="14">
        <v>1558.67</v>
      </c>
      <c r="D864" s="14">
        <v>1197.05</v>
      </c>
      <c r="E864" s="14">
        <v>4939.6499999999996</v>
      </c>
      <c r="F864" s="14">
        <v>22929.25</v>
      </c>
    </row>
    <row r="865" spans="1:6">
      <c r="A865" s="12">
        <v>45705</v>
      </c>
      <c r="B865" s="14">
        <v>2831.95</v>
      </c>
      <c r="C865" s="14">
        <v>1536.79</v>
      </c>
      <c r="D865" s="14">
        <v>1198.95</v>
      </c>
      <c r="E865" s="14">
        <v>4963.7</v>
      </c>
      <c r="F865" s="14">
        <v>22959.5</v>
      </c>
    </row>
    <row r="866" spans="1:6">
      <c r="A866" s="12">
        <v>45706</v>
      </c>
      <c r="B866" s="14">
        <v>2790.05</v>
      </c>
      <c r="C866" s="14">
        <v>1538.45</v>
      </c>
      <c r="D866" s="14">
        <v>1197.4000000000001</v>
      </c>
      <c r="E866" s="14">
        <v>4891.2</v>
      </c>
      <c r="F866" s="14">
        <v>22945.3</v>
      </c>
    </row>
    <row r="867" spans="1:6">
      <c r="A867" s="12">
        <v>45707</v>
      </c>
      <c r="B867" s="14">
        <v>2757.4</v>
      </c>
      <c r="C867" s="14">
        <v>1554.93</v>
      </c>
      <c r="D867" s="14">
        <v>1165.8499999999999</v>
      </c>
      <c r="E867" s="14">
        <v>4837.5</v>
      </c>
      <c r="F867" s="14">
        <v>22932.9</v>
      </c>
    </row>
    <row r="868" spans="1:6">
      <c r="A868" s="12">
        <v>45708</v>
      </c>
      <c r="B868" s="14">
        <v>2839.45</v>
      </c>
      <c r="C868" s="14">
        <v>1558.67</v>
      </c>
      <c r="D868" s="14">
        <v>1170.95</v>
      </c>
      <c r="E868" s="14">
        <v>4832.3999999999996</v>
      </c>
      <c r="F868" s="14">
        <v>22913.15</v>
      </c>
    </row>
    <row r="869" spans="1:6">
      <c r="A869" s="12">
        <v>45709</v>
      </c>
      <c r="B869" s="14">
        <v>2669.35</v>
      </c>
      <c r="C869" s="14">
        <v>1499.24</v>
      </c>
      <c r="D869" s="14">
        <v>1151.8</v>
      </c>
      <c r="E869" s="14">
        <v>4831.8999999999996</v>
      </c>
      <c r="F869" s="14">
        <v>22795.9</v>
      </c>
    </row>
    <row r="870" spans="1:6">
      <c r="A870" s="12">
        <v>45712</v>
      </c>
      <c r="B870" s="14">
        <v>2709.2</v>
      </c>
      <c r="C870" s="14">
        <v>1525.68</v>
      </c>
      <c r="D870" s="14">
        <v>1164.55</v>
      </c>
      <c r="E870" s="14">
        <v>4804.3</v>
      </c>
      <c r="F870" s="14">
        <v>22553.35</v>
      </c>
    </row>
    <row r="871" spans="1:6">
      <c r="A871" s="12">
        <v>45713</v>
      </c>
      <c r="B871" s="14">
        <v>2777.85</v>
      </c>
      <c r="C871" s="14">
        <v>1526.75</v>
      </c>
      <c r="D871" s="14">
        <v>1128.1500000000001</v>
      </c>
      <c r="E871" s="14">
        <v>4798.05</v>
      </c>
      <c r="F871" s="14">
        <v>22547.55</v>
      </c>
    </row>
    <row r="872" spans="1:6">
      <c r="A872" s="12">
        <v>45715</v>
      </c>
      <c r="B872" s="14">
        <v>2726.55</v>
      </c>
      <c r="C872" s="14">
        <v>1497.8</v>
      </c>
      <c r="D872" s="14">
        <v>1125.55</v>
      </c>
      <c r="E872" s="14">
        <v>4782.8</v>
      </c>
      <c r="F872" s="14">
        <v>22545.05</v>
      </c>
    </row>
    <row r="873" spans="1:6">
      <c r="A873" s="12">
        <v>45716</v>
      </c>
      <c r="B873" s="14">
        <v>2585.1</v>
      </c>
      <c r="C873" s="14">
        <v>1472.43</v>
      </c>
      <c r="D873" s="14">
        <v>1116.5</v>
      </c>
      <c r="E873" s="14">
        <v>4595.45</v>
      </c>
      <c r="F873" s="14">
        <v>22124.7</v>
      </c>
    </row>
    <row r="874" spans="1:6">
      <c r="A874" s="12">
        <v>45719</v>
      </c>
      <c r="B874" s="14">
        <v>2611.9</v>
      </c>
      <c r="C874" s="14">
        <v>1471.41</v>
      </c>
      <c r="D874" s="14">
        <v>1119.5999999999999</v>
      </c>
      <c r="E874" s="14">
        <v>4596.6000000000004</v>
      </c>
      <c r="F874" s="14">
        <v>22119.3</v>
      </c>
    </row>
    <row r="875" spans="1:6">
      <c r="A875" s="12">
        <v>45720</v>
      </c>
      <c r="B875" s="14">
        <v>2613.35</v>
      </c>
      <c r="C875" s="14">
        <v>1442.48</v>
      </c>
      <c r="D875" s="14">
        <v>1120.1500000000001</v>
      </c>
      <c r="E875" s="14">
        <v>4575.2</v>
      </c>
      <c r="F875" s="14">
        <v>22082.65</v>
      </c>
    </row>
    <row r="876" spans="1:6">
      <c r="A876" s="12">
        <v>45721</v>
      </c>
      <c r="B876" s="14">
        <v>2726.6</v>
      </c>
      <c r="C876" s="14">
        <v>1562.84</v>
      </c>
      <c r="D876" s="14">
        <v>1126.4000000000001</v>
      </c>
      <c r="E876" s="14">
        <v>4722.1499999999996</v>
      </c>
      <c r="F876" s="14">
        <v>22337.3</v>
      </c>
    </row>
    <row r="877" spans="1:6">
      <c r="A877" s="12">
        <v>45722</v>
      </c>
      <c r="B877" s="14">
        <v>2742.4</v>
      </c>
      <c r="C877" s="14">
        <v>1525.03</v>
      </c>
      <c r="D877" s="14">
        <v>1140.0999999999999</v>
      </c>
      <c r="E877" s="14">
        <v>4702.55</v>
      </c>
      <c r="F877" s="14">
        <v>22544.7</v>
      </c>
    </row>
    <row r="878" spans="1:6">
      <c r="A878" s="12">
        <v>45723</v>
      </c>
      <c r="B878" s="14">
        <v>2727.85</v>
      </c>
      <c r="C878" s="14">
        <v>1541.45</v>
      </c>
      <c r="D878" s="14">
        <v>1133.25</v>
      </c>
      <c r="E878" s="14">
        <v>4748.25</v>
      </c>
      <c r="F878" s="14">
        <v>22552.5</v>
      </c>
    </row>
    <row r="879" spans="1:6">
      <c r="A879" s="12">
        <v>45726</v>
      </c>
      <c r="B879" s="14">
        <v>2702.6</v>
      </c>
      <c r="C879" s="14">
        <v>1506.91</v>
      </c>
      <c r="D879" s="14">
        <v>1120.2</v>
      </c>
      <c r="E879" s="14">
        <v>4737.7</v>
      </c>
      <c r="F879" s="14">
        <v>22460.3</v>
      </c>
    </row>
    <row r="880" spans="1:6">
      <c r="A880" s="12">
        <v>45727</v>
      </c>
      <c r="B880" s="14">
        <v>2645.6</v>
      </c>
      <c r="C880" s="14">
        <v>1526.42</v>
      </c>
      <c r="D880" s="14">
        <v>1116.6500000000001</v>
      </c>
      <c r="E880" s="14">
        <v>4762.05</v>
      </c>
      <c r="F880" s="14">
        <v>22497.9</v>
      </c>
    </row>
    <row r="881" spans="1:6">
      <c r="A881" s="12">
        <v>45728</v>
      </c>
      <c r="B881" s="14">
        <v>2653.3</v>
      </c>
      <c r="C881" s="14">
        <v>1480.06</v>
      </c>
      <c r="D881" s="14">
        <v>1105.1500000000001</v>
      </c>
      <c r="E881" s="14">
        <v>4792.05</v>
      </c>
      <c r="F881" s="14">
        <v>22470.5</v>
      </c>
    </row>
    <row r="882" spans="1:6">
      <c r="A882" s="12">
        <v>45729</v>
      </c>
      <c r="B882" s="14">
        <v>2643.5</v>
      </c>
      <c r="C882" s="14">
        <v>1458.45</v>
      </c>
      <c r="D882" s="14">
        <v>1107.95</v>
      </c>
      <c r="E882" s="14">
        <v>4728.25</v>
      </c>
      <c r="F882" s="14">
        <v>22397.200000000001</v>
      </c>
    </row>
    <row r="883" spans="1:6">
      <c r="A883" s="12">
        <v>45733</v>
      </c>
      <c r="B883" s="14">
        <v>2705.15</v>
      </c>
      <c r="C883" s="14">
        <v>1473.01</v>
      </c>
      <c r="D883" s="14">
        <v>1150.7</v>
      </c>
      <c r="E883" s="14">
        <v>4674.8999999999996</v>
      </c>
      <c r="F883" s="14">
        <v>22508.75</v>
      </c>
    </row>
    <row r="884" spans="1:6">
      <c r="A884" s="12">
        <v>45734</v>
      </c>
      <c r="B884" s="14">
        <v>2791.4</v>
      </c>
      <c r="C884" s="14">
        <v>1513.2</v>
      </c>
      <c r="D884" s="14">
        <v>1163.7</v>
      </c>
      <c r="E884" s="14">
        <v>4768.3</v>
      </c>
      <c r="F884" s="14">
        <v>22834.3</v>
      </c>
    </row>
    <row r="885" spans="1:6">
      <c r="A885" s="12">
        <v>45735</v>
      </c>
      <c r="B885" s="14">
        <v>2789.1</v>
      </c>
      <c r="C885" s="14">
        <v>1510.09</v>
      </c>
      <c r="D885" s="14">
        <v>1172.0999999999999</v>
      </c>
      <c r="E885" s="14">
        <v>4707.1000000000004</v>
      </c>
      <c r="F885" s="14">
        <v>22907.599999999999</v>
      </c>
    </row>
    <row r="886" spans="1:6">
      <c r="A886" s="12">
        <v>45736</v>
      </c>
      <c r="B886" s="14">
        <v>2828.1</v>
      </c>
      <c r="C886" s="14">
        <v>1515.66</v>
      </c>
      <c r="D886" s="14">
        <v>1187.2</v>
      </c>
      <c r="E886" s="14">
        <v>4831.1000000000004</v>
      </c>
      <c r="F886" s="14">
        <v>23190.65</v>
      </c>
    </row>
    <row r="887" spans="1:6">
      <c r="A887" s="12">
        <v>45737</v>
      </c>
      <c r="B887" s="14">
        <v>2801.85</v>
      </c>
      <c r="C887" s="14">
        <v>1549.36</v>
      </c>
      <c r="D887" s="14">
        <v>1200.1500000000001</v>
      </c>
      <c r="E887" s="14">
        <v>4814</v>
      </c>
      <c r="F887" s="14">
        <v>23350.400000000001</v>
      </c>
    </row>
    <row r="888" spans="1:6">
      <c r="A888" s="12">
        <v>45740</v>
      </c>
      <c r="B888" s="14">
        <v>2774.7</v>
      </c>
      <c r="C888" s="14">
        <v>1553.91</v>
      </c>
      <c r="D888" s="14">
        <v>1210.3</v>
      </c>
      <c r="E888" s="14">
        <v>4796.8500000000004</v>
      </c>
      <c r="F888" s="14">
        <v>23658.35</v>
      </c>
    </row>
    <row r="889" spans="1:6">
      <c r="A889" s="12">
        <v>45741</v>
      </c>
      <c r="B889" s="14">
        <v>2736</v>
      </c>
      <c r="C889" s="14">
        <v>1591.64</v>
      </c>
      <c r="D889" s="14">
        <v>1177.9000000000001</v>
      </c>
      <c r="E889" s="14">
        <v>4845.2</v>
      </c>
      <c r="F889" s="14">
        <v>23668.65</v>
      </c>
    </row>
    <row r="890" spans="1:6">
      <c r="A890" s="12">
        <v>45742</v>
      </c>
      <c r="B890" s="14">
        <v>2742.25</v>
      </c>
      <c r="C890" s="14">
        <v>1605.44</v>
      </c>
      <c r="D890" s="14">
        <v>1164.5999999999999</v>
      </c>
      <c r="E890" s="14">
        <v>4849.7</v>
      </c>
      <c r="F890" s="14">
        <v>23486.85</v>
      </c>
    </row>
    <row r="891" spans="1:6">
      <c r="A891" s="12">
        <v>45743</v>
      </c>
      <c r="B891" s="14">
        <v>2733</v>
      </c>
      <c r="C891" s="14">
        <v>1621.52</v>
      </c>
      <c r="D891" s="14">
        <v>1162.2</v>
      </c>
      <c r="E891" s="14">
        <v>4841.2</v>
      </c>
      <c r="F891" s="14">
        <v>23591.95</v>
      </c>
    </row>
    <row r="892" spans="1:6">
      <c r="A892" s="12">
        <v>45744</v>
      </c>
      <c r="B892" s="14">
        <v>2665.8</v>
      </c>
      <c r="C892" s="14">
        <v>1621.84</v>
      </c>
      <c r="D892" s="14">
        <v>1144.2</v>
      </c>
      <c r="E892" s="14">
        <v>4936.8999999999996</v>
      </c>
      <c r="F892" s="14">
        <v>23519.35</v>
      </c>
    </row>
    <row r="893" spans="1:6">
      <c r="A893" s="12">
        <v>45748</v>
      </c>
      <c r="B893" s="14">
        <v>2637.9</v>
      </c>
      <c r="C893" s="14">
        <v>1556.16</v>
      </c>
      <c r="D893" s="14">
        <v>1152.2</v>
      </c>
      <c r="E893" s="14">
        <v>4900.8</v>
      </c>
      <c r="F893" s="14">
        <v>23165.7</v>
      </c>
    </row>
    <row r="894" spans="1:6">
      <c r="A894" s="12">
        <v>45749</v>
      </c>
      <c r="B894" s="14">
        <v>2637.55</v>
      </c>
      <c r="C894" s="14">
        <v>1552.31</v>
      </c>
      <c r="D894" s="14">
        <v>1150</v>
      </c>
      <c r="E894" s="14">
        <v>5037.3999999999996</v>
      </c>
      <c r="F894" s="14">
        <v>23332.35</v>
      </c>
    </row>
    <row r="895" spans="1:6">
      <c r="A895" s="12">
        <v>45750</v>
      </c>
      <c r="B895" s="14">
        <v>2611.4499999999998</v>
      </c>
      <c r="C895" s="14">
        <v>1431.48</v>
      </c>
      <c r="D895" s="14">
        <v>1151.45</v>
      </c>
      <c r="E895" s="14">
        <v>5073.45</v>
      </c>
      <c r="F895" s="14">
        <v>23250.1</v>
      </c>
    </row>
    <row r="896" spans="1:6">
      <c r="A896" s="12">
        <v>45751</v>
      </c>
      <c r="B896" s="14">
        <v>2596.5500000000002</v>
      </c>
      <c r="C896" s="14">
        <v>1321.58</v>
      </c>
      <c r="D896" s="14">
        <v>1109.95</v>
      </c>
      <c r="E896" s="14">
        <v>5023.3999999999996</v>
      </c>
      <c r="F896" s="14">
        <v>22904.45</v>
      </c>
    </row>
    <row r="897" spans="1:6">
      <c r="A897" s="12">
        <v>45754</v>
      </c>
      <c r="B897" s="14">
        <v>2491.25</v>
      </c>
      <c r="C897" s="14">
        <v>1268.1400000000001</v>
      </c>
      <c r="D897" s="14">
        <v>1087.9000000000001</v>
      </c>
      <c r="E897" s="14">
        <v>5055.8500000000004</v>
      </c>
      <c r="F897" s="14">
        <v>22161.599999999999</v>
      </c>
    </row>
    <row r="898" spans="1:6">
      <c r="A898" s="12">
        <v>45755</v>
      </c>
      <c r="B898" s="14">
        <v>2523.65</v>
      </c>
      <c r="C898" s="14">
        <v>1294.52</v>
      </c>
      <c r="D898" s="14">
        <v>1107.95</v>
      </c>
      <c r="E898" s="14">
        <v>5179.3500000000004</v>
      </c>
      <c r="F898" s="14">
        <v>22535.85</v>
      </c>
    </row>
    <row r="899" spans="1:6">
      <c r="A899" s="12">
        <v>45756</v>
      </c>
      <c r="B899" s="14">
        <v>2523.1</v>
      </c>
      <c r="C899" s="14">
        <v>1264.73</v>
      </c>
      <c r="D899" s="14">
        <v>1094.05</v>
      </c>
      <c r="E899" s="14">
        <v>5339.45</v>
      </c>
      <c r="F899" s="14">
        <v>22399.15</v>
      </c>
    </row>
    <row r="900" spans="1:6">
      <c r="A900" s="12">
        <v>45758</v>
      </c>
      <c r="B900" s="14">
        <v>2580.35</v>
      </c>
      <c r="C900" s="14">
        <v>1263.33</v>
      </c>
      <c r="D900" s="14">
        <v>1109.5</v>
      </c>
      <c r="E900" s="14">
        <v>5350.2</v>
      </c>
      <c r="F900" s="14">
        <v>22828.55</v>
      </c>
    </row>
    <row r="901" spans="1:6">
      <c r="A901" s="12">
        <v>45762</v>
      </c>
      <c r="B901" s="14">
        <v>2646</v>
      </c>
      <c r="C901" s="14">
        <v>1293.2</v>
      </c>
      <c r="D901" s="14">
        <v>1154.9000000000001</v>
      </c>
      <c r="E901" s="14">
        <v>5391.3</v>
      </c>
      <c r="F901" s="14">
        <v>23328.55</v>
      </c>
    </row>
    <row r="902" spans="1:6">
      <c r="A902" s="12">
        <v>45763</v>
      </c>
      <c r="B902" s="14">
        <v>2634.6</v>
      </c>
      <c r="C902" s="14">
        <v>1281.5999999999999</v>
      </c>
      <c r="D902" s="14">
        <v>1158.4000000000001</v>
      </c>
      <c r="E902" s="14">
        <v>5416.2</v>
      </c>
      <c r="F902" s="14">
        <v>23437.200000000001</v>
      </c>
    </row>
    <row r="903" spans="1:6">
      <c r="A903" s="12">
        <v>45764</v>
      </c>
      <c r="B903" s="14">
        <v>2679.4</v>
      </c>
      <c r="C903" s="14">
        <v>1320</v>
      </c>
      <c r="D903" s="14">
        <v>1163.5999999999999</v>
      </c>
      <c r="E903" s="14">
        <v>5454.6</v>
      </c>
      <c r="F903" s="14">
        <v>23851.65</v>
      </c>
    </row>
    <row r="904" spans="1:6">
      <c r="A904" s="12">
        <v>45768</v>
      </c>
      <c r="B904" s="14">
        <v>2764</v>
      </c>
      <c r="C904" s="14">
        <v>1387.6</v>
      </c>
      <c r="D904" s="14">
        <v>1177.4000000000001</v>
      </c>
      <c r="E904" s="14">
        <v>5393.2</v>
      </c>
      <c r="F904" s="14">
        <v>24125.55</v>
      </c>
    </row>
    <row r="905" spans="1:6">
      <c r="A905" s="12">
        <v>45769</v>
      </c>
      <c r="B905" s="14">
        <v>2817.1</v>
      </c>
      <c r="C905" s="14">
        <v>1391.2</v>
      </c>
      <c r="D905" s="14">
        <v>1175</v>
      </c>
      <c r="E905" s="14">
        <v>5435.5</v>
      </c>
      <c r="F905" s="14">
        <v>24167.25</v>
      </c>
    </row>
    <row r="906" spans="1:6">
      <c r="A906" s="12">
        <v>45770</v>
      </c>
      <c r="B906" s="14">
        <v>2917.8</v>
      </c>
      <c r="C906" s="14">
        <v>1478.4</v>
      </c>
      <c r="D906" s="14">
        <v>1186</v>
      </c>
      <c r="E906" s="14">
        <v>5544.3</v>
      </c>
      <c r="F906" s="14">
        <v>24328.95</v>
      </c>
    </row>
    <row r="907" spans="1:6">
      <c r="A907" s="12">
        <v>45771</v>
      </c>
      <c r="B907" s="14">
        <v>2901.4</v>
      </c>
      <c r="C907" s="14">
        <v>1450.2</v>
      </c>
      <c r="D907" s="14">
        <v>1200.5</v>
      </c>
      <c r="E907" s="14">
        <v>5461.9</v>
      </c>
      <c r="F907" s="14">
        <v>24246.7</v>
      </c>
    </row>
    <row r="908" spans="1:6">
      <c r="A908" s="12">
        <v>45772</v>
      </c>
      <c r="B908" s="14">
        <v>2864.2</v>
      </c>
      <c r="C908" s="14">
        <v>1478</v>
      </c>
      <c r="D908" s="14">
        <v>1174.8</v>
      </c>
      <c r="E908" s="14">
        <v>5420.5</v>
      </c>
      <c r="F908" s="14">
        <v>24039.35</v>
      </c>
    </row>
    <row r="909" spans="1:6">
      <c r="A909" s="12">
        <v>45775</v>
      </c>
      <c r="B909" s="14">
        <v>2930.6</v>
      </c>
      <c r="C909" s="14">
        <v>1475.5</v>
      </c>
      <c r="D909" s="14">
        <v>1198.7</v>
      </c>
      <c r="E909" s="14">
        <v>5428.8</v>
      </c>
      <c r="F909" s="14">
        <v>24328.5</v>
      </c>
    </row>
    <row r="910" spans="1:6">
      <c r="A910" s="12">
        <v>45776</v>
      </c>
      <c r="B910" s="14">
        <v>2909.6</v>
      </c>
      <c r="C910" s="14">
        <v>1497</v>
      </c>
      <c r="D910" s="14">
        <v>1176</v>
      </c>
      <c r="E910" s="14">
        <v>5468.3</v>
      </c>
      <c r="F910" s="14">
        <v>24335.95</v>
      </c>
    </row>
    <row r="911" spans="1:6">
      <c r="A911" s="12">
        <v>45777</v>
      </c>
      <c r="B911" s="14">
        <v>2928.8</v>
      </c>
      <c r="C911" s="14">
        <v>1461</v>
      </c>
      <c r="D911" s="14">
        <v>1183.9000000000001</v>
      </c>
      <c r="E911" s="14">
        <v>5438.9</v>
      </c>
      <c r="F911" s="14">
        <v>24334.2</v>
      </c>
    </row>
    <row r="912" spans="1:6">
      <c r="A912" s="12">
        <v>45779</v>
      </c>
      <c r="B912" s="14">
        <v>2926.2</v>
      </c>
      <c r="C912" s="14">
        <v>1476.4</v>
      </c>
      <c r="D912" s="14">
        <v>1182.9000000000001</v>
      </c>
      <c r="E912" s="14">
        <v>5307.5</v>
      </c>
      <c r="F912" s="14">
        <v>24346.7</v>
      </c>
    </row>
    <row r="913" spans="1:6">
      <c r="A913" s="12">
        <v>45782</v>
      </c>
      <c r="B913" s="14">
        <v>3021.5</v>
      </c>
      <c r="C913" s="14">
        <v>1499.3</v>
      </c>
      <c r="D913" s="14">
        <v>1171.3</v>
      </c>
      <c r="E913" s="14">
        <v>5359</v>
      </c>
      <c r="F913" s="14">
        <v>24461.15</v>
      </c>
    </row>
    <row r="914" spans="1:6">
      <c r="A914" s="12">
        <v>45783</v>
      </c>
      <c r="B914" s="14">
        <v>3068.4</v>
      </c>
      <c r="C914" s="14">
        <v>1485.2</v>
      </c>
      <c r="D914" s="14">
        <v>1160.4000000000001</v>
      </c>
      <c r="E914" s="14">
        <v>5393.5</v>
      </c>
      <c r="F914" s="14">
        <v>24379.599999999999</v>
      </c>
    </row>
    <row r="915" spans="1:6">
      <c r="A915" s="12">
        <v>45784</v>
      </c>
      <c r="B915" s="14">
        <v>3119.9</v>
      </c>
      <c r="C915" s="14">
        <v>1520</v>
      </c>
      <c r="D915" s="14">
        <v>1160.7</v>
      </c>
      <c r="E915" s="14">
        <v>5351</v>
      </c>
      <c r="F915" s="14">
        <v>24414.400000000001</v>
      </c>
    </row>
    <row r="916" spans="1:6">
      <c r="A916" s="12">
        <v>45785</v>
      </c>
      <c r="B916" s="14">
        <v>3033.1</v>
      </c>
      <c r="C916" s="14">
        <v>1550.9</v>
      </c>
      <c r="D916" s="14">
        <v>1148</v>
      </c>
      <c r="E916" s="14">
        <v>5391</v>
      </c>
      <c r="F916" s="14">
        <v>24273.8</v>
      </c>
    </row>
    <row r="917" spans="1:6">
      <c r="A917" s="12">
        <v>45786</v>
      </c>
      <c r="B917" s="14">
        <v>2982.1</v>
      </c>
      <c r="C917" s="14">
        <v>1536.2</v>
      </c>
      <c r="D917" s="14">
        <v>1155.9000000000001</v>
      </c>
      <c r="E917" s="14">
        <v>5436</v>
      </c>
      <c r="F917" s="14">
        <v>24008</v>
      </c>
    </row>
    <row r="918" spans="1:6">
      <c r="A918" s="12">
        <v>45789</v>
      </c>
      <c r="B918" s="14">
        <v>3104.7</v>
      </c>
      <c r="C918" s="14">
        <v>1662.3</v>
      </c>
      <c r="D918" s="14">
        <v>1195.5999999999999</v>
      </c>
      <c r="E918" s="14">
        <v>5608.5</v>
      </c>
      <c r="F918" s="14">
        <v>24924.7</v>
      </c>
    </row>
    <row r="919" spans="1:6">
      <c r="A919" s="12">
        <v>45790</v>
      </c>
      <c r="B919" s="14">
        <v>3053.8</v>
      </c>
      <c r="C919" s="14">
        <v>1653.3</v>
      </c>
      <c r="D919" s="14">
        <v>1207.0999999999999</v>
      </c>
      <c r="E919" s="14">
        <v>5485</v>
      </c>
      <c r="F919" s="14">
        <v>24578.35</v>
      </c>
    </row>
    <row r="920" spans="1:6">
      <c r="A920" s="12">
        <v>45791</v>
      </c>
      <c r="B920" s="14">
        <v>3101.8</v>
      </c>
      <c r="C920" s="14">
        <v>1692.7</v>
      </c>
      <c r="D920" s="14">
        <v>1220</v>
      </c>
      <c r="E920" s="14">
        <v>5484</v>
      </c>
      <c r="F920" s="14">
        <v>24666.9</v>
      </c>
    </row>
    <row r="921" spans="1:6">
      <c r="A921" s="12">
        <v>45792</v>
      </c>
      <c r="B921" s="14">
        <v>3144.3</v>
      </c>
      <c r="C921" s="14">
        <v>1692.2</v>
      </c>
      <c r="D921" s="14">
        <v>1236.3</v>
      </c>
      <c r="E921" s="14">
        <v>5465</v>
      </c>
      <c r="F921" s="14">
        <v>25062.1</v>
      </c>
    </row>
    <row r="922" spans="1:6">
      <c r="A922" s="12">
        <v>45793</v>
      </c>
      <c r="B922" s="14">
        <v>3135.6</v>
      </c>
      <c r="C922" s="14">
        <v>1685.2</v>
      </c>
      <c r="D922" s="14">
        <v>1230.7</v>
      </c>
      <c r="E922" s="14">
        <v>5501.5</v>
      </c>
      <c r="F922" s="14">
        <v>25019.8</v>
      </c>
    </row>
    <row r="923" spans="1:6">
      <c r="A923" s="12">
        <v>45796</v>
      </c>
      <c r="B923" s="14">
        <v>3128</v>
      </c>
      <c r="C923" s="14">
        <v>1655.1</v>
      </c>
      <c r="D923" s="14">
        <v>1219</v>
      </c>
      <c r="E923" s="14">
        <v>5519.5</v>
      </c>
      <c r="F923" s="14">
        <v>24945.45</v>
      </c>
    </row>
    <row r="924" spans="1:6">
      <c r="A924" s="12">
        <v>45797</v>
      </c>
      <c r="B924" s="14">
        <v>3063.5</v>
      </c>
      <c r="C924" s="14">
        <v>1641.1</v>
      </c>
      <c r="D924" s="14">
        <v>1224.2</v>
      </c>
      <c r="E924" s="14">
        <v>5428</v>
      </c>
      <c r="F924" s="14">
        <v>24683.9</v>
      </c>
    </row>
    <row r="925" spans="1:6">
      <c r="A925" s="12">
        <v>45798</v>
      </c>
      <c r="B925" s="14">
        <v>3090.7</v>
      </c>
      <c r="C925" s="14">
        <v>1653.2</v>
      </c>
      <c r="D925" s="14">
        <v>1224.7</v>
      </c>
      <c r="E925" s="14">
        <v>5493.5</v>
      </c>
      <c r="F925" s="14">
        <v>24813.45</v>
      </c>
    </row>
    <row r="926" spans="1:6">
      <c r="A926" s="12">
        <v>45799</v>
      </c>
      <c r="B926" s="14">
        <v>3006.3</v>
      </c>
      <c r="C926" s="14">
        <v>1652.4</v>
      </c>
      <c r="D926" s="14">
        <v>1222.2</v>
      </c>
      <c r="E926" s="14">
        <v>5437.5</v>
      </c>
      <c r="F926" s="14">
        <v>24609.7</v>
      </c>
    </row>
    <row r="927" spans="1:6">
      <c r="A927" s="12">
        <v>45800</v>
      </c>
      <c r="B927" s="14">
        <v>3012.7</v>
      </c>
      <c r="C927" s="14">
        <v>1664.3</v>
      </c>
      <c r="D927" s="14">
        <v>1230.0999999999999</v>
      </c>
      <c r="E927" s="14">
        <v>5486.5</v>
      </c>
      <c r="F927" s="14">
        <v>24853.15</v>
      </c>
    </row>
    <row r="928" spans="1:6">
      <c r="A928" s="12">
        <v>45803</v>
      </c>
      <c r="B928" s="14">
        <v>3080.2</v>
      </c>
      <c r="C928" s="14">
        <v>1691.1</v>
      </c>
      <c r="D928" s="14">
        <v>1240.9000000000001</v>
      </c>
      <c r="E928" s="14">
        <v>5525</v>
      </c>
      <c r="F928" s="14">
        <v>25001.15</v>
      </c>
    </row>
    <row r="929" spans="1:6">
      <c r="A929" s="12">
        <v>45804</v>
      </c>
      <c r="B929" s="14">
        <v>3039.8</v>
      </c>
      <c r="C929" s="14">
        <v>1691.9</v>
      </c>
      <c r="D929" s="14">
        <v>1243.2</v>
      </c>
      <c r="E929" s="14">
        <v>5496.5</v>
      </c>
      <c r="F929" s="14">
        <v>24826.2</v>
      </c>
    </row>
    <row r="930" spans="1:6">
      <c r="A930" s="12">
        <v>45805</v>
      </c>
      <c r="B930" s="14">
        <v>2997.8</v>
      </c>
      <c r="C930" s="14">
        <v>1693.4</v>
      </c>
      <c r="D930" s="14">
        <v>1242.5999999999999</v>
      </c>
      <c r="E930" s="14">
        <v>5473</v>
      </c>
      <c r="F930" s="14">
        <v>24752.45</v>
      </c>
    </row>
    <row r="931" spans="1:6">
      <c r="A931" s="12">
        <v>45806</v>
      </c>
      <c r="B931" s="14">
        <v>3009</v>
      </c>
      <c r="C931" s="14">
        <v>1726.1</v>
      </c>
      <c r="D931" s="14">
        <v>1248.2</v>
      </c>
      <c r="E931" s="14">
        <v>5495.5</v>
      </c>
      <c r="F931" s="14">
        <v>24833.599999999999</v>
      </c>
    </row>
    <row r="932" spans="1:6">
      <c r="A932" s="12">
        <v>45807</v>
      </c>
      <c r="B932" s="14">
        <v>2976.8</v>
      </c>
      <c r="C932" s="14">
        <v>1710.1</v>
      </c>
      <c r="D932" s="14">
        <v>1251.2</v>
      </c>
      <c r="E932" s="14">
        <v>5510.5</v>
      </c>
      <c r="F932" s="14">
        <v>24750.7</v>
      </c>
    </row>
    <row r="933" spans="1:6">
      <c r="A933" s="12">
        <v>45810</v>
      </c>
      <c r="B933" s="14">
        <v>3025.9</v>
      </c>
      <c r="C933" s="14">
        <v>1717.1</v>
      </c>
      <c r="D933" s="14">
        <v>1247.7</v>
      </c>
      <c r="E933" s="14">
        <v>5605</v>
      </c>
      <c r="F933" s="14">
        <v>24716.6</v>
      </c>
    </row>
    <row r="934" spans="1:6">
      <c r="A934" s="12">
        <v>45811</v>
      </c>
      <c r="B934" s="14">
        <v>3046.5</v>
      </c>
      <c r="C934" s="14">
        <v>1699.8</v>
      </c>
      <c r="D934" s="14">
        <v>1248.3</v>
      </c>
      <c r="E934" s="14">
        <v>5575.5</v>
      </c>
      <c r="F934" s="14">
        <v>24542.5</v>
      </c>
    </row>
    <row r="935" spans="1:6">
      <c r="A935" s="12">
        <v>45812</v>
      </c>
      <c r="B935" s="14">
        <v>3053.4</v>
      </c>
      <c r="C935" s="14">
        <v>1724.5</v>
      </c>
      <c r="D935" s="14">
        <v>1251.9000000000001</v>
      </c>
      <c r="E935" s="14">
        <v>5542</v>
      </c>
      <c r="F935" s="14">
        <v>24620.2</v>
      </c>
    </row>
    <row r="936" spans="1:6">
      <c r="A936" s="12">
        <v>45813</v>
      </c>
      <c r="B936" s="14">
        <v>3041.6</v>
      </c>
      <c r="C936" s="14">
        <v>1766</v>
      </c>
      <c r="D936" s="14">
        <v>1290.5999999999999</v>
      </c>
      <c r="E936" s="14">
        <v>5600</v>
      </c>
      <c r="F936" s="14">
        <v>24750.9</v>
      </c>
    </row>
    <row r="937" spans="1:6">
      <c r="A937" s="12">
        <v>45814</v>
      </c>
      <c r="B937" s="14">
        <v>3106.5</v>
      </c>
      <c r="C937" s="14">
        <v>1775.5</v>
      </c>
      <c r="D937" s="14">
        <v>1320.9</v>
      </c>
      <c r="E937" s="14">
        <v>5607.5</v>
      </c>
      <c r="F937" s="14">
        <v>25003.05</v>
      </c>
    </row>
    <row r="938" spans="1:6">
      <c r="A938" s="12">
        <v>45817</v>
      </c>
      <c r="B938" s="14">
        <v>3087.4</v>
      </c>
      <c r="C938" s="14">
        <v>1794</v>
      </c>
      <c r="D938" s="14">
        <v>1319.1</v>
      </c>
      <c r="E938" s="14">
        <v>5697</v>
      </c>
      <c r="F938" s="14">
        <v>25103.200000000001</v>
      </c>
    </row>
    <row r="939" spans="1:6">
      <c r="A939" s="12">
        <v>45818</v>
      </c>
      <c r="B939" s="14">
        <v>3067.5</v>
      </c>
      <c r="C939" s="14">
        <v>1830.5</v>
      </c>
      <c r="D939" s="14">
        <v>1348.8</v>
      </c>
      <c r="E939" s="14">
        <v>5667</v>
      </c>
      <c r="F939" s="14">
        <v>25104.25</v>
      </c>
    </row>
    <row r="940" spans="1:6">
      <c r="A940" s="12">
        <v>45819</v>
      </c>
      <c r="B940" s="14">
        <v>3080.7</v>
      </c>
      <c r="C940" s="14">
        <v>1816.5</v>
      </c>
      <c r="D940" s="14">
        <v>1351.1</v>
      </c>
      <c r="E940" s="14">
        <v>5650</v>
      </c>
      <c r="F940" s="14">
        <v>25141.4</v>
      </c>
    </row>
    <row r="941" spans="1:6">
      <c r="A941" s="12">
        <v>45820</v>
      </c>
      <c r="B941" s="14">
        <v>3019.2</v>
      </c>
      <c r="C941" s="14">
        <v>1784.5</v>
      </c>
      <c r="D941" s="14">
        <v>1362.7</v>
      </c>
      <c r="E941" s="14">
        <v>5569.5</v>
      </c>
      <c r="F941" s="14">
        <v>24888.2</v>
      </c>
    </row>
    <row r="942" spans="1:6">
      <c r="A942" s="12">
        <v>45821</v>
      </c>
      <c r="B942" s="14">
        <v>3006</v>
      </c>
      <c r="C942" s="14">
        <v>1792.5</v>
      </c>
      <c r="D942" s="14">
        <v>1362.5</v>
      </c>
      <c r="E942" s="14">
        <v>5570</v>
      </c>
      <c r="F942" s="14">
        <v>24718.6</v>
      </c>
    </row>
    <row r="943" spans="1:6">
      <c r="A943" s="12">
        <v>45824</v>
      </c>
      <c r="B943" s="14">
        <v>3023.6</v>
      </c>
      <c r="C943" s="14">
        <v>1829.5</v>
      </c>
      <c r="D943" s="14">
        <v>1346.8</v>
      </c>
      <c r="E943" s="14">
        <v>5560.5</v>
      </c>
      <c r="F943" s="14">
        <v>24946.5</v>
      </c>
    </row>
    <row r="944" spans="1:6">
      <c r="A944" s="12">
        <v>45825</v>
      </c>
      <c r="B944" s="14">
        <v>3007.2</v>
      </c>
      <c r="C944" s="14">
        <v>1840.5</v>
      </c>
      <c r="D944" s="14">
        <v>1318.8</v>
      </c>
      <c r="E944" s="14">
        <v>5568.5</v>
      </c>
      <c r="F944" s="14">
        <v>24853.4</v>
      </c>
    </row>
    <row r="945" spans="1:6">
      <c r="A945" s="12">
        <v>45826</v>
      </c>
      <c r="B945" s="14">
        <v>3041.1</v>
      </c>
      <c r="C945" s="14">
        <v>1833.5</v>
      </c>
      <c r="D945" s="14">
        <v>1313.3</v>
      </c>
      <c r="E945" s="14">
        <v>5572.5</v>
      </c>
      <c r="F945" s="14">
        <v>24812.05</v>
      </c>
    </row>
    <row r="946" spans="1:6">
      <c r="A946" s="12">
        <v>45827</v>
      </c>
      <c r="B946" s="14">
        <v>3094.8</v>
      </c>
      <c r="C946" s="14">
        <v>1794</v>
      </c>
      <c r="D946" s="14">
        <v>1326.1</v>
      </c>
      <c r="E946" s="14">
        <v>5558</v>
      </c>
      <c r="F946" s="14">
        <v>24793.25</v>
      </c>
    </row>
    <row r="947" spans="1:6">
      <c r="A947" s="12">
        <v>45828</v>
      </c>
      <c r="B947" s="14">
        <v>3184.4</v>
      </c>
      <c r="C947" s="14">
        <v>1832</v>
      </c>
      <c r="D947" s="14">
        <v>1325.3</v>
      </c>
      <c r="E947" s="14">
        <v>5587</v>
      </c>
      <c r="F947" s="14">
        <v>25112.400000000001</v>
      </c>
    </row>
    <row r="948" spans="1:6">
      <c r="A948" s="12">
        <v>45831</v>
      </c>
      <c r="B948" s="14">
        <v>3135</v>
      </c>
      <c r="C948" s="14">
        <v>1831</v>
      </c>
      <c r="D948" s="14">
        <v>1317.9</v>
      </c>
      <c r="E948" s="14">
        <v>5569.5</v>
      </c>
      <c r="F948" s="14">
        <v>24971.9</v>
      </c>
    </row>
    <row r="949" spans="1:6">
      <c r="A949" s="12">
        <v>45832</v>
      </c>
      <c r="B949" s="14">
        <v>3150.1</v>
      </c>
      <c r="C949" s="14">
        <v>1862</v>
      </c>
      <c r="D949" s="14">
        <v>1337.3</v>
      </c>
      <c r="E949" s="14">
        <v>5617</v>
      </c>
      <c r="F949" s="14">
        <v>25044.35</v>
      </c>
    </row>
    <row r="950" spans="1:6">
      <c r="A950" s="12">
        <v>45833</v>
      </c>
      <c r="B950" s="14">
        <v>3215.5</v>
      </c>
      <c r="C950" s="14">
        <v>1880</v>
      </c>
      <c r="D950" s="14">
        <v>1341.6</v>
      </c>
      <c r="E950" s="14">
        <v>5708</v>
      </c>
      <c r="F950" s="14">
        <v>25244.75</v>
      </c>
    </row>
    <row r="951" spans="1:6">
      <c r="A951" s="12">
        <v>45834</v>
      </c>
      <c r="B951" s="14">
        <v>3215.8</v>
      </c>
      <c r="C951" s="14">
        <v>1888</v>
      </c>
      <c r="D951" s="14">
        <v>1321.5</v>
      </c>
      <c r="E951" s="14">
        <v>5828</v>
      </c>
      <c r="F951" s="14">
        <v>25549</v>
      </c>
    </row>
    <row r="952" spans="1:6">
      <c r="A952" s="12">
        <v>45835</v>
      </c>
      <c r="B952" s="14">
        <v>3203.3</v>
      </c>
      <c r="C952" s="14">
        <v>1899.5</v>
      </c>
      <c r="D952" s="14">
        <v>1301</v>
      </c>
      <c r="E952" s="14">
        <v>5794.5</v>
      </c>
      <c r="F952" s="14">
        <v>25637.8</v>
      </c>
    </row>
    <row r="953" spans="1:6">
      <c r="A953" s="12">
        <v>45838</v>
      </c>
      <c r="B953" s="14">
        <v>3183.2</v>
      </c>
      <c r="C953" s="14">
        <v>1924.5</v>
      </c>
      <c r="D953" s="14">
        <v>1283.3</v>
      </c>
      <c r="E953" s="14">
        <v>5851</v>
      </c>
      <c r="F953" s="14">
        <v>25517.05</v>
      </c>
    </row>
    <row r="954" spans="1:6">
      <c r="A954" s="12">
        <v>45839</v>
      </c>
      <c r="B954" s="14">
        <v>3176.1</v>
      </c>
      <c r="C954" s="14">
        <v>1922.5</v>
      </c>
      <c r="D954" s="14">
        <v>1276.8</v>
      </c>
      <c r="E954" s="14">
        <v>5743.5</v>
      </c>
      <c r="F954" s="14">
        <v>25541.8</v>
      </c>
    </row>
    <row r="955" spans="1:6">
      <c r="A955" s="12">
        <v>45840</v>
      </c>
      <c r="B955" s="14">
        <v>3165.2</v>
      </c>
      <c r="C955" s="14">
        <v>1926.1</v>
      </c>
      <c r="D955" s="14">
        <v>1270.8</v>
      </c>
      <c r="E955" s="14">
        <v>5790</v>
      </c>
      <c r="F955" s="14">
        <v>25453.4</v>
      </c>
    </row>
    <row r="956" spans="1:6">
      <c r="A956" s="12">
        <v>45841</v>
      </c>
      <c r="B956" s="14">
        <v>3174.4</v>
      </c>
      <c r="C956" s="14">
        <v>1938.3</v>
      </c>
      <c r="D956" s="14">
        <v>1291.3</v>
      </c>
      <c r="E956" s="14">
        <v>5794.5</v>
      </c>
      <c r="F956" s="14">
        <v>25405.3</v>
      </c>
    </row>
    <row r="957" spans="1:6">
      <c r="A957" s="12">
        <v>45842</v>
      </c>
      <c r="B957" s="14">
        <v>3162.5</v>
      </c>
      <c r="C957" s="14">
        <v>1950.6</v>
      </c>
      <c r="D957" s="14">
        <v>1307.4000000000001</v>
      </c>
      <c r="E957" s="14">
        <v>5771.5</v>
      </c>
      <c r="F957" s="14">
        <v>25461</v>
      </c>
    </row>
    <row r="958" spans="1:6">
      <c r="A958" s="12">
        <v>45845</v>
      </c>
      <c r="B958" s="14">
        <v>3160.2</v>
      </c>
      <c r="C958" s="14">
        <v>1941.7</v>
      </c>
      <c r="D958" s="14">
        <v>1310.5</v>
      </c>
      <c r="E958" s="14">
        <v>5884</v>
      </c>
      <c r="F958" s="14">
        <v>25461.3</v>
      </c>
    </row>
    <row r="959" spans="1:6">
      <c r="A959" s="12">
        <v>45846</v>
      </c>
      <c r="B959" s="14">
        <v>3157.9</v>
      </c>
      <c r="C959" s="14">
        <v>1949.6</v>
      </c>
      <c r="D959" s="14">
        <v>1283.8</v>
      </c>
      <c r="E959" s="14">
        <v>5839</v>
      </c>
      <c r="F959" s="14">
        <v>25522.5</v>
      </c>
    </row>
    <row r="960" spans="1:6">
      <c r="A960" s="12">
        <v>45847</v>
      </c>
      <c r="B960" s="14">
        <v>3176.3</v>
      </c>
      <c r="C960" s="14">
        <v>1931.3</v>
      </c>
      <c r="D960" s="14">
        <v>1269.4000000000001</v>
      </c>
      <c r="E960" s="14">
        <v>5882</v>
      </c>
      <c r="F960" s="14">
        <v>25476.1</v>
      </c>
    </row>
    <row r="961" spans="1:6">
      <c r="A961" s="12">
        <v>45848</v>
      </c>
      <c r="B961" s="14">
        <v>3162.4</v>
      </c>
      <c r="C961" s="14">
        <v>1887.7</v>
      </c>
      <c r="D961" s="14">
        <v>1262.5999999999999</v>
      </c>
      <c r="E961" s="14">
        <v>5878</v>
      </c>
      <c r="F961" s="14">
        <v>25355.25</v>
      </c>
    </row>
    <row r="962" spans="1:6">
      <c r="A962" s="12">
        <v>45849</v>
      </c>
      <c r="B962" s="14">
        <v>3073.2</v>
      </c>
      <c r="C962" s="14">
        <v>1867.8</v>
      </c>
      <c r="D962" s="14">
        <v>1254.7</v>
      </c>
      <c r="E962" s="14">
        <v>5758.5</v>
      </c>
      <c r="F962" s="14">
        <v>25149.85</v>
      </c>
    </row>
    <row r="963" spans="1:6">
      <c r="A963" s="12">
        <v>45852</v>
      </c>
      <c r="B963" s="14">
        <v>3092.1</v>
      </c>
      <c r="C963" s="14">
        <v>1875</v>
      </c>
      <c r="D963" s="14">
        <v>1250.5999999999999</v>
      </c>
      <c r="E963" s="14">
        <v>5778</v>
      </c>
      <c r="F963" s="14">
        <v>25082.3</v>
      </c>
    </row>
    <row r="964" spans="1:6">
      <c r="A964" s="12">
        <v>45853</v>
      </c>
      <c r="B964" s="14">
        <v>3128.6</v>
      </c>
      <c r="C964" s="14">
        <v>1893.9</v>
      </c>
      <c r="D964" s="14">
        <v>1260.9000000000001</v>
      </c>
      <c r="E964" s="14">
        <v>5785.5</v>
      </c>
      <c r="F964" s="14">
        <v>25195.8</v>
      </c>
    </row>
    <row r="965" spans="1:6">
      <c r="A965" s="12">
        <v>45854</v>
      </c>
      <c r="B965" s="14">
        <v>3196.5</v>
      </c>
      <c r="C965" s="14">
        <v>1882.4</v>
      </c>
      <c r="D965" s="14">
        <v>1259.4000000000001</v>
      </c>
      <c r="E965" s="14">
        <v>5786.5</v>
      </c>
      <c r="F965" s="14">
        <v>25212.05</v>
      </c>
    </row>
    <row r="966" spans="1:6">
      <c r="A966" s="12">
        <v>45855</v>
      </c>
      <c r="B966" s="14">
        <v>3195</v>
      </c>
      <c r="C966" s="14">
        <v>1865.3</v>
      </c>
      <c r="D966" s="14">
        <v>1263.0999999999999</v>
      </c>
      <c r="E966" s="14">
        <v>5807.5</v>
      </c>
      <c r="F966" s="14">
        <v>25111.45</v>
      </c>
    </row>
    <row r="967" spans="1:6">
      <c r="A967" s="12">
        <v>45856</v>
      </c>
      <c r="B967" s="14">
        <v>3192.4</v>
      </c>
      <c r="C967" s="14">
        <v>1859.3</v>
      </c>
      <c r="D967" s="14">
        <v>1257.5</v>
      </c>
      <c r="E967" s="14">
        <v>5735.5</v>
      </c>
      <c r="F967" s="14">
        <v>24968.400000000001</v>
      </c>
    </row>
    <row r="968" spans="1:6">
      <c r="A968" s="12">
        <v>45859</v>
      </c>
      <c r="B968" s="14">
        <v>3246.7</v>
      </c>
      <c r="C968" s="14">
        <v>1874.3</v>
      </c>
      <c r="D968" s="14">
        <v>1259.3</v>
      </c>
      <c r="E968" s="14">
        <v>5681.5</v>
      </c>
      <c r="F968" s="14">
        <v>25090.7</v>
      </c>
    </row>
    <row r="969" spans="1:6">
      <c r="A969" s="12">
        <v>45860</v>
      </c>
      <c r="B969" s="14">
        <v>3257.2</v>
      </c>
      <c r="C969" s="14">
        <v>1858.4</v>
      </c>
      <c r="D969" s="14">
        <v>1240</v>
      </c>
      <c r="E969" s="14">
        <v>5708.5</v>
      </c>
      <c r="F969" s="14">
        <v>25060.9</v>
      </c>
    </row>
    <row r="970" spans="1:6">
      <c r="A970" s="12">
        <v>45861</v>
      </c>
      <c r="B970" s="14">
        <v>3268.8</v>
      </c>
      <c r="C970" s="14">
        <v>1849.7</v>
      </c>
      <c r="D970" s="14">
        <v>1247.4000000000001</v>
      </c>
      <c r="E970" s="14">
        <v>5719.5</v>
      </c>
      <c r="F970" s="14">
        <v>25219.9</v>
      </c>
    </row>
    <row r="971" spans="1:6">
      <c r="A971" s="12">
        <v>45862</v>
      </c>
      <c r="B971" s="14">
        <v>3260.9</v>
      </c>
      <c r="C971" s="14">
        <v>1676</v>
      </c>
      <c r="D971" s="14">
        <v>1265.5</v>
      </c>
      <c r="E971" s="14">
        <v>5673</v>
      </c>
      <c r="F971" s="14">
        <v>25062.1</v>
      </c>
    </row>
    <row r="972" spans="1:6">
      <c r="A972" s="12">
        <v>45863</v>
      </c>
      <c r="B972" s="14">
        <v>3246.4</v>
      </c>
      <c r="C972" s="14">
        <v>1688.8</v>
      </c>
      <c r="D972" s="14">
        <v>1277.9000000000001</v>
      </c>
      <c r="E972" s="14">
        <v>5594</v>
      </c>
      <c r="F972" s="14">
        <v>24837</v>
      </c>
    </row>
    <row r="973" spans="1:6">
      <c r="A973" s="12">
        <v>45866</v>
      </c>
      <c r="B973" s="14">
        <v>3209.8</v>
      </c>
      <c r="C973" s="14">
        <v>1724.7</v>
      </c>
      <c r="D973" s="14">
        <v>1287.4000000000001</v>
      </c>
      <c r="E973" s="14">
        <v>5624.5</v>
      </c>
      <c r="F973" s="14">
        <v>24680.9</v>
      </c>
    </row>
    <row r="974" spans="1:6">
      <c r="A974" s="12">
        <v>45867</v>
      </c>
      <c r="B974" s="14">
        <v>3199.4</v>
      </c>
      <c r="C974" s="14">
        <v>1720.5</v>
      </c>
      <c r="D974" s="14">
        <v>1299.8</v>
      </c>
      <c r="E974" s="14">
        <v>5626</v>
      </c>
      <c r="F974" s="14">
        <v>24821.1</v>
      </c>
    </row>
    <row r="975" spans="1:6">
      <c r="A975" s="12">
        <v>45868</v>
      </c>
      <c r="B975" s="14">
        <v>3208.9</v>
      </c>
      <c r="C975" s="14">
        <v>1749.5</v>
      </c>
      <c r="D975" s="14">
        <v>1292.0999999999999</v>
      </c>
      <c r="E975" s="14">
        <v>5747</v>
      </c>
      <c r="F975" s="14">
        <v>24855.05</v>
      </c>
    </row>
    <row r="976" spans="1:6">
      <c r="A976" s="12">
        <v>45869</v>
      </c>
      <c r="B976" s="14">
        <v>3203.1</v>
      </c>
      <c r="C976" s="14">
        <v>1748.2</v>
      </c>
      <c r="D976" s="14">
        <v>1270.3</v>
      </c>
      <c r="E976" s="14">
        <v>5771</v>
      </c>
      <c r="F976" s="14">
        <v>24768.35</v>
      </c>
    </row>
    <row r="977" spans="1:6">
      <c r="A977" s="12">
        <v>45870</v>
      </c>
      <c r="B977" s="14">
        <v>3159.3</v>
      </c>
      <c r="C977" s="14">
        <v>1706.3</v>
      </c>
      <c r="D977" s="14">
        <v>1220.5999999999999</v>
      </c>
      <c r="E977" s="14">
        <v>5798</v>
      </c>
      <c r="F977" s="14">
        <v>24565.35</v>
      </c>
    </row>
    <row r="978" spans="1:6">
      <c r="A978" s="12">
        <v>45873</v>
      </c>
      <c r="B978" s="14">
        <v>3200.2</v>
      </c>
      <c r="C978" s="14">
        <v>1746.5</v>
      </c>
      <c r="D978" s="14">
        <v>1225</v>
      </c>
      <c r="E978" s="14">
        <v>5787</v>
      </c>
      <c r="F978" s="14">
        <v>24722.75</v>
      </c>
    </row>
    <row r="979" spans="1:6">
      <c r="A979" s="12">
        <v>45874</v>
      </c>
      <c r="B979" s="14">
        <v>3212.2</v>
      </c>
      <c r="C979" s="14">
        <v>1706.7</v>
      </c>
      <c r="D979" s="14">
        <v>1214.8</v>
      </c>
      <c r="E979" s="14">
        <v>5635.5</v>
      </c>
      <c r="F979" s="14">
        <v>24649.55</v>
      </c>
    </row>
    <row r="980" spans="1:6">
      <c r="A980" s="12">
        <v>45875</v>
      </c>
      <c r="B980" s="14">
        <v>3227.5</v>
      </c>
      <c r="C980" s="14">
        <v>1638.3</v>
      </c>
      <c r="D980" s="14">
        <v>1196.7</v>
      </c>
      <c r="E980" s="14">
        <v>5402.5</v>
      </c>
      <c r="F980" s="14">
        <v>24574.2</v>
      </c>
    </row>
    <row r="981" spans="1:6">
      <c r="A981" s="12">
        <v>45876</v>
      </c>
      <c r="B981" s="14">
        <v>3211.1</v>
      </c>
      <c r="C981" s="14">
        <v>1704.1</v>
      </c>
      <c r="D981" s="14">
        <v>1200.8</v>
      </c>
      <c r="E981" s="14">
        <v>5476.5</v>
      </c>
      <c r="F981" s="14">
        <v>24596.15</v>
      </c>
    </row>
    <row r="982" spans="1:6">
      <c r="A982" s="12">
        <v>45877</v>
      </c>
      <c r="B982" s="14">
        <v>3144.2</v>
      </c>
      <c r="C982" s="14">
        <v>1606.8</v>
      </c>
      <c r="D982" s="14">
        <v>1211.4000000000001</v>
      </c>
      <c r="E982" s="14">
        <v>5387</v>
      </c>
      <c r="F982" s="14">
        <v>24363.3</v>
      </c>
    </row>
    <row r="983" spans="1:6">
      <c r="A983" s="12">
        <v>45880</v>
      </c>
      <c r="B983" s="14">
        <v>3186.2</v>
      </c>
      <c r="C983" s="14">
        <v>1613.9</v>
      </c>
      <c r="D983" s="14">
        <v>1219.5</v>
      </c>
      <c r="E983" s="14">
        <v>5381.5</v>
      </c>
      <c r="F983" s="14">
        <v>24585.05</v>
      </c>
    </row>
    <row r="984" spans="1:6">
      <c r="A984" s="12">
        <v>45881</v>
      </c>
      <c r="B984" s="14">
        <v>3236.5</v>
      </c>
      <c r="C984" s="14">
        <v>1625.4</v>
      </c>
      <c r="D984" s="14">
        <v>1220.3</v>
      </c>
      <c r="E984" s="14">
        <v>5338</v>
      </c>
      <c r="F984" s="14">
        <v>24487.4</v>
      </c>
    </row>
    <row r="985" spans="1:6">
      <c r="A985" s="12">
        <v>45882</v>
      </c>
      <c r="B985" s="14">
        <v>3282.2</v>
      </c>
      <c r="C985" s="14">
        <v>1621.7</v>
      </c>
      <c r="D985" s="14">
        <v>1253.4000000000001</v>
      </c>
      <c r="E985" s="14">
        <v>5375.5</v>
      </c>
      <c r="F985" s="14">
        <v>24619.35</v>
      </c>
    </row>
    <row r="986" spans="1:6">
      <c r="A986" s="12">
        <v>45883</v>
      </c>
      <c r="B986" s="14">
        <v>3265.4</v>
      </c>
      <c r="C986" s="14">
        <v>1642</v>
      </c>
      <c r="D986" s="14">
        <v>1260.4000000000001</v>
      </c>
      <c r="E986" s="14">
        <v>5302.5</v>
      </c>
      <c r="F986" s="14">
        <v>24631.3</v>
      </c>
    </row>
    <row r="987" spans="1:6">
      <c r="A987" s="12">
        <v>45887</v>
      </c>
      <c r="B987" s="14">
        <v>3383.1</v>
      </c>
      <c r="C987" s="14">
        <v>1655.5</v>
      </c>
      <c r="D987" s="14">
        <v>1262.7</v>
      </c>
      <c r="E987" s="14">
        <v>5439</v>
      </c>
      <c r="F987" s="14">
        <v>24876.95</v>
      </c>
    </row>
    <row r="988" spans="1:6">
      <c r="A988" s="12">
        <v>45888</v>
      </c>
      <c r="B988" s="14">
        <v>3354</v>
      </c>
      <c r="C988" s="14">
        <v>1652.7</v>
      </c>
      <c r="D988" s="14">
        <v>1244.2</v>
      </c>
      <c r="E988" s="14">
        <v>5499</v>
      </c>
      <c r="F988" s="14">
        <v>24980.65</v>
      </c>
    </row>
    <row r="989" spans="1:6">
      <c r="A989" s="12">
        <v>45889</v>
      </c>
      <c r="B989" s="14">
        <v>3395.6</v>
      </c>
      <c r="C989" s="14">
        <v>1708.4</v>
      </c>
      <c r="D989" s="14">
        <v>1245.4000000000001</v>
      </c>
      <c r="E989" s="14">
        <v>5701</v>
      </c>
      <c r="F989" s="14">
        <v>25050.55</v>
      </c>
    </row>
    <row r="990" spans="1:6">
      <c r="A990" s="12">
        <v>45890</v>
      </c>
      <c r="B990" s="14">
        <v>3375.1</v>
      </c>
      <c r="C990" s="14">
        <v>1728.2</v>
      </c>
      <c r="D990" s="14">
        <v>1276.5999999999999</v>
      </c>
      <c r="E990" s="14">
        <v>5597.5</v>
      </c>
      <c r="F990" s="14">
        <v>25083.75</v>
      </c>
    </row>
    <row r="991" spans="1:6">
      <c r="A991" s="12">
        <v>45891</v>
      </c>
      <c r="B991" s="14">
        <v>3403</v>
      </c>
      <c r="C991" s="14">
        <v>1747.7</v>
      </c>
      <c r="D991" s="14">
        <v>1277.5999999999999</v>
      </c>
      <c r="E991" s="14">
        <v>5545.5</v>
      </c>
      <c r="F991" s="14">
        <v>24870.1</v>
      </c>
    </row>
    <row r="992" spans="1:6">
      <c r="A992" s="12">
        <v>45894</v>
      </c>
      <c r="B992" s="14">
        <v>3398.9</v>
      </c>
      <c r="C992" s="14">
        <v>1764</v>
      </c>
      <c r="D992" s="14">
        <v>1283.9000000000001</v>
      </c>
      <c r="E992" s="14">
        <v>5550.5</v>
      </c>
      <c r="F992" s="14">
        <v>24967.75</v>
      </c>
    </row>
    <row r="993" spans="1:6">
      <c r="A993" s="12">
        <v>45895</v>
      </c>
      <c r="B993" s="14">
        <v>3330.8</v>
      </c>
      <c r="C993" s="14">
        <v>1739.3</v>
      </c>
      <c r="D993" s="14">
        <v>1263.2</v>
      </c>
      <c r="E993" s="14">
        <v>5765.5</v>
      </c>
      <c r="F993" s="14">
        <v>24712.05</v>
      </c>
    </row>
    <row r="994" spans="1:6">
      <c r="A994" s="12">
        <v>45897</v>
      </c>
      <c r="B994" s="14">
        <v>3295.3</v>
      </c>
      <c r="C994" s="14">
        <v>1737.2</v>
      </c>
      <c r="D994" s="14">
        <v>1259.8</v>
      </c>
      <c r="E994" s="14">
        <v>5721</v>
      </c>
      <c r="F994" s="14">
        <v>24500.9</v>
      </c>
    </row>
    <row r="995" spans="1:6">
      <c r="A995" s="12">
        <v>45898</v>
      </c>
      <c r="B995" s="14">
        <v>3199.5</v>
      </c>
      <c r="C995" s="14">
        <v>1724.3</v>
      </c>
      <c r="D995" s="14">
        <v>1260.0999999999999</v>
      </c>
      <c r="E995" s="14">
        <v>5824</v>
      </c>
      <c r="F995" s="14">
        <v>24426.85</v>
      </c>
    </row>
    <row r="996" spans="1:6">
      <c r="A996" s="12">
        <v>45901</v>
      </c>
      <c r="B996" s="14">
        <v>3315.4</v>
      </c>
      <c r="C996" s="14">
        <v>1764.6</v>
      </c>
      <c r="D996" s="14">
        <v>1279.9000000000001</v>
      </c>
      <c r="E996" s="14">
        <v>5846.5</v>
      </c>
      <c r="F996" s="14">
        <v>24625.05</v>
      </c>
    </row>
    <row r="997" spans="1:6">
      <c r="A997" s="12">
        <v>45902</v>
      </c>
      <c r="B997" s="14">
        <v>3234.5</v>
      </c>
      <c r="C997" s="14">
        <v>1754.6</v>
      </c>
      <c r="D997" s="14">
        <v>1253.7</v>
      </c>
      <c r="E997" s="14">
        <v>5891.5</v>
      </c>
      <c r="F997" s="14">
        <v>24579.599999999999</v>
      </c>
    </row>
    <row r="998" spans="1:6">
      <c r="A998" s="12">
        <v>45903</v>
      </c>
      <c r="B998" s="14">
        <v>3286</v>
      </c>
      <c r="C998" s="14">
        <v>1731.8</v>
      </c>
      <c r="D998" s="14">
        <v>1262.2</v>
      </c>
      <c r="E998" s="14">
        <v>5908</v>
      </c>
      <c r="F998" s="14">
        <v>24715.05</v>
      </c>
    </row>
    <row r="999" spans="1:6">
      <c r="A999" s="12">
        <v>45904</v>
      </c>
      <c r="B999" s="14">
        <v>3481.5</v>
      </c>
      <c r="C999" s="14">
        <v>1692.5</v>
      </c>
      <c r="D999" s="14">
        <v>1253</v>
      </c>
      <c r="E999" s="14">
        <v>6083</v>
      </c>
      <c r="F999" s="14">
        <v>24734.3</v>
      </c>
    </row>
    <row r="1000" spans="1:6">
      <c r="A1000" s="12">
        <v>45905</v>
      </c>
      <c r="B1000" s="14">
        <v>3561.3</v>
      </c>
      <c r="C1000" s="14">
        <v>1658.3</v>
      </c>
      <c r="D1000" s="14">
        <v>1268.0999999999999</v>
      </c>
      <c r="E1000" s="14">
        <v>6076</v>
      </c>
      <c r="F1000" s="14">
        <v>24741</v>
      </c>
    </row>
    <row r="1001" spans="1:6">
      <c r="A1001" s="12">
        <v>45908</v>
      </c>
      <c r="B1001" s="14">
        <v>3701.4</v>
      </c>
      <c r="C1001" s="14">
        <v>1662.4</v>
      </c>
      <c r="D1001" s="14">
        <v>1250.5999999999999</v>
      </c>
      <c r="E1001" s="14">
        <v>6115.5</v>
      </c>
      <c r="F1001" s="14">
        <v>24773.15</v>
      </c>
    </row>
    <row r="1002" spans="1:6">
      <c r="A1002" s="12">
        <v>45909</v>
      </c>
      <c r="B1002" s="14">
        <v>3696.3</v>
      </c>
      <c r="C1002" s="14">
        <v>1696.6</v>
      </c>
      <c r="D1002" s="14">
        <v>1291.3</v>
      </c>
      <c r="E1002" s="14">
        <v>6142.5</v>
      </c>
      <c r="F1002" s="14">
        <v>24868.6</v>
      </c>
    </row>
    <row r="1003" spans="1:6">
      <c r="A1003" s="12">
        <v>45910</v>
      </c>
      <c r="B1003" s="14">
        <v>3604.4</v>
      </c>
      <c r="C1003" s="14">
        <v>1768.6</v>
      </c>
      <c r="D1003" s="14">
        <v>1304.2</v>
      </c>
      <c r="E1003" s="14">
        <v>6199</v>
      </c>
      <c r="F1003" s="14">
        <v>24973.1</v>
      </c>
    </row>
    <row r="1004" spans="1:6">
      <c r="A1004" s="12">
        <v>45911</v>
      </c>
      <c r="B1004" s="14">
        <v>3595.7</v>
      </c>
      <c r="C1004" s="14">
        <v>1771</v>
      </c>
      <c r="D1004" s="14">
        <v>1303.0999999999999</v>
      </c>
      <c r="E1004" s="14">
        <v>6300.5</v>
      </c>
      <c r="F1004" s="14">
        <v>25005.5</v>
      </c>
    </row>
    <row r="1005" spans="1:6">
      <c r="A1005" s="12">
        <v>45912</v>
      </c>
      <c r="B1005" s="14">
        <v>3589.9</v>
      </c>
      <c r="C1005" s="14">
        <v>1764</v>
      </c>
      <c r="D1005" s="14">
        <v>1316.7</v>
      </c>
      <c r="E1005" s="14">
        <v>6247</v>
      </c>
      <c r="F1005" s="14">
        <v>25114</v>
      </c>
    </row>
    <row r="1006" spans="1:6">
      <c r="A1006" s="12">
        <v>45915</v>
      </c>
      <c r="B1006" s="14">
        <v>3530.3</v>
      </c>
      <c r="C1006" s="14">
        <v>1754.3</v>
      </c>
      <c r="D1006" s="14">
        <v>1300.8</v>
      </c>
      <c r="E1006" s="14">
        <v>6212</v>
      </c>
      <c r="F1006" s="14">
        <v>25069.200000000001</v>
      </c>
    </row>
    <row r="1007" spans="1:6">
      <c r="A1007" s="12">
        <v>45916</v>
      </c>
      <c r="B1007" s="14">
        <v>3608</v>
      </c>
      <c r="C1007" s="14">
        <v>1779.6</v>
      </c>
      <c r="D1007" s="14">
        <v>1310.4000000000001</v>
      </c>
      <c r="E1007" s="14">
        <v>6202.5</v>
      </c>
      <c r="F1007" s="14">
        <v>25239.1</v>
      </c>
    </row>
    <row r="1008" spans="1:6">
      <c r="A1008" s="12">
        <v>45917</v>
      </c>
      <c r="B1008" s="14">
        <v>3633.2</v>
      </c>
      <c r="C1008" s="14">
        <v>1791.9</v>
      </c>
      <c r="D1008" s="14">
        <v>1311.4</v>
      </c>
      <c r="E1008" s="14">
        <v>6097.5</v>
      </c>
      <c r="F1008" s="14">
        <v>25330.25</v>
      </c>
    </row>
    <row r="1009" spans="1:6">
      <c r="A1009" s="12">
        <v>45918</v>
      </c>
      <c r="B1009" s="14">
        <v>3642.2</v>
      </c>
      <c r="C1009" s="14">
        <v>1824.5</v>
      </c>
      <c r="D1009" s="14">
        <v>1322.7</v>
      </c>
      <c r="E1009" s="14">
        <v>6100.5</v>
      </c>
      <c r="F1009" s="14">
        <v>25423.599999999999</v>
      </c>
    </row>
    <row r="1010" spans="1:6">
      <c r="A1010" s="12">
        <v>45919</v>
      </c>
      <c r="B1010" s="14">
        <v>3592.1</v>
      </c>
      <c r="C1010" s="14">
        <v>1795.3</v>
      </c>
      <c r="D1010" s="14">
        <v>1321.7</v>
      </c>
      <c r="E1010" s="14">
        <v>6069.5</v>
      </c>
      <c r="F1010" s="14">
        <v>25327.05</v>
      </c>
    </row>
    <row r="1011" spans="1:6">
      <c r="A1011" s="12">
        <v>45922</v>
      </c>
      <c r="B1011" s="14">
        <v>3584.8</v>
      </c>
      <c r="C1011" s="14">
        <v>1716.9</v>
      </c>
      <c r="D1011" s="14">
        <v>1301.4000000000001</v>
      </c>
      <c r="E1011" s="14">
        <v>6056.5</v>
      </c>
      <c r="F1011" s="14">
        <v>25202.35</v>
      </c>
    </row>
    <row r="1012" spans="1:6">
      <c r="A1012" s="12">
        <v>45923</v>
      </c>
      <c r="B1012" s="14">
        <v>3614.6</v>
      </c>
      <c r="C1012" s="14">
        <v>1667.9</v>
      </c>
      <c r="D1012" s="14">
        <v>1308.4000000000001</v>
      </c>
      <c r="E1012" s="14">
        <v>5934</v>
      </c>
      <c r="F1012" s="14">
        <v>25169.5</v>
      </c>
    </row>
    <row r="1013" spans="1:6">
      <c r="A1013" s="12">
        <v>45924</v>
      </c>
      <c r="B1013" s="14">
        <v>3574.9</v>
      </c>
      <c r="C1013" s="14">
        <v>1623.2</v>
      </c>
      <c r="D1013" s="14">
        <v>1298.0999999999999</v>
      </c>
      <c r="E1013" s="14">
        <v>5970.5</v>
      </c>
      <c r="F1013" s="14">
        <v>25056.9</v>
      </c>
    </row>
    <row r="1014" spans="1:6">
      <c r="A1014" s="12">
        <v>45925</v>
      </c>
      <c r="B1014" s="14">
        <v>3530</v>
      </c>
      <c r="C1014" s="14">
        <v>1591.3</v>
      </c>
      <c r="D1014" s="14">
        <v>1275.2</v>
      </c>
      <c r="E1014" s="14">
        <v>5953.5</v>
      </c>
      <c r="F1014" s="14">
        <v>24890.85</v>
      </c>
    </row>
    <row r="1015" spans="1:6">
      <c r="A1015" s="12">
        <v>45926</v>
      </c>
      <c r="B1015" s="14">
        <v>3396.5</v>
      </c>
      <c r="C1015" s="14">
        <v>1538.5</v>
      </c>
      <c r="D1015" s="14">
        <v>1253.0999999999999</v>
      </c>
      <c r="E1015" s="14">
        <v>5920.5</v>
      </c>
      <c r="F1015" s="14">
        <v>24654.7</v>
      </c>
    </row>
    <row r="1016" spans="1:6">
      <c r="A1016" s="12">
        <v>45929</v>
      </c>
      <c r="B1016" s="14">
        <v>3418.1</v>
      </c>
      <c r="C1016" s="14">
        <v>1552.2</v>
      </c>
      <c r="D1016" s="14">
        <v>1234.5999999999999</v>
      </c>
      <c r="E1016" s="14">
        <v>5929</v>
      </c>
      <c r="F1016" s="14">
        <v>24634.9</v>
      </c>
    </row>
    <row r="1017" spans="1:6">
      <c r="A1017" s="12">
        <v>45930</v>
      </c>
      <c r="B1017" s="14">
        <v>3427</v>
      </c>
      <c r="C1017" s="14">
        <v>1591</v>
      </c>
      <c r="D1017" s="14">
        <v>1223.7</v>
      </c>
      <c r="E1017" s="14">
        <v>5991</v>
      </c>
      <c r="F1017" s="14">
        <v>24611.1</v>
      </c>
    </row>
    <row r="1018" spans="1:6">
      <c r="A1018" s="12">
        <v>45931</v>
      </c>
      <c r="B1018" s="14">
        <v>3463.4</v>
      </c>
      <c r="C1018" s="14">
        <v>1600.8</v>
      </c>
      <c r="D1018" s="14">
        <v>1244.7</v>
      </c>
      <c r="E1018" s="14">
        <v>5966.5</v>
      </c>
      <c r="F1018" s="14">
        <v>24836.3</v>
      </c>
    </row>
    <row r="1019" spans="1:6">
      <c r="A1019" s="12">
        <v>45933</v>
      </c>
      <c r="B1019" s="14">
        <v>3462</v>
      </c>
      <c r="C1019" s="14">
        <v>1613.1</v>
      </c>
      <c r="D1019" s="14">
        <v>1248.0999999999999</v>
      </c>
      <c r="E1019" s="14">
        <v>5992.5</v>
      </c>
      <c r="F1019" s="14">
        <v>24894.25</v>
      </c>
    </row>
    <row r="1020" spans="1:6">
      <c r="A1020" s="12">
        <v>45936</v>
      </c>
      <c r="B1020" s="14">
        <v>3472</v>
      </c>
      <c r="C1020" s="14">
        <v>1662.4</v>
      </c>
      <c r="D1020" s="14">
        <v>1248.5999999999999</v>
      </c>
      <c r="E1020" s="14">
        <v>6011</v>
      </c>
      <c r="F1020" s="14">
        <v>25077.65</v>
      </c>
    </row>
    <row r="1021" spans="1:6">
      <c r="A1021" s="12">
        <v>45937</v>
      </c>
      <c r="B1021" s="14">
        <v>3492.8</v>
      </c>
      <c r="C1021" s="14">
        <v>1686.5</v>
      </c>
      <c r="D1021" s="14">
        <v>1248.5</v>
      </c>
      <c r="E1021" s="14">
        <v>5887</v>
      </c>
      <c r="F1021" s="14">
        <v>25108.3</v>
      </c>
    </row>
    <row r="1022" spans="1:6">
      <c r="A1022" s="12">
        <v>45938</v>
      </c>
      <c r="B1022" s="14">
        <v>3426.5</v>
      </c>
      <c r="C1022" s="14">
        <v>1713.7</v>
      </c>
      <c r="D1022" s="14">
        <v>1234.5</v>
      </c>
      <c r="E1022" s="14">
        <v>5836</v>
      </c>
      <c r="F1022" s="14">
        <v>25046.15</v>
      </c>
    </row>
    <row r="1023" spans="1:6">
      <c r="A1023" s="12">
        <v>45939</v>
      </c>
      <c r="B1023" s="14">
        <v>3442.9</v>
      </c>
      <c r="C1023" s="14">
        <v>1720.1</v>
      </c>
      <c r="D1023" s="14">
        <v>1246.0999999999999</v>
      </c>
      <c r="E1023" s="14">
        <v>5876</v>
      </c>
      <c r="F1023" s="14">
        <v>25181.8</v>
      </c>
    </row>
    <row r="1024" spans="1:6">
      <c r="A1024" s="12">
        <v>45940</v>
      </c>
      <c r="B1024" s="14">
        <v>3454.9</v>
      </c>
      <c r="C1024" s="14">
        <v>1722.3</v>
      </c>
      <c r="D1024" s="14">
        <v>1264.4000000000001</v>
      </c>
      <c r="E1024" s="14">
        <v>5871.5</v>
      </c>
      <c r="F1024" s="14">
        <v>25285.35</v>
      </c>
    </row>
    <row r="1025" spans="1:6">
      <c r="A1025" s="12">
        <v>45943</v>
      </c>
      <c r="B1025" s="14">
        <v>3459.7</v>
      </c>
      <c r="C1025" s="14">
        <v>1716</v>
      </c>
      <c r="D1025" s="14">
        <v>1262.4000000000001</v>
      </c>
      <c r="E1025" s="14">
        <v>5862</v>
      </c>
      <c r="F1025" s="14">
        <v>25227.35</v>
      </c>
    </row>
    <row r="1026" spans="1:6">
      <c r="A1026" s="12">
        <v>45944</v>
      </c>
      <c r="B1026" s="14">
        <v>3459.8</v>
      </c>
      <c r="C1026" s="14">
        <v>1700.5</v>
      </c>
      <c r="D1026" s="14">
        <v>1237.3</v>
      </c>
      <c r="E1026" s="14">
        <v>5800.5</v>
      </c>
      <c r="F1026" s="14">
        <v>25145.5</v>
      </c>
    </row>
    <row r="1027" spans="1:6">
      <c r="A1027" s="12">
        <v>45945</v>
      </c>
      <c r="B1027" s="14">
        <v>3497.2</v>
      </c>
      <c r="C1027" s="14">
        <v>1765.4</v>
      </c>
      <c r="D1027" s="14">
        <v>1232.4000000000001</v>
      </c>
      <c r="E1027" s="14">
        <v>5857.5</v>
      </c>
      <c r="F1027" s="14">
        <v>25323.55</v>
      </c>
    </row>
    <row r="1028" spans="1:6">
      <c r="A1028" s="12">
        <v>45946</v>
      </c>
      <c r="B1028" s="14">
        <v>3560.8</v>
      </c>
      <c r="C1028" s="14">
        <v>1761.5</v>
      </c>
      <c r="D1028" s="14">
        <v>1240.2</v>
      </c>
      <c r="E1028" s="14">
        <v>6025.5</v>
      </c>
      <c r="F1028" s="14">
        <v>25585.3</v>
      </c>
    </row>
    <row r="1029" spans="1:6">
      <c r="A1029" s="12">
        <v>45947</v>
      </c>
      <c r="B1029" s="14">
        <v>3647.2</v>
      </c>
      <c r="C1029" s="14">
        <v>1734.9</v>
      </c>
      <c r="D1029" s="14">
        <v>1255.9000000000001</v>
      </c>
      <c r="E1029" s="14">
        <v>6083</v>
      </c>
      <c r="F1029" s="14">
        <v>25709.85</v>
      </c>
    </row>
    <row r="1030" spans="1:6">
      <c r="A1030" s="12">
        <v>45950</v>
      </c>
      <c r="B1030" s="14">
        <v>3599.1</v>
      </c>
      <c r="C1030" s="14">
        <v>1747.4</v>
      </c>
      <c r="D1030" s="14">
        <v>1282</v>
      </c>
      <c r="E1030" s="14">
        <v>6070</v>
      </c>
      <c r="F1030" s="14">
        <v>25843.15</v>
      </c>
    </row>
    <row r="1031" spans="1:6">
      <c r="A1031" s="12">
        <v>45951</v>
      </c>
      <c r="B1031" s="14">
        <v>3621.2</v>
      </c>
      <c r="C1031" s="14">
        <v>1741.5</v>
      </c>
      <c r="D1031" s="14">
        <v>1288.7</v>
      </c>
      <c r="E1031" s="14">
        <v>6075</v>
      </c>
      <c r="F1031" s="14">
        <v>25868.6</v>
      </c>
    </row>
    <row r="1032" spans="1:6">
      <c r="A1032" s="12">
        <v>45953</v>
      </c>
      <c r="B1032" s="14">
        <v>3623.6</v>
      </c>
      <c r="C1032" s="14">
        <v>1754.7</v>
      </c>
      <c r="D1032" s="14">
        <v>1279.4000000000001</v>
      </c>
      <c r="E1032" s="14">
        <v>6068</v>
      </c>
      <c r="F1032" s="14">
        <v>25891.4</v>
      </c>
    </row>
    <row r="1033" spans="1:6">
      <c r="A1033" s="12">
        <v>45954</v>
      </c>
      <c r="B1033" s="14">
        <v>3625</v>
      </c>
      <c r="C1033" s="14">
        <v>1760</v>
      </c>
      <c r="D1033" s="14">
        <v>1283.5999999999999</v>
      </c>
      <c r="E1033" s="14">
        <v>6053</v>
      </c>
      <c r="F1033" s="14">
        <v>25795.15</v>
      </c>
    </row>
    <row r="1034" spans="1:6">
      <c r="A1034" s="12">
        <v>45957</v>
      </c>
      <c r="B1034" s="14">
        <v>3611.6</v>
      </c>
      <c r="C1034" s="14">
        <v>1830.6</v>
      </c>
      <c r="D1034" s="14">
        <v>1284.3</v>
      </c>
      <c r="E1034" s="14">
        <v>5912</v>
      </c>
      <c r="F1034" s="14">
        <v>25966.05</v>
      </c>
    </row>
    <row r="1035" spans="1:6">
      <c r="A1035" s="12">
        <v>45958</v>
      </c>
      <c r="B1035" s="14">
        <v>3579.1</v>
      </c>
      <c r="C1035" s="14">
        <v>1809.8</v>
      </c>
      <c r="D1035" s="14">
        <v>1289.4000000000001</v>
      </c>
      <c r="E1035" s="14">
        <v>5861</v>
      </c>
      <c r="F1035" s="14">
        <v>25936.2</v>
      </c>
    </row>
    <row r="1036" spans="1:6">
      <c r="A1036" s="12">
        <v>45959</v>
      </c>
      <c r="B1036" s="14">
        <v>3534.7</v>
      </c>
      <c r="C1036" s="14">
        <v>1797.4</v>
      </c>
      <c r="D1036" s="14">
        <v>1250.9000000000001</v>
      </c>
      <c r="E1036" s="14">
        <v>5852.5</v>
      </c>
      <c r="F1036" s="14">
        <v>26053.9</v>
      </c>
    </row>
    <row r="1037" spans="1:6">
      <c r="A1037" s="12">
        <v>45960</v>
      </c>
      <c r="B1037" s="14">
        <v>3502.1</v>
      </c>
      <c r="C1037" s="14">
        <v>1807.7</v>
      </c>
      <c r="D1037" s="14">
        <v>1202.2</v>
      </c>
      <c r="E1037" s="14">
        <v>5859.5</v>
      </c>
      <c r="F1037" s="14">
        <v>25877.85</v>
      </c>
    </row>
    <row r="1038" spans="1:6">
      <c r="A1038" s="12">
        <v>45961</v>
      </c>
      <c r="B1038" s="14">
        <v>3487.2</v>
      </c>
      <c r="C1038" s="14">
        <v>1778.1</v>
      </c>
      <c r="D1038" s="14">
        <v>1197.5999999999999</v>
      </c>
      <c r="E1038" s="14">
        <v>5836.5</v>
      </c>
      <c r="F1038" s="14">
        <v>25722.1</v>
      </c>
    </row>
    <row r="1039" spans="1:6">
      <c r="A1039" s="12">
        <v>45964</v>
      </c>
      <c r="B1039" s="14">
        <v>3548.9</v>
      </c>
      <c r="C1039" s="14">
        <v>1794.8</v>
      </c>
      <c r="D1039" s="14">
        <v>1196</v>
      </c>
      <c r="E1039" s="14">
        <v>5820.5</v>
      </c>
      <c r="F1039" s="14">
        <v>25763.35</v>
      </c>
    </row>
    <row r="1040" spans="1:6">
      <c r="A1040" s="12">
        <v>45965</v>
      </c>
      <c r="B1040" s="14">
        <v>3581.2</v>
      </c>
      <c r="C1040" s="14">
        <v>1767</v>
      </c>
      <c r="D1040" s="14">
        <v>1200</v>
      </c>
      <c r="E1040" s="14">
        <v>5892.5</v>
      </c>
      <c r="F1040" s="14">
        <v>25597.65</v>
      </c>
    </row>
    <row r="1041" spans="1:6">
      <c r="A1041" s="12">
        <v>45967</v>
      </c>
      <c r="B1041" s="14">
        <v>3618.5</v>
      </c>
      <c r="C1041" s="14">
        <v>1763.9</v>
      </c>
      <c r="D1041" s="14">
        <v>1205.2</v>
      </c>
      <c r="E1041" s="14">
        <v>6013.5</v>
      </c>
      <c r="F1041" s="14">
        <v>25509.7</v>
      </c>
    </row>
    <row r="1042" spans="1:6">
      <c r="A1042" s="12">
        <v>45968</v>
      </c>
      <c r="B1042" s="14">
        <v>3690.2</v>
      </c>
      <c r="C1042" s="14">
        <v>1740.2</v>
      </c>
      <c r="D1042" s="14">
        <v>1205.4000000000001</v>
      </c>
      <c r="E1042" s="14">
        <v>6157.5</v>
      </c>
      <c r="F1042" s="14">
        <v>25492.3</v>
      </c>
    </row>
    <row r="1043" spans="1:6">
      <c r="A1043" s="12">
        <v>45971</v>
      </c>
      <c r="B1043" s="14">
        <v>3663.9</v>
      </c>
      <c r="C1043" s="14">
        <v>1757.6</v>
      </c>
      <c r="D1043" s="14">
        <v>1198.7</v>
      </c>
      <c r="E1043" s="14">
        <v>6133.5</v>
      </c>
      <c r="F1043" s="14">
        <v>25574.35</v>
      </c>
    </row>
    <row r="1044" spans="1:6">
      <c r="A1044" s="12">
        <v>45972</v>
      </c>
      <c r="B1044" s="14">
        <v>3749.1</v>
      </c>
      <c r="C1044" s="14">
        <v>1797.1</v>
      </c>
      <c r="D1044" s="14">
        <v>1211.5</v>
      </c>
      <c r="E1044" s="14">
        <v>5950.5</v>
      </c>
      <c r="F1044" s="14">
        <v>25694.95</v>
      </c>
    </row>
    <row r="1045" spans="1:6">
      <c r="A1045" s="12">
        <v>45973</v>
      </c>
      <c r="B1045" s="14">
        <v>3754.3</v>
      </c>
      <c r="C1045" s="14">
        <v>1827.7</v>
      </c>
      <c r="D1045" s="14">
        <v>1229.5999999999999</v>
      </c>
      <c r="E1045" s="14">
        <v>5880</v>
      </c>
      <c r="F1045" s="14">
        <v>25875.8</v>
      </c>
    </row>
    <row r="1046" spans="1:6">
      <c r="A1046" s="12">
        <v>45974</v>
      </c>
      <c r="B1046" s="14">
        <v>3699.5</v>
      </c>
      <c r="C1046" s="14">
        <v>1810.2</v>
      </c>
      <c r="D1046" s="14">
        <v>1234.9000000000001</v>
      </c>
      <c r="E1046" s="14">
        <v>5851.5</v>
      </c>
      <c r="F1046" s="14">
        <v>25879.15</v>
      </c>
    </row>
    <row r="1047" spans="1:6">
      <c r="A1047" s="12">
        <v>45975</v>
      </c>
      <c r="B1047" s="14">
        <v>3698.6</v>
      </c>
      <c r="C1047" s="14">
        <v>1799.6</v>
      </c>
      <c r="D1047" s="14">
        <v>1246</v>
      </c>
      <c r="E1047" s="14">
        <v>5803.5</v>
      </c>
      <c r="F1047" s="14">
        <v>25910.05</v>
      </c>
    </row>
    <row r="1048" spans="1:6">
      <c r="A1048" s="12">
        <v>45978</v>
      </c>
      <c r="B1048" s="14">
        <v>3734.9</v>
      </c>
      <c r="C1048" s="14">
        <v>1801.1</v>
      </c>
      <c r="D1048" s="14">
        <v>1244.4000000000001</v>
      </c>
      <c r="E1048" s="14">
        <v>5830.5</v>
      </c>
      <c r="F1048" s="14">
        <v>26013.45</v>
      </c>
    </row>
    <row r="1049" spans="1:6">
      <c r="A1049" s="12">
        <v>45979</v>
      </c>
      <c r="B1049" s="14">
        <v>3694.8</v>
      </c>
      <c r="C1049" s="14">
        <v>1784.3</v>
      </c>
      <c r="D1049" s="14">
        <v>1243.8</v>
      </c>
      <c r="E1049" s="14">
        <v>5840</v>
      </c>
      <c r="F1049" s="14">
        <v>25910.05</v>
      </c>
    </row>
    <row r="1050" spans="1:6">
      <c r="A1050" s="12">
        <v>45980</v>
      </c>
      <c r="B1050" s="14">
        <v>3722.5</v>
      </c>
      <c r="C1050" s="14">
        <v>1858.2</v>
      </c>
      <c r="D1050" s="14">
        <v>1250.2</v>
      </c>
      <c r="E1050" s="14">
        <v>5874.5</v>
      </c>
      <c r="F1050" s="14">
        <v>26052.65</v>
      </c>
    </row>
    <row r="1051" spans="1:6">
      <c r="A1051" s="12">
        <v>45981</v>
      </c>
      <c r="B1051" s="14">
        <v>3716.7</v>
      </c>
      <c r="C1051" s="14">
        <v>1846.1</v>
      </c>
      <c r="D1051" s="14">
        <v>1248.5999999999999</v>
      </c>
      <c r="E1051" s="14">
        <v>5819</v>
      </c>
      <c r="F1051" s="14">
        <v>26192.15</v>
      </c>
    </row>
    <row r="1052" spans="1:6">
      <c r="A1052" s="12">
        <v>45982</v>
      </c>
      <c r="B1052" s="14">
        <v>3749.6</v>
      </c>
      <c r="C1052" s="14">
        <v>1797.5</v>
      </c>
      <c r="D1052" s="14">
        <v>1243.9000000000001</v>
      </c>
      <c r="E1052" s="14">
        <v>5813</v>
      </c>
      <c r="F1052" s="14">
        <v>26068.15</v>
      </c>
    </row>
    <row r="1053" spans="1:6">
      <c r="A1053" s="12">
        <v>45985</v>
      </c>
      <c r="B1053" s="14">
        <v>3690.8</v>
      </c>
      <c r="C1053" s="14">
        <v>1808.2</v>
      </c>
      <c r="D1053" s="14">
        <v>1226.2</v>
      </c>
      <c r="E1053" s="14">
        <v>5815.5</v>
      </c>
      <c r="F1053" s="14">
        <v>25959.5</v>
      </c>
    </row>
    <row r="1054" spans="1:6">
      <c r="A1054" s="12">
        <v>45986</v>
      </c>
      <c r="B1054" s="14">
        <v>3669.3</v>
      </c>
      <c r="C1054" s="14">
        <v>1831.7</v>
      </c>
      <c r="D1054" s="14">
        <v>1236.0999999999999</v>
      </c>
      <c r="E1054" s="14">
        <v>5867</v>
      </c>
      <c r="F1054" s="14">
        <v>25884.799999999999</v>
      </c>
    </row>
    <row r="1055" spans="1:6">
      <c r="A1055" s="12">
        <v>45987</v>
      </c>
      <c r="B1055" s="14">
        <v>3686.4</v>
      </c>
      <c r="C1055" s="14">
        <v>1871.1</v>
      </c>
      <c r="D1055" s="14">
        <v>1248</v>
      </c>
      <c r="E1055" s="14">
        <v>5880.5</v>
      </c>
      <c r="F1055" s="14">
        <v>26205.3</v>
      </c>
    </row>
    <row r="1056" spans="1:6">
      <c r="A1056" s="12">
        <v>45988</v>
      </c>
      <c r="B1056" s="14">
        <v>3681.2</v>
      </c>
      <c r="C1056" s="14">
        <v>1910.2</v>
      </c>
      <c r="D1056" s="14">
        <v>1249.3</v>
      </c>
      <c r="E1056" s="14">
        <v>5826.5</v>
      </c>
      <c r="F1056" s="14">
        <v>26215.55</v>
      </c>
    </row>
    <row r="1057" spans="1:6">
      <c r="A1057" s="12">
        <v>45989</v>
      </c>
      <c r="B1057" s="14">
        <v>3757.3</v>
      </c>
      <c r="C1057" s="14">
        <v>1908.7</v>
      </c>
      <c r="D1057" s="14">
        <v>1258.8</v>
      </c>
      <c r="E1057" s="14">
        <v>5846</v>
      </c>
      <c r="F1057" s="14">
        <v>26202.95</v>
      </c>
    </row>
    <row r="1058" spans="1:6">
      <c r="A1058" s="12">
        <v>45992</v>
      </c>
      <c r="B1058" s="14">
        <v>3741.6</v>
      </c>
      <c r="C1058" s="14">
        <v>1902.6</v>
      </c>
      <c r="D1058" s="14">
        <v>1260.0999999999999</v>
      </c>
      <c r="E1058" s="14">
        <v>5813.5</v>
      </c>
      <c r="F1058" s="14">
        <v>26175.75</v>
      </c>
    </row>
    <row r="1059" spans="1:6">
      <c r="A1059" s="12">
        <v>45993</v>
      </c>
      <c r="B1059" s="14">
        <v>3716.5</v>
      </c>
      <c r="C1059" s="14">
        <v>1913.9</v>
      </c>
      <c r="D1059" s="14">
        <v>1275.2</v>
      </c>
      <c r="E1059" s="14">
        <v>5875.5</v>
      </c>
      <c r="F1059" s="14">
        <v>26032.2</v>
      </c>
    </row>
    <row r="1060" spans="1:6">
      <c r="A1060" s="12">
        <v>45994</v>
      </c>
      <c r="B1060" s="14">
        <v>3649.4</v>
      </c>
      <c r="C1060" s="14">
        <v>1912.5</v>
      </c>
      <c r="D1060" s="14">
        <v>1280.7</v>
      </c>
      <c r="E1060" s="14">
        <v>5824.5</v>
      </c>
      <c r="F1060" s="14">
        <v>25986</v>
      </c>
    </row>
    <row r="1061" spans="1:6">
      <c r="A1061" s="12">
        <v>45995</v>
      </c>
      <c r="B1061" s="14">
        <v>3671.6</v>
      </c>
      <c r="C1061" s="14">
        <v>1966.2</v>
      </c>
      <c r="D1061" s="14">
        <v>1277.5999999999999</v>
      </c>
      <c r="E1061" s="14">
        <v>5876.5</v>
      </c>
      <c r="F1061" s="14">
        <v>26033.75</v>
      </c>
    </row>
    <row r="1062" spans="1:6">
      <c r="A1062" s="12">
        <v>45996</v>
      </c>
      <c r="B1062" s="14">
        <v>3717.1</v>
      </c>
      <c r="C1062" s="14">
        <v>1977.9</v>
      </c>
      <c r="D1062" s="14">
        <v>1275.2</v>
      </c>
      <c r="E1062" s="14">
        <v>5961</v>
      </c>
      <c r="F1062" s="14">
        <v>26186.45</v>
      </c>
    </row>
    <row r="1063" spans="1:6">
      <c r="A1063" s="12">
        <v>45999</v>
      </c>
      <c r="B1063" s="14">
        <v>3681.7</v>
      </c>
      <c r="C1063" s="14">
        <v>1951.3</v>
      </c>
      <c r="D1063" s="14">
        <v>1266.5</v>
      </c>
      <c r="E1063" s="14">
        <v>5847.5</v>
      </c>
      <c r="F1063" s="14">
        <v>25960.55</v>
      </c>
    </row>
    <row r="1064" spans="1:6">
      <c r="A1064" s="12">
        <v>46000</v>
      </c>
      <c r="B1064" s="14">
        <v>3635.9</v>
      </c>
      <c r="C1064" s="14">
        <v>1873.5</v>
      </c>
      <c r="D1064" s="14">
        <v>1246.2</v>
      </c>
      <c r="E1064" s="14">
        <v>5884</v>
      </c>
      <c r="F1064" s="14">
        <v>25839.65</v>
      </c>
    </row>
    <row r="1065" spans="1:6">
      <c r="A1065" s="12">
        <v>46001</v>
      </c>
      <c r="B1065" s="14">
        <v>3630</v>
      </c>
      <c r="C1065" s="14">
        <v>1820.2</v>
      </c>
      <c r="D1065" s="14">
        <v>1250.8</v>
      </c>
      <c r="E1065" s="14">
        <v>5828.5</v>
      </c>
      <c r="F1065" s="14">
        <v>25758</v>
      </c>
    </row>
    <row r="1066" spans="1:6">
      <c r="A1066" s="12">
        <v>46002</v>
      </c>
      <c r="B1066" s="14">
        <v>3665.2</v>
      </c>
      <c r="C1066" s="14">
        <v>1841.4</v>
      </c>
      <c r="D1066" s="14">
        <v>1273.5</v>
      </c>
      <c r="E1066" s="14">
        <v>5847</v>
      </c>
      <c r="F1066" s="14">
        <v>25898.55</v>
      </c>
    </row>
    <row r="1067" spans="1:6">
      <c r="A1067" s="12">
        <v>46003</v>
      </c>
      <c r="B1067" s="14">
        <v>3679.6</v>
      </c>
      <c r="C1067" s="14">
        <v>1851</v>
      </c>
      <c r="D1067" s="14">
        <v>1279.3</v>
      </c>
      <c r="E1067" s="14">
        <v>5915.5</v>
      </c>
      <c r="F1067" s="14">
        <v>26046.95</v>
      </c>
    </row>
    <row r="1068" spans="1:6">
      <c r="A1068" s="12">
        <v>46006</v>
      </c>
      <c r="B1068" s="14">
        <v>3608</v>
      </c>
      <c r="C1068" s="14">
        <v>1870</v>
      </c>
      <c r="D1068" s="14">
        <v>1280.5999999999999</v>
      </c>
      <c r="E1068" s="14">
        <v>6038</v>
      </c>
      <c r="F1068" s="14">
        <v>26027.3</v>
      </c>
    </row>
    <row r="1069" spans="1:6">
      <c r="A1069" s="12">
        <v>46007</v>
      </c>
      <c r="B1069" s="14">
        <v>3621</v>
      </c>
      <c r="C1069" s="14">
        <v>1866.8</v>
      </c>
      <c r="D1069" s="14">
        <v>1276.9000000000001</v>
      </c>
      <c r="E1069" s="14">
        <v>6066</v>
      </c>
      <c r="F1069" s="14">
        <v>25860.1</v>
      </c>
    </row>
    <row r="1070" spans="1:6">
      <c r="A1070" s="12">
        <v>46008</v>
      </c>
      <c r="B1070" s="14">
        <v>3612.8</v>
      </c>
      <c r="C1070" s="14">
        <v>1844.7</v>
      </c>
      <c r="D1070" s="14">
        <v>1272</v>
      </c>
      <c r="E1070" s="14">
        <v>6096</v>
      </c>
      <c r="F1070" s="14">
        <v>25818.55</v>
      </c>
    </row>
    <row r="1071" spans="1:6">
      <c r="A1071" s="12">
        <v>46009</v>
      </c>
      <c r="B1071" s="14">
        <v>3586.6</v>
      </c>
      <c r="C1071" s="14">
        <v>1854.8</v>
      </c>
      <c r="D1071" s="14">
        <v>1280</v>
      </c>
      <c r="E1071" s="14">
        <v>6040.5</v>
      </c>
      <c r="F1071" s="14">
        <v>25815.55</v>
      </c>
    </row>
    <row r="1072" spans="1:6">
      <c r="A1072" s="12">
        <v>46010</v>
      </c>
      <c r="B1072" s="14">
        <v>3603.6</v>
      </c>
      <c r="C1072" s="14">
        <v>1845.4</v>
      </c>
      <c r="D1072" s="14">
        <v>1278.2</v>
      </c>
      <c r="E1072" s="14">
        <v>6103</v>
      </c>
      <c r="F1072" s="14">
        <v>25966.400000000001</v>
      </c>
    </row>
    <row r="1073" spans="1:6">
      <c r="A1073" s="12">
        <v>46013</v>
      </c>
      <c r="B1073" s="14">
        <v>3616.7</v>
      </c>
      <c r="C1073" s="14">
        <v>1868.7</v>
      </c>
      <c r="D1073" s="14">
        <v>1283.4000000000001</v>
      </c>
      <c r="E1073" s="14">
        <v>6083</v>
      </c>
      <c r="F1073" s="14">
        <v>26172.400000000001</v>
      </c>
    </row>
    <row r="1074" spans="1:6">
      <c r="A1074" s="12">
        <v>46014</v>
      </c>
      <c r="B1074" s="14">
        <v>3625.1</v>
      </c>
      <c r="C1074" s="14">
        <v>1780.2</v>
      </c>
      <c r="D1074" s="14">
        <v>1283.5</v>
      </c>
      <c r="E1074" s="14">
        <v>6061</v>
      </c>
      <c r="F1074" s="14">
        <v>26177.15</v>
      </c>
    </row>
    <row r="1075" spans="1:6">
      <c r="A1075" s="12">
        <v>46015</v>
      </c>
      <c r="B1075" s="14">
        <v>3636.7</v>
      </c>
      <c r="C1075" s="14">
        <v>1737.7</v>
      </c>
      <c r="D1075" s="14">
        <v>1265.8</v>
      </c>
      <c r="E1075" s="14">
        <v>6030</v>
      </c>
      <c r="F1075" s="14">
        <v>26142.1</v>
      </c>
    </row>
    <row r="1076" spans="1:6">
      <c r="A1076" s="12">
        <v>46017</v>
      </c>
      <c r="B1076" s="14">
        <v>3623.1</v>
      </c>
      <c r="C1076" s="14">
        <v>1673.3</v>
      </c>
      <c r="D1076" s="14">
        <v>1269.3</v>
      </c>
      <c r="E1076" s="14">
        <v>6032.5</v>
      </c>
      <c r="F1076" s="14">
        <v>26042.3</v>
      </c>
    </row>
    <row r="1077" spans="1:6">
      <c r="A1077" s="12">
        <v>46020</v>
      </c>
      <c r="B1077" s="14">
        <v>3592.1</v>
      </c>
      <c r="C1077" s="14">
        <v>1683.3</v>
      </c>
      <c r="D1077" s="14">
        <v>1268.5999999999999</v>
      </c>
      <c r="E1077" s="14">
        <v>6041.5</v>
      </c>
      <c r="F1077" s="14">
        <v>25942.1</v>
      </c>
    </row>
    <row r="1078" spans="1:6">
      <c r="A1078" s="12">
        <v>46021</v>
      </c>
      <c r="B1078" s="14">
        <v>3660.3</v>
      </c>
      <c r="C1078" s="14">
        <v>1654.9</v>
      </c>
      <c r="D1078" s="14">
        <v>1265.8</v>
      </c>
      <c r="E1078" s="14">
        <v>6013</v>
      </c>
      <c r="F1078" s="14">
        <v>25938.85</v>
      </c>
    </row>
    <row r="1079" spans="1:6">
      <c r="A1079" s="12">
        <v>46022</v>
      </c>
      <c r="B1079" s="14">
        <v>3709.2</v>
      </c>
      <c r="C1079" s="14">
        <v>1663</v>
      </c>
      <c r="D1079" s="14">
        <v>1271.4000000000001</v>
      </c>
      <c r="E1079" s="14">
        <v>6031</v>
      </c>
      <c r="F1079" s="14">
        <v>26129.599999999999</v>
      </c>
    </row>
    <row r="1080" spans="1:6">
      <c r="A1080" s="12">
        <v>46023</v>
      </c>
      <c r="B1080" s="14">
        <v>3761</v>
      </c>
      <c r="C1080" s="14">
        <v>1655.8</v>
      </c>
      <c r="D1080" s="14">
        <v>1253.4000000000001</v>
      </c>
      <c r="E1080" s="14">
        <v>6009.5</v>
      </c>
      <c r="F1080" s="14">
        <v>26146.55</v>
      </c>
    </row>
    <row r="1081" spans="1:6">
      <c r="A1081" s="12">
        <v>46024</v>
      </c>
      <c r="B1081" s="14">
        <v>3802.4</v>
      </c>
      <c r="C1081" s="14">
        <v>1650.3</v>
      </c>
      <c r="D1081" s="14">
        <v>1256.0999999999999</v>
      </c>
      <c r="E1081" s="14">
        <v>5984.5</v>
      </c>
      <c r="F1081" s="14">
        <v>26328.55</v>
      </c>
    </row>
    <row r="1082" spans="1:6">
      <c r="A1082" s="12">
        <v>46027</v>
      </c>
      <c r="B1082" s="14">
        <v>3790.3</v>
      </c>
      <c r="C1082" s="14">
        <v>1642</v>
      </c>
      <c r="D1082" s="14">
        <v>1250</v>
      </c>
      <c r="E1082" s="14">
        <v>6026.5</v>
      </c>
      <c r="F1082" s="14">
        <v>26250.3</v>
      </c>
    </row>
    <row r="1083" spans="1:6">
      <c r="A1083" s="12">
        <v>46028</v>
      </c>
      <c r="B1083" s="14">
        <v>3785.6</v>
      </c>
      <c r="C1083" s="14">
        <v>1657.1</v>
      </c>
      <c r="D1083" s="14">
        <v>1256.2</v>
      </c>
      <c r="E1083" s="14">
        <v>6129.5</v>
      </c>
      <c r="F1083" s="14">
        <v>26178.7</v>
      </c>
    </row>
    <row r="1084" spans="1:6">
      <c r="A1084" s="12">
        <v>46029</v>
      </c>
      <c r="B1084" s="14">
        <v>3748.8</v>
      </c>
      <c r="C1084" s="14">
        <v>1701.5</v>
      </c>
      <c r="D1084" s="14">
        <v>1242.8</v>
      </c>
      <c r="E1084" s="14">
        <v>6185</v>
      </c>
      <c r="F1084" s="14">
        <v>26140.75</v>
      </c>
    </row>
    <row r="1085" spans="1:6">
      <c r="A1085" s="12">
        <v>46030</v>
      </c>
      <c r="B1085" s="14">
        <v>3724</v>
      </c>
      <c r="C1085" s="14">
        <v>1647</v>
      </c>
      <c r="D1085" s="14">
        <v>1206.9000000000001</v>
      </c>
      <c r="E1085" s="14">
        <v>6033.5</v>
      </c>
      <c r="F1085" s="14">
        <v>25876.85</v>
      </c>
    </row>
    <row r="1086" spans="1:6">
      <c r="A1086" s="12">
        <v>46031</v>
      </c>
      <c r="B1086" s="14">
        <v>3677.3</v>
      </c>
      <c r="C1086" s="14">
        <v>1681.6</v>
      </c>
      <c r="D1086" s="14">
        <v>1210.0999999999999</v>
      </c>
      <c r="E1086" s="14">
        <v>5977.5</v>
      </c>
      <c r="F1086" s="14">
        <v>25683.3</v>
      </c>
    </row>
    <row r="1087" spans="1:6">
      <c r="A1087" s="12">
        <v>46034</v>
      </c>
      <c r="B1087" s="14">
        <v>3682</v>
      </c>
      <c r="C1087" s="14">
        <v>1697.1</v>
      </c>
      <c r="D1087" s="14">
        <v>1215.5</v>
      </c>
      <c r="E1087" s="14">
        <v>5943.5</v>
      </c>
      <c r="F1087" s="14">
        <v>25790.25</v>
      </c>
    </row>
    <row r="1088" spans="1:6">
      <c r="A1088" s="12">
        <v>46035</v>
      </c>
      <c r="B1088" s="14">
        <v>3661.5</v>
      </c>
      <c r="C1088" s="14">
        <v>1708.5</v>
      </c>
      <c r="D1088" s="14">
        <v>1191.3</v>
      </c>
      <c r="E1088" s="14">
        <v>5918</v>
      </c>
      <c r="F1088" s="14">
        <v>25732.3</v>
      </c>
    </row>
    <row r="1089" spans="1:6">
      <c r="A1089" s="12">
        <v>46036</v>
      </c>
      <c r="B1089" s="14">
        <v>3649.5</v>
      </c>
      <c r="C1089" s="14">
        <v>1681.6</v>
      </c>
      <c r="D1089" s="14">
        <v>1186.5</v>
      </c>
      <c r="E1089" s="14">
        <v>5906.5</v>
      </c>
      <c r="F1089" s="14">
        <v>25665.599999999999</v>
      </c>
    </row>
    <row r="1090" spans="1:6">
      <c r="A1090" s="12">
        <v>46038</v>
      </c>
      <c r="B1090" s="14">
        <v>3658.2</v>
      </c>
      <c r="C1090" s="14">
        <v>1732.3</v>
      </c>
      <c r="D1090" s="14">
        <v>1175.5</v>
      </c>
      <c r="E1090" s="14">
        <v>5898.5</v>
      </c>
      <c r="F1090" s="14">
        <v>25694.35</v>
      </c>
    </row>
    <row r="1091" spans="1:6">
      <c r="A1091" s="12">
        <v>46041</v>
      </c>
      <c r="B1091" s="14">
        <v>3657.4</v>
      </c>
      <c r="C1091" s="14">
        <v>1728</v>
      </c>
      <c r="D1091" s="14">
        <v>1167.2</v>
      </c>
      <c r="E1091" s="14">
        <v>5943.5</v>
      </c>
      <c r="F1091" s="14">
        <v>25585.5</v>
      </c>
    </row>
    <row r="1092" spans="1:6">
      <c r="A1092" s="12">
        <v>46042</v>
      </c>
      <c r="B1092" s="14">
        <v>3557.5</v>
      </c>
      <c r="C1092" s="14">
        <v>1693.7</v>
      </c>
      <c r="D1092" s="14">
        <v>1166.7</v>
      </c>
      <c r="E1092" s="14">
        <v>5884</v>
      </c>
      <c r="F1092" s="14">
        <v>25232.5</v>
      </c>
    </row>
    <row r="1093" spans="1:6">
      <c r="A1093" s="12">
        <v>46043</v>
      </c>
      <c r="B1093" s="14">
        <v>3553.3</v>
      </c>
      <c r="C1093" s="14">
        <v>1669.2</v>
      </c>
      <c r="D1093" s="14">
        <v>1157.2</v>
      </c>
      <c r="E1093" s="14">
        <v>5802.5</v>
      </c>
      <c r="F1093" s="14">
        <v>25157.5</v>
      </c>
    </row>
    <row r="1094" spans="1:6">
      <c r="A1094" s="12">
        <v>46044</v>
      </c>
      <c r="B1094" s="14">
        <v>3573.7</v>
      </c>
      <c r="C1094" s="14">
        <v>1687.7</v>
      </c>
      <c r="D1094" s="14">
        <v>1217.5</v>
      </c>
      <c r="E1094" s="14">
        <v>5932</v>
      </c>
      <c r="F1094" s="14">
        <v>25289.9</v>
      </c>
    </row>
    <row r="1095" spans="1:6">
      <c r="A1095" s="12">
        <v>46045</v>
      </c>
      <c r="B1095" s="14">
        <v>3543.4</v>
      </c>
      <c r="C1095" s="14">
        <v>1636.4</v>
      </c>
      <c r="D1095" s="14">
        <v>1235.5999999999999</v>
      </c>
      <c r="E1095" s="14">
        <v>5835</v>
      </c>
      <c r="F1095" s="14">
        <v>25048.65</v>
      </c>
    </row>
    <row r="1096" spans="1:6">
      <c r="A1096" s="12">
        <v>46049</v>
      </c>
      <c r="B1096" s="14">
        <v>3393.5</v>
      </c>
      <c r="C1096" s="14">
        <v>1664.3</v>
      </c>
      <c r="D1096" s="14">
        <v>1239.8</v>
      </c>
      <c r="E1096" s="14">
        <v>5886</v>
      </c>
      <c r="F1096" s="14">
        <v>25175.4</v>
      </c>
    </row>
    <row r="1097" spans="1:6">
      <c r="A1097" s="12">
        <v>46050</v>
      </c>
      <c r="B1097" s="14">
        <v>3449.2</v>
      </c>
      <c r="C1097" s="14">
        <v>1694.2</v>
      </c>
      <c r="D1097" s="14">
        <v>1222.5</v>
      </c>
      <c r="E1097" s="14">
        <v>5748.5</v>
      </c>
      <c r="F1097" s="14">
        <v>25342.75</v>
      </c>
    </row>
    <row r="1098" spans="1:6">
      <c r="A1098" s="12">
        <v>46051</v>
      </c>
      <c r="B1098" s="14">
        <v>3384.4</v>
      </c>
      <c r="C1098" s="14">
        <v>1678.1</v>
      </c>
      <c r="D1098" s="14">
        <v>1208.9000000000001</v>
      </c>
      <c r="E1098" s="14">
        <v>5723</v>
      </c>
      <c r="F1098" s="14">
        <v>25418.9</v>
      </c>
    </row>
    <row r="1099" spans="1:6">
      <c r="A1099" s="12">
        <v>46052</v>
      </c>
      <c r="B1099" s="14">
        <v>3431.8</v>
      </c>
      <c r="C1099" s="14">
        <v>1653.8</v>
      </c>
      <c r="D1099" s="14">
        <v>1218.0999999999999</v>
      </c>
      <c r="E1099" s="14">
        <v>5860.5</v>
      </c>
      <c r="F1099" s="14">
        <v>25320.65</v>
      </c>
    </row>
    <row r="1100" spans="1:6">
      <c r="A1100" s="12">
        <v>46054</v>
      </c>
      <c r="B1100" s="14">
        <v>3363.8</v>
      </c>
      <c r="C1100" s="14">
        <v>1655.4</v>
      </c>
      <c r="D1100" s="14">
        <v>1178.7</v>
      </c>
      <c r="E1100" s="14">
        <v>5757.5</v>
      </c>
      <c r="F1100" s="14">
        <v>24825.45</v>
      </c>
    </row>
    <row r="1101" spans="1:6">
      <c r="A1101" s="12">
        <v>46055</v>
      </c>
      <c r="B1101" s="14">
        <v>3463.2</v>
      </c>
      <c r="C1101" s="14">
        <v>1668.2</v>
      </c>
      <c r="D1101" s="14">
        <v>1182.5</v>
      </c>
      <c r="E1101" s="14">
        <v>5888.5</v>
      </c>
      <c r="F1101" s="14">
        <v>25088.400000000001</v>
      </c>
    </row>
    <row r="1102" spans="1:6">
      <c r="A1102" s="12">
        <v>46056</v>
      </c>
      <c r="B1102" s="14">
        <v>3527.9</v>
      </c>
      <c r="C1102" s="14">
        <v>1712.1</v>
      </c>
      <c r="D1102" s="14">
        <v>1235.4000000000001</v>
      </c>
      <c r="E1102" s="14">
        <v>5882</v>
      </c>
      <c r="F1102" s="14">
        <v>25727.55</v>
      </c>
    </row>
    <row r="1103" spans="1:6">
      <c r="A1103" s="12">
        <v>46057</v>
      </c>
      <c r="B1103" s="14">
        <v>3574</v>
      </c>
      <c r="C1103" s="14">
        <v>1613.9</v>
      </c>
      <c r="D1103" s="14">
        <v>1240.2</v>
      </c>
      <c r="E1103" s="14">
        <v>5879</v>
      </c>
      <c r="F1103" s="14">
        <v>25776</v>
      </c>
    </row>
    <row r="1104" spans="1:6">
      <c r="A1104" s="12">
        <v>46058</v>
      </c>
      <c r="B1104" s="14">
        <v>3572</v>
      </c>
      <c r="C1104" s="14">
        <v>1599.8</v>
      </c>
      <c r="D1104" s="14">
        <v>1244.9000000000001</v>
      </c>
      <c r="E1104" s="14">
        <v>5870.5</v>
      </c>
      <c r="F1104" s="14">
        <v>25642.799999999999</v>
      </c>
    </row>
    <row r="1105" spans="1:6">
      <c r="A1105" s="12">
        <v>46059</v>
      </c>
      <c r="B1105" s="14">
        <v>3578</v>
      </c>
      <c r="C1105" s="14">
        <v>1546</v>
      </c>
      <c r="D1105" s="14">
        <v>1241.2</v>
      </c>
      <c r="E1105" s="14">
        <v>5911</v>
      </c>
      <c r="F1105" s="14">
        <v>25693.7</v>
      </c>
    </row>
    <row r="1106" spans="1:6">
      <c r="A1106" s="12">
        <v>46062</v>
      </c>
      <c r="B1106" s="14">
        <v>3609.6</v>
      </c>
      <c r="C1106" s="14">
        <v>1549.3</v>
      </c>
      <c r="D1106" s="14">
        <v>1275.5</v>
      </c>
      <c r="E1106" s="14">
        <v>5843</v>
      </c>
      <c r="F1106" s="14">
        <v>25867.3</v>
      </c>
    </row>
    <row r="1107" spans="1:6">
      <c r="A1107" s="12">
        <v>46063</v>
      </c>
      <c r="B1107" s="14">
        <v>3675.8</v>
      </c>
      <c r="C1107" s="14">
        <v>1551</v>
      </c>
      <c r="D1107" s="14">
        <v>1256</v>
      </c>
      <c r="E1107" s="14">
        <v>5873.5</v>
      </c>
      <c r="F1107" s="14">
        <v>25935.15</v>
      </c>
    </row>
    <row r="1108" spans="1:6">
      <c r="A1108" s="12">
        <v>46064</v>
      </c>
      <c r="B1108" s="14">
        <v>3674.9</v>
      </c>
      <c r="C1108" s="14">
        <v>1520.4</v>
      </c>
      <c r="D1108" s="14">
        <v>1270.3</v>
      </c>
      <c r="E1108" s="14">
        <v>6019</v>
      </c>
      <c r="F1108" s="14">
        <v>25953.85</v>
      </c>
    </row>
    <row r="1109" spans="1:6">
      <c r="A1109" s="12">
        <v>46065</v>
      </c>
      <c r="B1109" s="14">
        <v>3593.1</v>
      </c>
      <c r="C1109" s="14">
        <v>1421.5</v>
      </c>
      <c r="D1109" s="14">
        <v>1274.9000000000001</v>
      </c>
      <c r="E1109" s="14">
        <v>6102</v>
      </c>
      <c r="F1109" s="14">
        <v>25807.200000000001</v>
      </c>
    </row>
    <row r="1110" spans="1:6">
      <c r="A1110" s="12">
        <v>46066</v>
      </c>
      <c r="B1110" s="14">
        <v>3533.4</v>
      </c>
      <c r="C1110" s="14">
        <v>1361.8</v>
      </c>
      <c r="D1110" s="14">
        <v>1268.0999999999999</v>
      </c>
      <c r="E1110" s="14">
        <v>5980.5</v>
      </c>
      <c r="F1110" s="14">
        <v>25471.1</v>
      </c>
    </row>
    <row r="1111" spans="1:6">
      <c r="A1111" s="12">
        <v>46069</v>
      </c>
      <c r="B1111" s="14">
        <v>3509.7</v>
      </c>
      <c r="C1111" s="14">
        <v>1392.5</v>
      </c>
      <c r="D1111" s="14">
        <v>1269.4000000000001</v>
      </c>
      <c r="E1111" s="14">
        <v>6106</v>
      </c>
      <c r="F1111" s="14">
        <v>25682.75</v>
      </c>
    </row>
    <row r="1112" spans="1:6">
      <c r="A1112" s="12">
        <v>46070</v>
      </c>
      <c r="B1112" s="14">
        <v>3489.2</v>
      </c>
      <c r="C1112" s="14">
        <v>1378.8</v>
      </c>
      <c r="D1112" s="14">
        <v>1284.8</v>
      </c>
      <c r="E1112" s="14">
        <v>6145.5</v>
      </c>
      <c r="F1112" s="14">
        <v>25725.4</v>
      </c>
    </row>
    <row r="1113" spans="1:6">
      <c r="A1113" s="12">
        <v>46071</v>
      </c>
      <c r="B1113" s="14">
        <v>3530.5</v>
      </c>
      <c r="C1113" s="14">
        <v>1372.8</v>
      </c>
      <c r="D1113" s="14">
        <v>1280.3</v>
      </c>
      <c r="E1113" s="14">
        <v>6176</v>
      </c>
      <c r="F1113" s="14">
        <v>25819.35</v>
      </c>
    </row>
    <row r="1114" spans="1:6">
      <c r="A1114" s="12">
        <v>46072</v>
      </c>
      <c r="B1114" s="14">
        <v>3431.8</v>
      </c>
      <c r="C1114" s="14">
        <v>1361</v>
      </c>
      <c r="D1114" s="14">
        <v>1282.3</v>
      </c>
      <c r="E1114" s="14">
        <v>6108.5</v>
      </c>
      <c r="F1114" s="14">
        <v>25454.35</v>
      </c>
    </row>
    <row r="1115" spans="1:6">
      <c r="A1115" s="12">
        <v>46073</v>
      </c>
      <c r="B1115" s="14">
        <v>3412.8</v>
      </c>
      <c r="C1115" s="14">
        <v>1340.6</v>
      </c>
      <c r="D1115" s="14">
        <v>1280.4000000000001</v>
      </c>
      <c r="E1115" s="14">
        <v>6098.5</v>
      </c>
      <c r="F1115" s="14">
        <v>25571.25</v>
      </c>
    </row>
    <row r="1116" spans="1:6">
      <c r="A1116" s="12">
        <v>46076</v>
      </c>
      <c r="B1116" s="14">
        <v>3447.1</v>
      </c>
      <c r="C1116" s="14">
        <v>1289</v>
      </c>
      <c r="D1116" s="14">
        <v>1307.4000000000001</v>
      </c>
      <c r="E1116" s="14">
        <v>6122.5</v>
      </c>
      <c r="F1116" s="14">
        <v>25713</v>
      </c>
    </row>
    <row r="1117" spans="1:6">
      <c r="A1117" s="12">
        <v>46077</v>
      </c>
      <c r="B1117" s="14">
        <v>3433.2</v>
      </c>
      <c r="C1117" s="14">
        <v>1212.2</v>
      </c>
      <c r="D1117" s="14">
        <v>1300.2</v>
      </c>
      <c r="E1117" s="14">
        <v>6162.5</v>
      </c>
      <c r="F1117" s="14">
        <v>25424.65</v>
      </c>
    </row>
    <row r="1118" spans="1:6">
      <c r="A1118" s="12">
        <v>46078</v>
      </c>
      <c r="B1118" s="14">
        <v>3491.3</v>
      </c>
      <c r="C1118" s="14">
        <v>1212.9000000000001</v>
      </c>
      <c r="D1118" s="14">
        <v>1306.5</v>
      </c>
      <c r="E1118" s="14">
        <v>6158</v>
      </c>
      <c r="F1118" s="14">
        <v>25482.5</v>
      </c>
    </row>
    <row r="1119" spans="1:6">
      <c r="A1119" s="12">
        <v>46079</v>
      </c>
      <c r="B1119" s="14">
        <v>3484.6</v>
      </c>
      <c r="C1119" s="14">
        <v>1200.4000000000001</v>
      </c>
      <c r="D1119" s="14">
        <v>1319.3</v>
      </c>
      <c r="E1119" s="14">
        <v>6137</v>
      </c>
      <c r="F1119" s="14">
        <v>25496.55</v>
      </c>
    </row>
    <row r="1120" spans="1:6">
      <c r="A1120" s="12">
        <v>46080</v>
      </c>
      <c r="B1120" s="14">
        <v>3397.4</v>
      </c>
      <c r="C1120" s="14">
        <v>1185.8</v>
      </c>
      <c r="D1120" s="14">
        <v>1286.3</v>
      </c>
      <c r="E1120" s="14">
        <v>6002.5</v>
      </c>
      <c r="F1120" s="14">
        <v>25178.65</v>
      </c>
    </row>
    <row r="1121" spans="1:6">
      <c r="A1121" s="12">
        <v>46083</v>
      </c>
      <c r="B1121" s="14">
        <v>3334.3</v>
      </c>
      <c r="C1121" s="14">
        <v>1162.7</v>
      </c>
      <c r="D1121" s="14">
        <v>1294.4000000000001</v>
      </c>
      <c r="E1121" s="14">
        <v>5959</v>
      </c>
      <c r="F1121" s="14">
        <v>24865.7</v>
      </c>
    </row>
    <row r="1122" spans="1:6">
      <c r="A1122" s="12">
        <v>46085</v>
      </c>
      <c r="B1122" s="14">
        <v>3264.3</v>
      </c>
      <c r="C1122" s="14">
        <v>1170</v>
      </c>
      <c r="D1122" s="14">
        <v>1291.2</v>
      </c>
      <c r="E1122" s="14">
        <v>5889.5</v>
      </c>
      <c r="F1122" s="14">
        <v>24480.5</v>
      </c>
    </row>
    <row r="1123" spans="1:6">
      <c r="A1123" s="12">
        <v>46086</v>
      </c>
      <c r="B1123" s="14">
        <v>3348</v>
      </c>
      <c r="C1123" s="14">
        <v>1152.7</v>
      </c>
      <c r="D1123" s="14">
        <v>1313.5</v>
      </c>
      <c r="E1123" s="14">
        <v>5963</v>
      </c>
      <c r="F1123" s="14">
        <v>24765.9</v>
      </c>
    </row>
    <row r="1124" spans="1:6">
      <c r="A1124" s="12">
        <v>46087</v>
      </c>
      <c r="B1124" s="14">
        <v>3332.5</v>
      </c>
      <c r="C1124" s="14">
        <v>1162.9000000000001</v>
      </c>
      <c r="D1124" s="14">
        <v>1303.8</v>
      </c>
      <c r="E1124" s="14">
        <v>5983</v>
      </c>
      <c r="F1124" s="14">
        <v>24450.45</v>
      </c>
    </row>
    <row r="1125" spans="1:6">
      <c r="A1125" s="12">
        <v>46090</v>
      </c>
      <c r="B1125" s="14">
        <v>3187.6</v>
      </c>
      <c r="C1125" s="14">
        <v>1168.5</v>
      </c>
      <c r="D1125" s="14">
        <v>1287</v>
      </c>
      <c r="E1125" s="14">
        <v>5890</v>
      </c>
      <c r="F1125" s="14">
        <v>24028.05</v>
      </c>
    </row>
    <row r="1126" spans="1:6">
      <c r="A1126" s="12">
        <v>46091</v>
      </c>
      <c r="B1126" s="14">
        <v>3293.7</v>
      </c>
      <c r="C1126" s="14">
        <v>1139.2</v>
      </c>
      <c r="D1126" s="14">
        <v>1314.6</v>
      </c>
      <c r="E1126" s="14">
        <v>5968</v>
      </c>
      <c r="F1126" s="14">
        <v>24261.599999999999</v>
      </c>
    </row>
    <row r="1127" spans="1:6">
      <c r="A1127" s="12">
        <v>46092</v>
      </c>
      <c r="B1127" s="14">
        <v>3168.2</v>
      </c>
      <c r="C1127" s="14">
        <v>1108.8</v>
      </c>
      <c r="D1127" s="14">
        <v>1325.5</v>
      </c>
      <c r="E1127" s="14">
        <v>5921.5</v>
      </c>
      <c r="F1127" s="14">
        <v>23866.85</v>
      </c>
    </row>
    <row r="1128" spans="1:6">
      <c r="A1128" s="12">
        <v>46093</v>
      </c>
      <c r="B1128" s="14">
        <v>3031.2</v>
      </c>
      <c r="C1128" s="14">
        <v>1107.9000000000001</v>
      </c>
      <c r="D1128" s="14">
        <v>1319</v>
      </c>
      <c r="E1128" s="14">
        <v>5787</v>
      </c>
      <c r="F1128" s="14">
        <v>23639.15</v>
      </c>
    </row>
    <row r="1129" spans="1:6">
      <c r="A1129" s="12">
        <v>46094</v>
      </c>
      <c r="B1129" s="14">
        <v>2931.1</v>
      </c>
      <c r="C1129" s="14">
        <v>1089.7</v>
      </c>
      <c r="D1129" s="14">
        <v>1292.3</v>
      </c>
      <c r="E1129" s="14">
        <v>5808.5</v>
      </c>
      <c r="F1129" s="14">
        <v>23151.1</v>
      </c>
    </row>
    <row r="1130" spans="1:6">
      <c r="A1130" s="12">
        <v>46097</v>
      </c>
      <c r="B1130" s="14">
        <v>3036.1</v>
      </c>
      <c r="C1130" s="14">
        <v>1080.5999999999999</v>
      </c>
      <c r="D1130" s="14">
        <v>1276.9000000000001</v>
      </c>
      <c r="E1130" s="14">
        <v>5842</v>
      </c>
      <c r="F1130" s="14">
        <v>23408.799999999999</v>
      </c>
    </row>
    <row r="1131" spans="1:6">
      <c r="A1131" s="12">
        <v>46098</v>
      </c>
      <c r="B1131" s="14">
        <v>3128.9</v>
      </c>
      <c r="C1131" s="14">
        <v>1073.9000000000001</v>
      </c>
      <c r="D1131" s="14">
        <v>1283.8</v>
      </c>
      <c r="E1131" s="14">
        <v>5857.5</v>
      </c>
      <c r="F1131" s="14">
        <v>23581.15</v>
      </c>
    </row>
    <row r="1132" spans="1:6">
      <c r="A1132" s="12">
        <v>46099</v>
      </c>
      <c r="B1132" s="14">
        <v>3214.6</v>
      </c>
      <c r="C1132" s="14">
        <v>1132</v>
      </c>
      <c r="D1132" s="14">
        <v>1294.8</v>
      </c>
      <c r="E1132" s="14">
        <v>5885</v>
      </c>
      <c r="F1132" s="14">
        <v>23777.8</v>
      </c>
    </row>
    <row r="1133" spans="1:6">
      <c r="A1133" s="12">
        <v>46100</v>
      </c>
      <c r="B1133" s="14">
        <v>3045.4</v>
      </c>
      <c r="C1133" s="14">
        <v>1092.3</v>
      </c>
      <c r="D1133" s="14">
        <v>1274.5</v>
      </c>
      <c r="E1133" s="14">
        <v>5673.5</v>
      </c>
      <c r="F1133" s="14">
        <v>23002.15</v>
      </c>
    </row>
    <row r="1134" spans="1:6">
      <c r="A1134" s="12">
        <v>46101</v>
      </c>
      <c r="B1134" s="14">
        <v>3066.1</v>
      </c>
      <c r="C1134" s="14">
        <v>1089.3</v>
      </c>
      <c r="D1134" s="14">
        <v>1298.9000000000001</v>
      </c>
      <c r="E1134" s="14">
        <v>5618.5</v>
      </c>
      <c r="F1134" s="14">
        <v>23114.5</v>
      </c>
    </row>
    <row r="1135" spans="1:6">
      <c r="A1135" s="12">
        <v>46104</v>
      </c>
      <c r="B1135" s="14">
        <v>2955.8</v>
      </c>
      <c r="C1135" s="14">
        <v>1100.4000000000001</v>
      </c>
      <c r="D1135" s="14">
        <v>1253.3</v>
      </c>
      <c r="E1135" s="14">
        <v>5490</v>
      </c>
      <c r="F1135" s="14">
        <v>22512.65</v>
      </c>
    </row>
    <row r="1136" spans="1:6">
      <c r="A1136" s="12">
        <v>46105</v>
      </c>
      <c r="B1136" s="14">
        <v>3031.3</v>
      </c>
      <c r="C1136" s="14">
        <v>1110.0999999999999</v>
      </c>
      <c r="D1136" s="14">
        <v>1259.5999999999999</v>
      </c>
      <c r="E1136" s="14">
        <v>5513.5</v>
      </c>
      <c r="F1136" s="14">
        <v>22912.400000000001</v>
      </c>
    </row>
    <row r="1137" spans="1:6">
      <c r="A1137" s="12">
        <v>46106</v>
      </c>
      <c r="B1137" s="14">
        <v>3128.1</v>
      </c>
      <c r="C1137" s="14">
        <v>1163.0999999999999</v>
      </c>
      <c r="D1137" s="14">
        <v>1300.7</v>
      </c>
      <c r="E1137" s="14">
        <v>5647</v>
      </c>
      <c r="F1137" s="14">
        <v>23306.45</v>
      </c>
    </row>
    <row r="1138" spans="1:6">
      <c r="A1138" s="12">
        <v>46108</v>
      </c>
      <c r="B1138" s="14">
        <v>3041.3</v>
      </c>
      <c r="C1138" s="14">
        <v>1144.7</v>
      </c>
      <c r="D1138" s="14">
        <v>1281.7</v>
      </c>
      <c r="E1138" s="14">
        <v>5500</v>
      </c>
      <c r="F1138" s="14">
        <v>22819.599999999999</v>
      </c>
    </row>
    <row r="1139" spans="1:6">
      <c r="A1139" s="12">
        <v>46111</v>
      </c>
      <c r="B1139" s="14">
        <v>2954.7</v>
      </c>
      <c r="C1139" s="14">
        <v>1114.7</v>
      </c>
      <c r="D1139" s="14">
        <v>1254.9000000000001</v>
      </c>
      <c r="E1139" s="14">
        <v>5423</v>
      </c>
      <c r="F1139" s="14">
        <v>22331.4</v>
      </c>
    </row>
    <row r="1140" spans="1:6">
      <c r="A1140" s="12">
        <v>46113</v>
      </c>
      <c r="B1140" s="14">
        <v>3031.5</v>
      </c>
      <c r="C1140" s="14">
        <v>1153.9000000000001</v>
      </c>
      <c r="D1140" s="14">
        <v>1209.5999999999999</v>
      </c>
      <c r="E1140" s="14">
        <v>5474</v>
      </c>
      <c r="F1140" s="14">
        <v>22679.4</v>
      </c>
    </row>
    <row r="1141" spans="1:6">
      <c r="A1141" s="12">
        <v>46114</v>
      </c>
      <c r="B1141" s="14">
        <v>3011.7</v>
      </c>
      <c r="C1141" s="14">
        <v>1213.4000000000001</v>
      </c>
      <c r="D1141" s="14">
        <v>1217.3</v>
      </c>
      <c r="E1141" s="14">
        <v>5442</v>
      </c>
      <c r="F1141" s="14">
        <v>22713.1</v>
      </c>
    </row>
    <row r="1142" spans="1:6">
      <c r="A1142" s="12">
        <v>46118</v>
      </c>
      <c r="B1142" s="14">
        <v>3021.6</v>
      </c>
      <c r="C1142" s="14">
        <v>1220.2</v>
      </c>
      <c r="D1142" s="14">
        <v>1217.8</v>
      </c>
      <c r="E1142" s="14">
        <v>5535</v>
      </c>
      <c r="F1142" s="14">
        <v>22968.25</v>
      </c>
    </row>
    <row r="1143" spans="1:6">
      <c r="A1143" s="12">
        <v>46119</v>
      </c>
      <c r="B1143" s="14">
        <v>3006.6</v>
      </c>
      <c r="C1143" s="14">
        <v>1230.5999999999999</v>
      </c>
      <c r="D1143" s="14">
        <v>1196.0999999999999</v>
      </c>
      <c r="E1143" s="14">
        <v>5542</v>
      </c>
      <c r="F1143" s="14">
        <v>23123.65</v>
      </c>
    </row>
    <row r="1144" spans="1:6">
      <c r="A1144" s="12">
        <v>46120</v>
      </c>
      <c r="B1144" s="14">
        <v>3210.1</v>
      </c>
      <c r="C1144" s="14">
        <v>1270.4000000000001</v>
      </c>
      <c r="D1144" s="14">
        <v>1191.4000000000001</v>
      </c>
      <c r="E1144" s="14">
        <v>5594.5</v>
      </c>
      <c r="F1144" s="14">
        <v>23997.35</v>
      </c>
    </row>
    <row r="1145" spans="1:6">
      <c r="A1145" s="12">
        <v>46121</v>
      </c>
      <c r="B1145" s="14">
        <v>3166.8</v>
      </c>
      <c r="C1145" s="14">
        <v>1264.9000000000001</v>
      </c>
      <c r="D1145" s="14">
        <v>1211.9000000000001</v>
      </c>
      <c r="E1145" s="14">
        <v>5475</v>
      </c>
      <c r="F1145" s="14">
        <v>23775.1</v>
      </c>
    </row>
    <row r="1146" spans="1:6">
      <c r="A1146" s="12">
        <v>46122</v>
      </c>
      <c r="B1146" s="14">
        <v>3259.8</v>
      </c>
      <c r="C1146" s="14">
        <v>1224.3</v>
      </c>
      <c r="D1146" s="14">
        <v>1232.2</v>
      </c>
      <c r="E1146" s="14">
        <v>5557.5</v>
      </c>
      <c r="F1146" s="14">
        <v>24050.6</v>
      </c>
    </row>
    <row r="1147" spans="1:6">
      <c r="A1147" s="12">
        <v>46125</v>
      </c>
      <c r="B1147" s="14">
        <v>3220.2</v>
      </c>
      <c r="C1147" s="14">
        <v>1231.3</v>
      </c>
      <c r="D1147" s="14">
        <v>1235.9000000000001</v>
      </c>
      <c r="E1147" s="14">
        <v>5589</v>
      </c>
      <c r="F1147" s="14">
        <v>23842.65</v>
      </c>
    </row>
    <row r="1148" spans="1:6">
      <c r="A1148" s="12">
        <v>46127</v>
      </c>
      <c r="B1148" s="14">
        <v>3256.5</v>
      </c>
      <c r="C1148" s="14">
        <v>1282.7</v>
      </c>
      <c r="D1148" s="14">
        <v>1217.8</v>
      </c>
      <c r="E1148" s="14">
        <v>5654.5</v>
      </c>
      <c r="F1148" s="14">
        <v>24231.3</v>
      </c>
    </row>
    <row r="1149" spans="1:6">
      <c r="A1149" s="12">
        <v>46128</v>
      </c>
      <c r="B1149" s="14">
        <v>3222.3</v>
      </c>
      <c r="C1149" s="14">
        <v>1313.2</v>
      </c>
      <c r="D1149" s="14">
        <v>1221.4000000000001</v>
      </c>
      <c r="E1149" s="14">
        <v>5586</v>
      </c>
      <c r="F1149" s="14">
        <v>24196.75</v>
      </c>
    </row>
    <row r="1150" spans="1:6">
      <c r="A1150" s="12">
        <v>46129</v>
      </c>
      <c r="B1150" s="14">
        <v>3200.2</v>
      </c>
      <c r="C1150" s="14">
        <v>1316.8</v>
      </c>
      <c r="D1150" s="14">
        <v>1235.7</v>
      </c>
      <c r="E1150" s="14">
        <v>5735.5</v>
      </c>
      <c r="F1150" s="14">
        <v>24353.55</v>
      </c>
    </row>
    <row r="1151" spans="1:6">
      <c r="A1151" s="12">
        <v>46132</v>
      </c>
      <c r="B1151" s="14">
        <v>3221.6</v>
      </c>
      <c r="C1151" s="14">
        <v>1288.0999999999999</v>
      </c>
      <c r="D1151" s="14">
        <v>1232.5999999999999</v>
      </c>
      <c r="E1151" s="14">
        <v>5700</v>
      </c>
      <c r="F1151" s="14">
        <v>24364.85</v>
      </c>
    </row>
    <row r="1152" spans="1:6">
      <c r="A1152" s="12">
        <v>46133</v>
      </c>
      <c r="B1152" s="14">
        <v>3247.3</v>
      </c>
      <c r="C1152" s="14">
        <v>1292.8</v>
      </c>
      <c r="D1152" s="14">
        <v>1220.5999999999999</v>
      </c>
      <c r="E1152" s="14">
        <v>5837.5</v>
      </c>
      <c r="F1152" s="14">
        <v>24576.6</v>
      </c>
    </row>
    <row r="1153" spans="1:6">
      <c r="A1153" s="12">
        <v>46134</v>
      </c>
      <c r="B1153" s="14">
        <v>3149.7</v>
      </c>
      <c r="C1153" s="14">
        <v>1235.8</v>
      </c>
      <c r="D1153" s="14">
        <v>1217</v>
      </c>
      <c r="E1153" s="14">
        <v>5729.5</v>
      </c>
      <c r="F1153" s="14">
        <v>24378.1</v>
      </c>
    </row>
    <row r="1154" spans="1:6">
      <c r="A1154" s="12">
        <v>46135</v>
      </c>
      <c r="B1154" s="14">
        <v>3047.7</v>
      </c>
      <c r="C1154" s="14">
        <v>1220.5999999999999</v>
      </c>
      <c r="D1154" s="14">
        <v>1331</v>
      </c>
      <c r="E1154" s="14">
        <v>5671.5</v>
      </c>
      <c r="F1154" s="14">
        <v>24173.05</v>
      </c>
    </row>
    <row r="1155" spans="1:6">
      <c r="A1155" s="12">
        <v>46136</v>
      </c>
      <c r="B1155" s="14">
        <v>3038.4</v>
      </c>
      <c r="C1155" s="14">
        <v>1150.9000000000001</v>
      </c>
      <c r="D1155" s="14">
        <v>1317.1</v>
      </c>
      <c r="E1155" s="14">
        <v>5730.5</v>
      </c>
      <c r="F1155" s="14">
        <v>23897.95</v>
      </c>
    </row>
    <row r="1156" spans="1:6">
      <c r="A1156" s="12">
        <v>46139</v>
      </c>
      <c r="B1156" s="14">
        <v>3102.4</v>
      </c>
      <c r="C1156" s="14">
        <v>1202.4000000000001</v>
      </c>
      <c r="D1156" s="14">
        <v>1334.5</v>
      </c>
      <c r="E1156" s="14">
        <v>5717.5</v>
      </c>
      <c r="F1156" s="14">
        <v>24092.7</v>
      </c>
    </row>
    <row r="1157" spans="1:6">
      <c r="A1157" s="12">
        <v>46140</v>
      </c>
      <c r="B1157" s="14">
        <v>3088.1</v>
      </c>
      <c r="C1157" s="14">
        <v>1200.9000000000001</v>
      </c>
      <c r="D1157" s="14">
        <v>1354.6</v>
      </c>
      <c r="E1157" s="14">
        <v>5662</v>
      </c>
      <c r="F1157" s="14">
        <v>23995.7</v>
      </c>
    </row>
    <row r="1158" spans="1:6">
      <c r="A1158" s="12">
        <v>46141</v>
      </c>
      <c r="B1158" s="14">
        <v>3152.3</v>
      </c>
      <c r="C1158" s="14">
        <v>1204</v>
      </c>
      <c r="D1158" s="14">
        <v>1329.8</v>
      </c>
      <c r="E1158" s="14">
        <v>5709</v>
      </c>
      <c r="F1158" s="14">
        <v>24177.65</v>
      </c>
    </row>
    <row r="1159" spans="1:6">
      <c r="A1159" s="12">
        <v>46142</v>
      </c>
      <c r="B1159" s="14">
        <v>3097.5</v>
      </c>
      <c r="C1159" s="14">
        <v>1195.9000000000001</v>
      </c>
      <c r="D1159" s="14">
        <v>1322.9</v>
      </c>
      <c r="E1159" s="14">
        <v>5726</v>
      </c>
      <c r="F1159" s="14">
        <v>23997.55</v>
      </c>
    </row>
    <row r="1160" spans="1:6">
      <c r="A1160" s="12">
        <v>46146</v>
      </c>
      <c r="B1160" s="14">
        <v>3106.5</v>
      </c>
      <c r="C1160" s="14">
        <v>1151.5999999999999</v>
      </c>
      <c r="D1160" s="14">
        <v>1287.2</v>
      </c>
      <c r="E1160" s="14">
        <v>5792.5</v>
      </c>
      <c r="F1160" s="14">
        <v>24119.3</v>
      </c>
    </row>
    <row r="1161" spans="1:6">
      <c r="A1161" s="12">
        <v>46147</v>
      </c>
      <c r="B1161" s="14">
        <v>3210.8</v>
      </c>
      <c r="C1161" s="14">
        <v>1168.8</v>
      </c>
      <c r="D1161" s="14">
        <v>1271.2</v>
      </c>
      <c r="E1161" s="14">
        <v>5834.5</v>
      </c>
      <c r="F1161" s="14">
        <v>24032.799999999999</v>
      </c>
    </row>
    <row r="1162" spans="1:6">
      <c r="A1162" s="12">
        <v>46148</v>
      </c>
      <c r="B1162" s="14">
        <v>3300.8</v>
      </c>
      <c r="C1162" s="14">
        <v>1280.4000000000001</v>
      </c>
      <c r="D1162" s="14">
        <v>1311</v>
      </c>
      <c r="E1162" s="14">
        <v>5783</v>
      </c>
      <c r="F1162" s="14">
        <v>24330.95</v>
      </c>
    </row>
    <row r="1163" spans="1:6">
      <c r="A1163" s="12">
        <v>46149</v>
      </c>
      <c r="B1163" s="14">
        <v>3370.7</v>
      </c>
      <c r="C1163" s="14">
        <v>1285.3</v>
      </c>
      <c r="D1163" s="14">
        <v>1307.5999999999999</v>
      </c>
      <c r="E1163" s="14">
        <v>5814</v>
      </c>
      <c r="F1163" s="14">
        <v>24326.65</v>
      </c>
    </row>
    <row r="1164" spans="1:6">
      <c r="A1164" s="12">
        <v>46150</v>
      </c>
      <c r="B1164" s="14">
        <v>3330.4</v>
      </c>
      <c r="C1164" s="14">
        <v>1368.1</v>
      </c>
      <c r="D1164" s="14">
        <v>1293.9000000000001</v>
      </c>
      <c r="E1164" s="14">
        <v>5520</v>
      </c>
      <c r="F1164" s="14">
        <v>24176.15</v>
      </c>
    </row>
    <row r="1165" spans="1:6">
      <c r="A1165" s="12">
        <v>46153</v>
      </c>
      <c r="B1165" s="14">
        <v>3245.9</v>
      </c>
      <c r="C1165" s="14">
        <v>1375.2</v>
      </c>
      <c r="D1165" s="14">
        <v>1279.9000000000001</v>
      </c>
      <c r="E1165" s="14">
        <v>5410.5</v>
      </c>
      <c r="F1165" s="14">
        <v>23815.85</v>
      </c>
    </row>
    <row r="1166" spans="1:6">
      <c r="A1166" s="12">
        <v>46154</v>
      </c>
      <c r="B1166" s="14">
        <v>3176</v>
      </c>
      <c r="C1166" s="14">
        <v>1320.4</v>
      </c>
      <c r="D1166" s="14">
        <v>1270</v>
      </c>
      <c r="E1166" s="14">
        <v>5334</v>
      </c>
      <c r="F1166" s="14">
        <v>23379.55</v>
      </c>
    </row>
    <row r="1167" spans="1:6">
      <c r="A1167" s="12">
        <v>46155</v>
      </c>
      <c r="B1167" s="14">
        <v>3111.8</v>
      </c>
      <c r="C1167" s="14">
        <v>1297.0999999999999</v>
      </c>
      <c r="D1167" s="14">
        <v>1265.3</v>
      </c>
      <c r="E1167" s="14">
        <v>5336</v>
      </c>
      <c r="F1167" s="14">
        <v>23412.6</v>
      </c>
    </row>
    <row r="1168" spans="1:6">
      <c r="A1168" s="12">
        <v>46156</v>
      </c>
      <c r="B1168" s="14">
        <v>3173.9</v>
      </c>
      <c r="C1168" s="14">
        <v>1274.5999999999999</v>
      </c>
      <c r="D1168" s="14">
        <v>1303.5999999999999</v>
      </c>
      <c r="E1168" s="14">
        <v>5372.5</v>
      </c>
      <c r="F1168" s="14">
        <v>23689.599999999999</v>
      </c>
    </row>
    <row r="1169" spans="1:6">
      <c r="A1169" s="12">
        <v>46157</v>
      </c>
      <c r="B1169" s="14">
        <v>3123.1</v>
      </c>
      <c r="C1169" s="14">
        <v>1282.0999999999999</v>
      </c>
      <c r="D1169" s="14">
        <v>1336.7</v>
      </c>
      <c r="E1169" s="14">
        <v>5406</v>
      </c>
      <c r="F1169" s="14">
        <v>23643.5</v>
      </c>
    </row>
    <row r="1170" spans="1:6">
      <c r="A1170" s="12">
        <v>46160</v>
      </c>
      <c r="B1170" s="14">
        <v>3083.7</v>
      </c>
      <c r="C1170" s="14">
        <v>1348.1</v>
      </c>
      <c r="D1170" s="14">
        <v>1331.2</v>
      </c>
      <c r="E1170" s="14">
        <v>5380.5</v>
      </c>
      <c r="F1170" s="14">
        <v>23649.95</v>
      </c>
    </row>
    <row r="1171" spans="1:6">
      <c r="A1171" s="12">
        <v>46161</v>
      </c>
      <c r="B1171" s="14">
        <v>3092.3</v>
      </c>
      <c r="C1171" s="14">
        <v>1412</v>
      </c>
      <c r="D1171" s="14">
        <v>1335.2</v>
      </c>
      <c r="E1171" s="14">
        <v>5416.5</v>
      </c>
      <c r="F1171" s="14">
        <v>23618</v>
      </c>
    </row>
    <row r="1172" spans="1:6">
      <c r="A1172" s="12">
        <v>46162</v>
      </c>
      <c r="B1172" s="14">
        <v>3122.2</v>
      </c>
      <c r="C1172" s="14">
        <v>1402.3</v>
      </c>
      <c r="D1172" s="14">
        <v>1321.9</v>
      </c>
      <c r="E1172" s="14">
        <v>5344.5</v>
      </c>
      <c r="F1172" s="14">
        <v>23659</v>
      </c>
    </row>
    <row r="1173" spans="1:6">
      <c r="A1173" s="12">
        <v>46163</v>
      </c>
      <c r="B1173" s="14">
        <v>3099</v>
      </c>
      <c r="C1173" s="14">
        <v>1377</v>
      </c>
      <c r="D1173" s="14">
        <v>1318.5</v>
      </c>
      <c r="E1173" s="14">
        <v>5333</v>
      </c>
      <c r="F1173" s="14">
        <v>23654.7</v>
      </c>
    </row>
    <row r="1174" spans="1:6">
      <c r="A1174" s="12">
        <v>46164</v>
      </c>
      <c r="B1174" s="14">
        <v>3081.3</v>
      </c>
      <c r="C1174" s="14">
        <v>1387.1</v>
      </c>
      <c r="D1174" s="14">
        <v>1307.2</v>
      </c>
      <c r="E1174" s="14">
        <v>5331.5</v>
      </c>
      <c r="F1174" s="14">
        <v>23719.3</v>
      </c>
    </row>
    <row r="1175" spans="1:6">
      <c r="A1175" s="12">
        <v>46167</v>
      </c>
      <c r="B1175" s="14">
        <v>3139</v>
      </c>
      <c r="C1175" s="14">
        <v>1398</v>
      </c>
      <c r="D1175" s="14">
        <v>1331.4</v>
      </c>
      <c r="E1175" s="14">
        <v>5327</v>
      </c>
      <c r="F1175" s="14">
        <v>24031.7</v>
      </c>
    </row>
    <row r="1176" spans="1:6">
      <c r="A1176" s="12">
        <v>46168</v>
      </c>
      <c r="B1176" s="14">
        <v>3107.3</v>
      </c>
      <c r="C1176" s="14">
        <v>1422.8</v>
      </c>
      <c r="D1176" s="14">
        <v>1327.9</v>
      </c>
      <c r="E1176" s="14">
        <v>5338</v>
      </c>
      <c r="F1176" s="14">
        <v>23913.7</v>
      </c>
    </row>
    <row r="1177" spans="1:6">
      <c r="A1177" s="12">
        <v>46169</v>
      </c>
      <c r="B1177" s="14">
        <v>3121.6</v>
      </c>
      <c r="C1177" s="14">
        <v>1388.4</v>
      </c>
      <c r="D1177" s="14">
        <v>1319</v>
      </c>
      <c r="E1177" s="14">
        <v>5335.5</v>
      </c>
      <c r="F1177" s="14">
        <v>23907.15</v>
      </c>
    </row>
    <row r="1178" spans="1:6">
      <c r="A1178" s="12">
        <v>46171</v>
      </c>
      <c r="B1178" s="14">
        <v>3045.6</v>
      </c>
      <c r="C1178" s="14">
        <v>1421.8</v>
      </c>
      <c r="D1178" s="14">
        <v>1303.5</v>
      </c>
      <c r="E1178" s="14">
        <v>5204.5</v>
      </c>
      <c r="F1178" s="14">
        <v>23547.75</v>
      </c>
    </row>
    <row r="1179" spans="1:6">
      <c r="A1179" s="12">
        <v>46174</v>
      </c>
      <c r="B1179" s="14">
        <v>2970.2</v>
      </c>
      <c r="C1179" s="14">
        <v>1461.2</v>
      </c>
      <c r="D1179" s="14">
        <v>1290.4000000000001</v>
      </c>
      <c r="E1179" s="14">
        <v>5157.5</v>
      </c>
      <c r="F1179" s="14">
        <v>23382.6</v>
      </c>
    </row>
    <row r="1180" spans="1:6">
      <c r="A1180" s="12">
        <v>46175</v>
      </c>
      <c r="B1180" s="14">
        <v>2998.3</v>
      </c>
      <c r="C1180" s="14">
        <v>1519.5</v>
      </c>
      <c r="D1180" s="14">
        <v>1274</v>
      </c>
      <c r="E1180" s="14">
        <v>5117</v>
      </c>
      <c r="F1180" s="14">
        <v>23483.55</v>
      </c>
    </row>
    <row r="1181" spans="1:6">
      <c r="A1181" s="12">
        <v>46176</v>
      </c>
      <c r="B1181" s="14">
        <v>3011.1</v>
      </c>
      <c r="C1181" s="14">
        <v>1420.9</v>
      </c>
      <c r="D1181" s="14">
        <v>1263.3</v>
      </c>
      <c r="E1181" s="14">
        <v>5064</v>
      </c>
      <c r="F1181" s="14">
        <v>23405.599999999999</v>
      </c>
    </row>
    <row r="1182" spans="1:6">
      <c r="A1182" s="12">
        <v>46177</v>
      </c>
      <c r="B1182" s="14">
        <v>3016.1</v>
      </c>
      <c r="C1182" s="14">
        <v>1436.5</v>
      </c>
      <c r="D1182" s="14">
        <v>1267.5</v>
      </c>
      <c r="E1182" s="14">
        <v>5090</v>
      </c>
      <c r="F1182" s="14">
        <v>23416.55</v>
      </c>
    </row>
    <row r="1183" spans="1:6">
      <c r="A1183" s="12">
        <v>46178</v>
      </c>
      <c r="B1183" s="14">
        <v>3040.5</v>
      </c>
      <c r="C1183" s="14">
        <v>1435.5</v>
      </c>
      <c r="D1183" s="14">
        <v>1278.2</v>
      </c>
      <c r="E1183" s="14">
        <v>5120.5</v>
      </c>
      <c r="F1183" s="14">
        <v>23366.7</v>
      </c>
    </row>
    <row r="1184" spans="1:6">
      <c r="A1184" s="12">
        <v>46181</v>
      </c>
      <c r="B1184" s="14">
        <v>2966</v>
      </c>
      <c r="C1184" s="14">
        <v>1421.1</v>
      </c>
      <c r="D1184" s="14">
        <v>1275.5999999999999</v>
      </c>
      <c r="E1184" s="14">
        <v>5078.5</v>
      </c>
      <c r="F1184" s="14">
        <v>23123</v>
      </c>
    </row>
    <row r="1185" spans="1:6">
      <c r="A1185" s="12">
        <v>46182</v>
      </c>
      <c r="B1185" s="14">
        <v>2990.1</v>
      </c>
      <c r="C1185" s="14">
        <v>1412</v>
      </c>
      <c r="D1185" s="14">
        <v>1268.5</v>
      </c>
      <c r="E1185" s="14">
        <v>5107.5</v>
      </c>
      <c r="F1185" s="14">
        <v>23242.1</v>
      </c>
    </row>
    <row r="1186" spans="1:6">
      <c r="A1186" s="12">
        <v>46183</v>
      </c>
      <c r="B1186" s="14">
        <v>2952.5</v>
      </c>
      <c r="C1186" s="14">
        <v>1402.7</v>
      </c>
      <c r="D1186" s="14">
        <v>1271.7</v>
      </c>
      <c r="E1186" s="14">
        <v>5171</v>
      </c>
      <c r="F1186" s="14">
        <v>23214.95</v>
      </c>
    </row>
    <row r="1187" spans="1:6">
      <c r="A1187" s="12">
        <v>46184</v>
      </c>
      <c r="B1187" s="14">
        <v>3000.9</v>
      </c>
      <c r="C1187" s="14">
        <v>1393.8</v>
      </c>
      <c r="D1187" s="14">
        <v>1276</v>
      </c>
      <c r="E1187" s="14">
        <v>5113</v>
      </c>
      <c r="F1187" s="14">
        <v>23161.599999999999</v>
      </c>
    </row>
    <row r="1188" spans="1:6">
      <c r="A1188" s="12">
        <v>46185</v>
      </c>
      <c r="B1188" s="14">
        <v>3042.9</v>
      </c>
      <c r="C1188" s="14">
        <v>1367.2</v>
      </c>
      <c r="D1188" s="14">
        <v>1275.4000000000001</v>
      </c>
      <c r="E1188" s="14">
        <v>5165.5</v>
      </c>
      <c r="F1188" s="14">
        <v>23622.9</v>
      </c>
    </row>
    <row r="1189" spans="1:6">
      <c r="A1189" s="12">
        <v>46188</v>
      </c>
      <c r="B1189" s="14">
        <v>3134.3</v>
      </c>
      <c r="C1189" s="14">
        <v>1402.5</v>
      </c>
      <c r="D1189" s="14">
        <v>1279.5</v>
      </c>
      <c r="E1189" s="14">
        <v>5199.5</v>
      </c>
      <c r="F1189" s="14">
        <v>23853.9</v>
      </c>
    </row>
    <row r="1190" spans="1:6">
      <c r="A1190" s="12">
        <v>46189</v>
      </c>
      <c r="B1190" s="14">
        <v>3137.9</v>
      </c>
      <c r="C1190" s="14">
        <v>1464.8</v>
      </c>
      <c r="D1190" s="14">
        <v>1276.9000000000001</v>
      </c>
      <c r="E1190" s="14">
        <v>5217.5</v>
      </c>
      <c r="F1190" s="14">
        <v>23989.15</v>
      </c>
    </row>
    <row r="1191" spans="1:6">
      <c r="A1191" s="12">
        <v>46190</v>
      </c>
      <c r="B1191" s="14">
        <v>3132.9</v>
      </c>
      <c r="C1191" s="14">
        <v>1465.7</v>
      </c>
      <c r="D1191" s="14">
        <v>1269</v>
      </c>
      <c r="E1191" s="14">
        <v>5232</v>
      </c>
      <c r="F1191" s="14">
        <v>24085.7</v>
      </c>
    </row>
    <row r="1192" spans="1:6">
      <c r="A1192" s="12">
        <v>46191</v>
      </c>
      <c r="B1192" s="14">
        <v>3136.5</v>
      </c>
      <c r="C1192" s="14">
        <v>1483</v>
      </c>
      <c r="D1192" s="14">
        <v>1267.5</v>
      </c>
      <c r="E1192" s="14">
        <v>5245</v>
      </c>
      <c r="F1192" s="14">
        <v>24168</v>
      </c>
    </row>
    <row r="1193" spans="1:6">
      <c r="A1193" s="12">
        <v>46192</v>
      </c>
      <c r="B1193" s="14">
        <v>3074.8</v>
      </c>
      <c r="C1193" s="14">
        <v>1463.3</v>
      </c>
      <c r="D1193" s="14">
        <v>1272.0999999999999</v>
      </c>
      <c r="E1193" s="14">
        <v>5195</v>
      </c>
      <c r="F1193" s="14">
        <v>24013.1</v>
      </c>
    </row>
    <row r="1194" spans="1:6">
      <c r="A1194" s="12">
        <v>46195</v>
      </c>
      <c r="B1194" s="14">
        <v>3063.4</v>
      </c>
      <c r="C1194" s="14">
        <v>1483.9</v>
      </c>
      <c r="D1194" s="14">
        <v>1290.7</v>
      </c>
      <c r="E1194" s="14">
        <v>5217.5</v>
      </c>
      <c r="F1194" s="14">
        <v>24102.9</v>
      </c>
    </row>
    <row r="1195" spans="1:6">
      <c r="A1195" s="12">
        <v>46196</v>
      </c>
      <c r="B1195" s="14">
        <v>3037.3</v>
      </c>
      <c r="C1195" s="14">
        <v>1481.2</v>
      </c>
      <c r="D1195" s="14">
        <v>1301.3</v>
      </c>
      <c r="E1195" s="14">
        <v>5241</v>
      </c>
      <c r="F1195" s="14">
        <v>23824.1</v>
      </c>
    </row>
    <row r="1196" spans="1:6">
      <c r="A1196" s="12">
        <v>46197</v>
      </c>
      <c r="B1196" s="14">
        <v>3064.5</v>
      </c>
      <c r="C1196" s="14">
        <v>1497.9</v>
      </c>
      <c r="D1196" s="14">
        <v>1328.4</v>
      </c>
      <c r="E1196" s="14">
        <v>5262.5</v>
      </c>
      <c r="F1196" s="14">
        <v>24021.65</v>
      </c>
    </row>
    <row r="1197" spans="1:6">
      <c r="A1197" s="12">
        <v>46198</v>
      </c>
      <c r="B1197" s="14">
        <v>3182.2</v>
      </c>
      <c r="C1197" s="14">
        <v>1492.9</v>
      </c>
      <c r="D1197" s="14">
        <v>1350.5</v>
      </c>
      <c r="E1197" s="14">
        <v>5237</v>
      </c>
      <c r="F1197" s="14">
        <v>24056</v>
      </c>
    </row>
    <row r="1198" spans="1:6">
      <c r="A1198" s="12">
        <v>46202</v>
      </c>
      <c r="B1198" s="14">
        <v>3093</v>
      </c>
      <c r="C1198" s="14">
        <v>1491.4</v>
      </c>
      <c r="D1198" s="14">
        <v>1375.7</v>
      </c>
      <c r="E1198" s="14">
        <v>5102</v>
      </c>
      <c r="F1198" s="14">
        <v>23946.25</v>
      </c>
    </row>
    <row r="1199" spans="1:6">
      <c r="A1199" s="12">
        <v>46203</v>
      </c>
      <c r="B1199" s="14">
        <v>3068.8</v>
      </c>
      <c r="C1199" s="14">
        <v>1465.7</v>
      </c>
      <c r="D1199" s="14">
        <v>1357.1</v>
      </c>
      <c r="E1199" s="14">
        <v>5146.5</v>
      </c>
      <c r="F1199" s="14">
        <v>23865.75</v>
      </c>
    </row>
    <row r="1200" spans="1:6">
      <c r="A1200" s="12">
        <v>46204</v>
      </c>
      <c r="B1200" s="14">
        <v>3130</v>
      </c>
      <c r="C1200" s="14">
        <v>1370.7</v>
      </c>
      <c r="D1200" s="14">
        <v>1339.9</v>
      </c>
      <c r="E1200" s="14">
        <v>5262</v>
      </c>
      <c r="F1200" s="14">
        <v>24005.85</v>
      </c>
    </row>
    <row r="1201" spans="1:6">
      <c r="A1201" s="12">
        <v>46205</v>
      </c>
      <c r="B1201" s="14">
        <v>3175.4</v>
      </c>
      <c r="C1201" s="14">
        <v>1441.9</v>
      </c>
      <c r="D1201" s="14">
        <v>1345.7</v>
      </c>
      <c r="E1201" s="14">
        <v>5374</v>
      </c>
      <c r="F1201" s="14">
        <v>24175.7</v>
      </c>
    </row>
    <row r="1202" spans="1:6">
      <c r="A1202" s="12">
        <v>46206</v>
      </c>
      <c r="B1202" s="14">
        <v>3136.9</v>
      </c>
      <c r="C1202" s="14">
        <v>1464</v>
      </c>
      <c r="D1202" s="14">
        <v>1374.1</v>
      </c>
      <c r="E1202" s="14">
        <v>5379</v>
      </c>
      <c r="F1202" s="14">
        <v>24270.85</v>
      </c>
    </row>
    <row r="1203" spans="1:6">
      <c r="A1203" s="12">
        <v>46209</v>
      </c>
      <c r="B1203" s="14">
        <v>3201.2</v>
      </c>
      <c r="C1203" s="14">
        <v>1481.9</v>
      </c>
      <c r="D1203" s="14">
        <v>1367.9</v>
      </c>
      <c r="E1203" s="14">
        <v>5454.5</v>
      </c>
      <c r="F1203" s="14">
        <v>24430.35</v>
      </c>
    </row>
    <row r="1204" spans="1:6">
      <c r="A1204" s="12">
        <v>46210</v>
      </c>
      <c r="B1204" s="14">
        <v>3196.4</v>
      </c>
      <c r="C1204" s="14">
        <v>1516.2</v>
      </c>
      <c r="D1204" s="14">
        <v>1354.6</v>
      </c>
      <c r="E1204" s="14">
        <v>5447</v>
      </c>
      <c r="F1204" s="14">
        <v>24398.7</v>
      </c>
    </row>
    <row r="1205" spans="1:6">
      <c r="A1205" s="12">
        <v>46211</v>
      </c>
      <c r="B1205" s="14">
        <v>3102.5</v>
      </c>
      <c r="C1205" s="14">
        <v>1445.9</v>
      </c>
      <c r="D1205" s="14">
        <v>1349</v>
      </c>
      <c r="E1205" s="14">
        <v>5315.5</v>
      </c>
      <c r="F1205" s="14">
        <v>23882.05</v>
      </c>
    </row>
    <row r="1206" spans="1:6">
      <c r="A1206" s="12">
        <v>46212</v>
      </c>
      <c r="B1206" s="14">
        <v>3085.4</v>
      </c>
      <c r="C1206" s="14">
        <v>1468.6</v>
      </c>
      <c r="D1206" s="14">
        <v>1269.5</v>
      </c>
      <c r="E1206" s="14">
        <v>5361.5</v>
      </c>
      <c r="F1206" s="14">
        <v>23962.799999999999</v>
      </c>
    </row>
    <row r="1207" spans="1:6">
      <c r="A1207" s="12">
        <v>46213</v>
      </c>
      <c r="B1207" s="14">
        <v>3129.4</v>
      </c>
      <c r="C1207" s="14">
        <v>1503.8</v>
      </c>
      <c r="D1207" s="14">
        <v>1244.3</v>
      </c>
      <c r="E1207" s="14">
        <v>5353</v>
      </c>
      <c r="F1207" s="14">
        <v>24206.9</v>
      </c>
    </row>
    <row r="1208" spans="1:6">
      <c r="A1208" s="12">
        <v>46216</v>
      </c>
      <c r="B1208" s="14">
        <v>3160.4</v>
      </c>
      <c r="C1208" s="14">
        <v>1540.9</v>
      </c>
      <c r="D1208" s="14">
        <v>1234.5</v>
      </c>
      <c r="E1208" s="14">
        <v>5348.5</v>
      </c>
      <c r="F1208" s="14">
        <v>24211</v>
      </c>
    </row>
    <row r="1209" spans="1:6">
      <c r="A1209" s="12">
        <v>46217</v>
      </c>
      <c r="B1209" s="14">
        <v>3093.3</v>
      </c>
      <c r="C1209" s="14">
        <v>1534.5</v>
      </c>
      <c r="D1209" s="14">
        <v>1246.2</v>
      </c>
      <c r="E1209" s="14">
        <v>5283.5</v>
      </c>
      <c r="F1209" s="14">
        <v>24052.05</v>
      </c>
    </row>
    <row r="1210" spans="1:6">
      <c r="A1210" s="12">
        <v>46218</v>
      </c>
      <c r="B1210" s="14">
        <v>3082.9</v>
      </c>
      <c r="C1210" s="14">
        <v>1533.2</v>
      </c>
      <c r="D1210" s="14">
        <v>1229.5</v>
      </c>
      <c r="E1210" s="14">
        <v>5315.5</v>
      </c>
      <c r="F1210" s="14">
        <v>24078.5</v>
      </c>
    </row>
    <row r="1211" spans="1:6">
      <c r="A1211" s="12">
        <v>46219</v>
      </c>
      <c r="B1211" s="14">
        <v>3117.8</v>
      </c>
      <c r="C1211" s="14">
        <v>1530.7</v>
      </c>
      <c r="D1211" s="14">
        <v>1224.4000000000001</v>
      </c>
      <c r="E1211" s="14">
        <v>5310.5</v>
      </c>
      <c r="F1211" s="14">
        <v>24072.75</v>
      </c>
    </row>
    <row r="1212" spans="1:6">
      <c r="A1212" s="12">
        <v>46220</v>
      </c>
      <c r="B1212" s="14">
        <v>3179.2</v>
      </c>
      <c r="C1212" s="14">
        <v>1508.4</v>
      </c>
      <c r="D1212" s="14">
        <v>1211.2</v>
      </c>
      <c r="E1212" s="14">
        <v>5412.5</v>
      </c>
      <c r="F1212" s="14">
        <v>24334.3</v>
      </c>
    </row>
    <row r="1213" spans="1:6">
      <c r="A1213" s="12">
        <v>46223</v>
      </c>
      <c r="B1213" s="14">
        <v>3165.5</v>
      </c>
      <c r="C1213" s="14">
        <v>1507.4</v>
      </c>
      <c r="D1213" s="14">
        <v>1223.0999999999999</v>
      </c>
      <c r="E1213" s="14">
        <v>5470</v>
      </c>
      <c r="F1213" s="14">
        <v>24238.5</v>
      </c>
    </row>
    <row r="1214" spans="1:6">
      <c r="A1214" s="12">
        <v>46224</v>
      </c>
      <c r="B1214" s="14">
        <v>3201.7</v>
      </c>
      <c r="C1214" s="14">
        <v>1494</v>
      </c>
      <c r="D1214" s="14">
        <v>1206</v>
      </c>
      <c r="E1214" s="14">
        <v>5482</v>
      </c>
      <c r="F1214" s="14">
        <v>24187.7</v>
      </c>
    </row>
    <row r="1215" spans="1:6">
      <c r="A1215" s="12">
        <v>46225</v>
      </c>
      <c r="B1215" s="14">
        <v>3175.3</v>
      </c>
      <c r="C1215" s="14">
        <v>1471.4</v>
      </c>
      <c r="D1215" s="14">
        <v>1182.8</v>
      </c>
      <c r="E1215" s="14">
        <v>5485.5</v>
      </c>
      <c r="F1215" s="14">
        <v>23996.25</v>
      </c>
    </row>
    <row r="1216" spans="1:6">
      <c r="A1216" s="12">
        <v>46226</v>
      </c>
      <c r="B1216" s="14">
        <v>3229.7</v>
      </c>
      <c r="C1216" s="14">
        <v>1439.9</v>
      </c>
      <c r="D1216" s="14">
        <v>1166.3</v>
      </c>
      <c r="E1216" s="14">
        <v>5388</v>
      </c>
      <c r="F1216" s="14">
        <v>23869.599999999999</v>
      </c>
    </row>
    <row r="1217" spans="1:6">
      <c r="A1217" s="12">
        <v>46227</v>
      </c>
      <c r="B1217" s="14">
        <v>3161.4</v>
      </c>
      <c r="C1217" s="14">
        <v>1484.7</v>
      </c>
      <c r="D1217" s="14">
        <v>1151.7</v>
      </c>
      <c r="E1217" s="14">
        <v>5379.5</v>
      </c>
      <c r="F1217" s="14">
        <v>23767.45</v>
      </c>
    </row>
    <row r="1218" spans="1:6">
      <c r="A1218" s="12">
        <v>46230</v>
      </c>
      <c r="B1218" s="14">
        <v>3238.6</v>
      </c>
      <c r="C1218" s="14">
        <v>1528.4</v>
      </c>
      <c r="D1218" s="14">
        <v>1150.8</v>
      </c>
      <c r="E1218" s="14">
        <v>5384.5</v>
      </c>
      <c r="F1218" s="14">
        <v>23995.95</v>
      </c>
    </row>
    <row r="1219" spans="1:6">
      <c r="A1219" s="12">
        <v>46231</v>
      </c>
      <c r="B1219" s="14">
        <v>3271.2</v>
      </c>
      <c r="C1219" s="14">
        <v>1686</v>
      </c>
      <c r="D1219" s="14">
        <v>1135.5999999999999</v>
      </c>
      <c r="E1219" s="14">
        <v>5478.5</v>
      </c>
      <c r="F1219" s="14">
        <v>23985.35</v>
      </c>
    </row>
    <row r="1220" spans="1:6">
      <c r="A1220" s="12">
        <v>46232</v>
      </c>
      <c r="B1220" s="14">
        <v>3221.8</v>
      </c>
      <c r="C1220" s="14">
        <v>1714.9</v>
      </c>
      <c r="D1220" s="14">
        <v>1142.3</v>
      </c>
      <c r="E1220" s="14">
        <v>5517.5</v>
      </c>
      <c r="F1220" s="14">
        <v>24250.2</v>
      </c>
    </row>
    <row r="1221" spans="1:6">
      <c r="A1221" s="12">
        <v>46233</v>
      </c>
      <c r="B1221" s="14">
        <v>3283.7</v>
      </c>
      <c r="C1221" s="14">
        <v>1746.9</v>
      </c>
      <c r="D1221" s="14">
        <v>1144.8</v>
      </c>
      <c r="E1221" s="14">
        <v>5524.5</v>
      </c>
      <c r="F1221" s="14">
        <v>24317.15</v>
      </c>
    </row>
    <row r="1222" spans="1:6">
      <c r="A1222" s="12">
        <v>46234</v>
      </c>
      <c r="B1222" s="14">
        <v>3398.5</v>
      </c>
      <c r="C1222" s="14">
        <v>1721</v>
      </c>
      <c r="D1222" s="14">
        <v>1148.0999999999999</v>
      </c>
      <c r="E1222" s="14">
        <v>5416.5</v>
      </c>
      <c r="F1222" s="14">
        <v>24383.599999999999</v>
      </c>
    </row>
    <row r="1223" spans="1:6">
      <c r="A1223" s="12">
        <v>46237</v>
      </c>
      <c r="B1223" s="14">
        <v>3428.6</v>
      </c>
      <c r="C1223" s="14">
        <v>1768</v>
      </c>
      <c r="D1223" s="14">
        <v>1180</v>
      </c>
      <c r="E1223" s="14">
        <v>5531</v>
      </c>
      <c r="F1223" s="14">
        <v>24774.3</v>
      </c>
    </row>
    <row r="1224" spans="1:6">
      <c r="A1224" s="12">
        <v>46238</v>
      </c>
      <c r="B1224" s="14">
        <v>3433</v>
      </c>
      <c r="C1224" s="14">
        <v>1749.9</v>
      </c>
      <c r="D1224" s="14">
        <v>1172.5999999999999</v>
      </c>
      <c r="E1224" s="14">
        <v>5478</v>
      </c>
      <c r="F1224" s="14">
        <v>24614.9</v>
      </c>
    </row>
    <row r="1225" spans="1:6">
      <c r="A1225" s="12">
        <v>46239</v>
      </c>
      <c r="B1225" s="14">
        <v>3455.4</v>
      </c>
      <c r="C1225" s="14">
        <v>1777</v>
      </c>
      <c r="D1225" s="14">
        <v>1176</v>
      </c>
      <c r="E1225" s="14">
        <v>5440</v>
      </c>
      <c r="F1225" s="14">
        <v>24624.65</v>
      </c>
    </row>
    <row r="1226" spans="1:6">
      <c r="A1226" s="12">
        <v>46240</v>
      </c>
      <c r="B1226" s="14">
        <v>3406</v>
      </c>
      <c r="C1226" s="14">
        <v>1772.8</v>
      </c>
      <c r="D1226" s="14">
        <v>1171</v>
      </c>
      <c r="E1226" s="14">
        <v>5404</v>
      </c>
      <c r="F1226" s="14">
        <v>24636</v>
      </c>
    </row>
    <row r="1227" spans="1:6">
      <c r="A1227" s="12">
        <v>46241</v>
      </c>
      <c r="B1227" s="14">
        <v>3502</v>
      </c>
      <c r="C1227" s="14">
        <v>1776</v>
      </c>
      <c r="D1227" s="14">
        <v>1172</v>
      </c>
      <c r="E1227" s="14">
        <v>5510</v>
      </c>
      <c r="F1227" s="14">
        <v>24570.65</v>
      </c>
    </row>
    <row r="1228" spans="1:6">
      <c r="A1228" s="12">
        <v>46244</v>
      </c>
      <c r="B1228" s="14">
        <v>3517</v>
      </c>
      <c r="C1228" s="14">
        <v>1810</v>
      </c>
      <c r="D1228" s="14">
        <v>1158.8</v>
      </c>
      <c r="E1228" s="14">
        <v>5623.5</v>
      </c>
      <c r="F1228" s="14">
        <v>24583.8</v>
      </c>
    </row>
    <row r="1229" spans="1:6">
      <c r="A1229" s="12">
        <v>46245</v>
      </c>
      <c r="B1229" s="14">
        <v>3460.1</v>
      </c>
      <c r="C1229" s="14">
        <v>1819</v>
      </c>
      <c r="D1229" s="14">
        <v>1205</v>
      </c>
      <c r="E1229" s="14">
        <v>5598</v>
      </c>
      <c r="F1229" s="14">
        <v>24471.7</v>
      </c>
    </row>
    <row r="1230" spans="1:6">
      <c r="A1230" s="12">
        <v>46246</v>
      </c>
      <c r="B1230" s="14">
        <v>3403.6</v>
      </c>
      <c r="C1230" s="14">
        <v>1801.5</v>
      </c>
      <c r="D1230" s="14">
        <v>1200</v>
      </c>
      <c r="E1230" s="14">
        <v>5645.5</v>
      </c>
      <c r="F1230" s="14">
        <v>24435.95</v>
      </c>
    </row>
    <row r="1231" spans="1:6">
      <c r="A1231" s="12">
        <v>46247</v>
      </c>
      <c r="B1231" s="14">
        <v>3428.2</v>
      </c>
      <c r="C1231" s="14">
        <v>1829</v>
      </c>
      <c r="D1231" s="14">
        <v>1206</v>
      </c>
      <c r="E1231" s="14">
        <v>5615</v>
      </c>
      <c r="F1231" s="14">
        <v>24395.85</v>
      </c>
    </row>
    <row r="1232" spans="1:6">
      <c r="A1232" s="12">
        <v>46248</v>
      </c>
      <c r="B1232" s="14">
        <v>3428.3</v>
      </c>
      <c r="C1232" s="14">
        <v>1812</v>
      </c>
      <c r="D1232" s="14">
        <v>1200</v>
      </c>
      <c r="E1232" s="14">
        <v>5558</v>
      </c>
      <c r="F1232" s="14">
        <v>24366</v>
      </c>
    </row>
    <row r="1233" spans="1:6">
      <c r="A1233" s="12">
        <v>46251</v>
      </c>
      <c r="B1233" s="14">
        <v>3390.4</v>
      </c>
      <c r="C1233" s="14">
        <v>1806</v>
      </c>
      <c r="D1233" s="14">
        <v>1192</v>
      </c>
      <c r="E1233" s="14">
        <v>5521</v>
      </c>
      <c r="F1233" s="14">
        <v>24287.65</v>
      </c>
    </row>
    <row r="1234" spans="1:6">
      <c r="A1234" s="12">
        <v>46252</v>
      </c>
      <c r="B1234" s="14">
        <v>3421.5</v>
      </c>
      <c r="C1234" s="14">
        <v>1773</v>
      </c>
      <c r="D1234" s="14">
        <v>1178.8</v>
      </c>
      <c r="E1234" s="14">
        <v>5495</v>
      </c>
      <c r="F1234" s="14">
        <v>24154.9</v>
      </c>
    </row>
    <row r="1235" spans="1:6">
      <c r="A1235" s="12">
        <v>46253</v>
      </c>
      <c r="B1235" s="14">
        <v>3415</v>
      </c>
      <c r="C1235" s="14">
        <v>1813.1</v>
      </c>
      <c r="D1235" s="14">
        <v>1170</v>
      </c>
      <c r="E1235" s="14">
        <v>5453</v>
      </c>
      <c r="F1235" s="14">
        <v>24078.3</v>
      </c>
    </row>
    <row r="1236" spans="1:6">
      <c r="A1236" s="12">
        <v>46254</v>
      </c>
      <c r="B1236" s="14">
        <v>3424.8</v>
      </c>
      <c r="C1236" s="14">
        <v>1882</v>
      </c>
      <c r="D1236" s="14">
        <v>1180</v>
      </c>
      <c r="E1236" s="14">
        <v>5548</v>
      </c>
      <c r="F1236" s="14">
        <v>24231.85</v>
      </c>
    </row>
    <row r="1237" spans="1:6">
      <c r="A1237" s="12">
        <v>46255</v>
      </c>
      <c r="B1237" s="14">
        <v>3412.2</v>
      </c>
      <c r="C1237" s="14">
        <v>1891.7</v>
      </c>
      <c r="D1237" s="14">
        <v>1174.7</v>
      </c>
      <c r="E1237" s="14">
        <v>5365</v>
      </c>
      <c r="F1237" s="14">
        <v>24252</v>
      </c>
    </row>
    <row r="1238" spans="1:6">
      <c r="A1238" s="12">
        <v>46258</v>
      </c>
      <c r="B1238" s="14">
        <v>3414.1</v>
      </c>
      <c r="C1238" s="14">
        <v>1873</v>
      </c>
      <c r="D1238" s="14">
        <v>1190</v>
      </c>
      <c r="E1238" s="14">
        <v>5311</v>
      </c>
      <c r="F1238" s="14">
        <v>24219.05</v>
      </c>
    </row>
    <row r="1239" spans="1:6">
      <c r="A1239" s="12">
        <v>46259</v>
      </c>
      <c r="B1239" s="14">
        <v>3443</v>
      </c>
      <c r="C1239" s="14">
        <v>1892.8</v>
      </c>
      <c r="D1239" s="14">
        <v>1193.5</v>
      </c>
      <c r="E1239" s="14">
        <v>5382.5</v>
      </c>
      <c r="F1239" s="14">
        <v>24334.55</v>
      </c>
    </row>
    <row r="1240" spans="1:6">
      <c r="A1240" s="12">
        <v>46260</v>
      </c>
      <c r="B1240" s="14">
        <v>3398.2</v>
      </c>
      <c r="C1240" s="14">
        <v>1880</v>
      </c>
      <c r="D1240" s="14">
        <v>1182</v>
      </c>
      <c r="E1240" s="14">
        <v>5310</v>
      </c>
      <c r="F1240" s="14">
        <v>24207.75</v>
      </c>
    </row>
    <row r="1241" spans="1:6">
      <c r="A1241" s="12">
        <v>46261</v>
      </c>
      <c r="B1241" s="14">
        <v>3330</v>
      </c>
      <c r="C1241" s="14">
        <v>1901.8</v>
      </c>
      <c r="D1241" s="14">
        <v>1177</v>
      </c>
      <c r="E1241" s="14">
        <v>5298</v>
      </c>
      <c r="F1241" s="14">
        <v>24090.85</v>
      </c>
    </row>
    <row r="1242" spans="1:6">
      <c r="A1242" s="12">
        <v>46262</v>
      </c>
      <c r="B1242" s="14">
        <v>3334</v>
      </c>
      <c r="C1242" s="14">
        <v>2014.6</v>
      </c>
      <c r="D1242" s="14">
        <v>1178</v>
      </c>
      <c r="E1242" s="14">
        <v>5308.5</v>
      </c>
      <c r="F1242" s="14">
        <v>24175.65</v>
      </c>
    </row>
    <row r="1243" spans="1:6">
      <c r="A1243" s="12">
        <v>46265</v>
      </c>
      <c r="B1243" s="14">
        <v>3282</v>
      </c>
      <c r="C1243" s="14">
        <v>1985.3</v>
      </c>
      <c r="D1243" s="14">
        <v>1154.4000000000001</v>
      </c>
      <c r="E1243" s="14">
        <v>5250</v>
      </c>
      <c r="F1243" s="14">
        <v>24080.400000000001</v>
      </c>
    </row>
    <row r="1245" spans="1:6" ht="18" customHeight="1">
      <c r="A1245" s="109" t="s">
        <v>215</v>
      </c>
      <c r="B1245" s="108"/>
      <c r="C1245" s="108"/>
      <c r="D1245" s="108"/>
      <c r="E1245" s="108"/>
      <c r="F1245" s="108"/>
    </row>
    <row r="1246" spans="1:6">
      <c r="A1246" s="110" t="s">
        <v>209</v>
      </c>
      <c r="B1246" s="110" t="s">
        <v>210</v>
      </c>
      <c r="C1246" s="110" t="s">
        <v>211</v>
      </c>
      <c r="D1246" s="110" t="s">
        <v>212</v>
      </c>
      <c r="E1246" s="110" t="s">
        <v>213</v>
      </c>
      <c r="F1246" s="110" t="s">
        <v>214</v>
      </c>
    </row>
    <row r="1247" spans="1:6">
      <c r="A1247" s="111">
        <f t="shared" ref="A1247:A1310" si="0">A5</f>
        <v>44441</v>
      </c>
      <c r="B1247" s="112">
        <f>IFERROR((B5/B4-1),"")</f>
        <v>-2.2665281205351273E-2</v>
      </c>
      <c r="C1247" s="112">
        <f t="shared" ref="C1247:E1247" si="1">IFERROR((C5/C4-1),"")</f>
        <v>-1.8577469013363324E-3</v>
      </c>
      <c r="D1247" s="112">
        <f t="shared" si="1"/>
        <v>2.0205943171440977E-2</v>
      </c>
      <c r="E1247" s="112">
        <f t="shared" si="1"/>
        <v>1.7619883696315286E-2</v>
      </c>
      <c r="F1247" s="112">
        <f>IFERROR((F5/F4-1),"")</f>
        <v>9.2467608520607758E-3</v>
      </c>
    </row>
    <row r="1248" spans="1:6">
      <c r="A1248" s="111">
        <f t="shared" si="0"/>
        <v>44442</v>
      </c>
      <c r="B1248" s="112">
        <f t="shared" ref="B1248:F1248" si="2">IFERROR((B6/B5-1),"")</f>
        <v>-3.388929496976667E-3</v>
      </c>
      <c r="C1248" s="112">
        <f t="shared" si="2"/>
        <v>1.6537577913706247E-2</v>
      </c>
      <c r="D1248" s="112">
        <f t="shared" si="2"/>
        <v>7.9943206370762798E-3</v>
      </c>
      <c r="E1248" s="112">
        <f t="shared" si="2"/>
        <v>9.3242945596045956E-3</v>
      </c>
      <c r="F1248" s="112">
        <f t="shared" si="2"/>
        <v>5.1902762828452964E-3</v>
      </c>
    </row>
    <row r="1249" spans="1:6">
      <c r="A1249" s="111">
        <f t="shared" si="0"/>
        <v>44445</v>
      </c>
      <c r="B1249" s="112">
        <f t="shared" ref="B1249:F1249" si="3">IFERROR((B7/B6-1),"")</f>
        <v>6.4675290038671562E-3</v>
      </c>
      <c r="C1249" s="112">
        <f t="shared" si="3"/>
        <v>7.1997329900348461E-3</v>
      </c>
      <c r="D1249" s="112">
        <f t="shared" si="3"/>
        <v>3.5520715313714923E-3</v>
      </c>
      <c r="E1249" s="112">
        <f t="shared" si="3"/>
        <v>-1.0947577712041023E-2</v>
      </c>
      <c r="F1249" s="112">
        <f t="shared" si="3"/>
        <v>3.1286799510494845E-3</v>
      </c>
    </row>
    <row r="1250" spans="1:6">
      <c r="A1250" s="111">
        <f t="shared" si="0"/>
        <v>44446</v>
      </c>
      <c r="B1250" s="112">
        <f t="shared" ref="B1250:F1250" si="4">IFERROR((B8/B7-1),"")</f>
        <v>-2.1861543557468721E-3</v>
      </c>
      <c r="C1250" s="112">
        <f t="shared" si="4"/>
        <v>-1.9210376822571429E-2</v>
      </c>
      <c r="D1250" s="112">
        <f t="shared" si="4"/>
        <v>-3.7632604074492315E-3</v>
      </c>
      <c r="E1250" s="112">
        <f t="shared" si="4"/>
        <v>4.0205439992153647E-3</v>
      </c>
      <c r="F1250" s="112">
        <f t="shared" si="4"/>
        <v>-9.0345153011317514E-4</v>
      </c>
    </row>
    <row r="1251" spans="1:6">
      <c r="A1251" s="111">
        <f t="shared" si="0"/>
        <v>44447</v>
      </c>
      <c r="B1251" s="112">
        <f t="shared" ref="B1251:F1251" si="5">IFERROR((B9/B8-1),"")</f>
        <v>2.1909440977294636E-3</v>
      </c>
      <c r="C1251" s="112">
        <f t="shared" si="5"/>
        <v>-8.3887596412816068E-3</v>
      </c>
      <c r="D1251" s="112">
        <f t="shared" si="5"/>
        <v>2.8280023277420518E-3</v>
      </c>
      <c r="E1251" s="112">
        <f t="shared" si="5"/>
        <v>-8.3141046771416649E-3</v>
      </c>
      <c r="F1251" s="112">
        <f t="shared" si="5"/>
        <v>-4.9533178590144278E-4</v>
      </c>
    </row>
    <row r="1252" spans="1:6">
      <c r="A1252" s="111">
        <f t="shared" si="0"/>
        <v>44448</v>
      </c>
      <c r="B1252" s="112">
        <f t="shared" ref="B1252:F1252" si="6">IFERROR((B10/B9-1),"")</f>
        <v>-5.2997681351441006E-3</v>
      </c>
      <c r="C1252" s="112">
        <f t="shared" si="6"/>
        <v>-4.117910476820974E-3</v>
      </c>
      <c r="D1252" s="112">
        <f t="shared" si="6"/>
        <v>1.5270905870123919E-4</v>
      </c>
      <c r="E1252" s="112">
        <f t="shared" si="6"/>
        <v>2.3144728418771354E-3</v>
      </c>
      <c r="F1252" s="112">
        <f t="shared" si="6"/>
        <v>9.0759789091543475E-4</v>
      </c>
    </row>
    <row r="1253" spans="1:6">
      <c r="A1253" s="111">
        <f t="shared" si="0"/>
        <v>44452</v>
      </c>
      <c r="B1253" s="112">
        <f t="shared" ref="B1253:F1253" si="7">IFERROR((B11/B10-1),"")</f>
        <v>-6.9264069264070027E-3</v>
      </c>
      <c r="C1253" s="112">
        <f t="shared" si="7"/>
        <v>1.2297285408459535E-2</v>
      </c>
      <c r="D1253" s="112">
        <f t="shared" si="7"/>
        <v>3.9392921488992094E-3</v>
      </c>
      <c r="E1253" s="112">
        <f t="shared" si="7"/>
        <v>5.6622776849759582E-3</v>
      </c>
      <c r="F1253" s="112">
        <f t="shared" si="7"/>
        <v>-8.0314348633370169E-4</v>
      </c>
    </row>
    <row r="1254" spans="1:6">
      <c r="A1254" s="111">
        <f t="shared" si="0"/>
        <v>44453</v>
      </c>
      <c r="B1254" s="112">
        <f t="shared" ref="B1254:F1254" si="8">IFERROR((B12/B11-1),"")</f>
        <v>6.2370062370062929E-3</v>
      </c>
      <c r="C1254" s="112">
        <f t="shared" si="8"/>
        <v>2.2731442587174078E-2</v>
      </c>
      <c r="D1254" s="112">
        <f t="shared" si="8"/>
        <v>-1.3180841140447708E-4</v>
      </c>
      <c r="E1254" s="112">
        <f t="shared" si="8"/>
        <v>1.868656643501776E-3</v>
      </c>
      <c r="F1254" s="112">
        <f t="shared" si="8"/>
        <v>1.4231963722897145E-3</v>
      </c>
    </row>
    <row r="1255" spans="1:6">
      <c r="A1255" s="111">
        <f t="shared" si="0"/>
        <v>44454</v>
      </c>
      <c r="B1255" s="112">
        <f t="shared" ref="B1255:F1255" si="9">IFERROR((B13/B12-1),"")</f>
        <v>6.5315915755799203E-3</v>
      </c>
      <c r="C1255" s="112">
        <f t="shared" si="9"/>
        <v>1.3926787585803124E-2</v>
      </c>
      <c r="D1255" s="112">
        <f t="shared" si="9"/>
        <v>6.4594635704506853E-3</v>
      </c>
      <c r="E1255" s="112">
        <f t="shared" si="9"/>
        <v>-3.6937705717420277E-3</v>
      </c>
      <c r="F1255" s="112">
        <f t="shared" si="9"/>
        <v>8.0235903337169123E-3</v>
      </c>
    </row>
    <row r="1256" spans="1:6">
      <c r="A1256" s="111">
        <f t="shared" si="0"/>
        <v>44455</v>
      </c>
      <c r="B1256" s="112">
        <f t="shared" ref="B1256:F1256" si="10">IFERROR((B14/B13-1),"")</f>
        <v>2.4500066216395222E-3</v>
      </c>
      <c r="C1256" s="112">
        <f t="shared" si="10"/>
        <v>1.7907362225988432E-2</v>
      </c>
      <c r="D1256" s="112">
        <f t="shared" si="10"/>
        <v>-6.1761979607464212E-3</v>
      </c>
      <c r="E1256" s="112">
        <f t="shared" si="10"/>
        <v>-3.2547383361679616E-3</v>
      </c>
      <c r="F1256" s="112">
        <f t="shared" si="10"/>
        <v>6.2815898900936418E-3</v>
      </c>
    </row>
    <row r="1257" spans="1:6">
      <c r="A1257" s="111">
        <f t="shared" si="0"/>
        <v>44456</v>
      </c>
      <c r="B1257" s="112">
        <f t="shared" ref="B1257:F1257" si="11">IFERROR((B15/B14-1),"")</f>
        <v>-3.6990554197767755E-3</v>
      </c>
      <c r="C1257" s="112">
        <f t="shared" si="11"/>
        <v>-3.7965766771261844E-3</v>
      </c>
      <c r="D1257" s="112">
        <f t="shared" si="11"/>
        <v>-9.610803029227788E-3</v>
      </c>
      <c r="E1257" s="112">
        <f t="shared" si="11"/>
        <v>-5.2049446974626878E-3</v>
      </c>
      <c r="F1257" s="112">
        <f t="shared" si="11"/>
        <v>-2.5156697580758225E-3</v>
      </c>
    </row>
    <row r="1258" spans="1:6">
      <c r="A1258" s="111">
        <f t="shared" si="0"/>
        <v>44459</v>
      </c>
      <c r="B1258" s="112">
        <f t="shared" ref="B1258:F1258" si="12">IFERROR((B16/B15-1),"")</f>
        <v>-2.1348538089239533E-2</v>
      </c>
      <c r="C1258" s="112">
        <f t="shared" si="12"/>
        <v>-1.7273678990577968E-2</v>
      </c>
      <c r="D1258" s="112">
        <f t="shared" si="12"/>
        <v>-2.2438095628051657E-2</v>
      </c>
      <c r="E1258" s="112">
        <f t="shared" si="12"/>
        <v>8.0580475585225741E-3</v>
      </c>
      <c r="F1258" s="112">
        <f t="shared" si="12"/>
        <v>-1.0705055117528173E-2</v>
      </c>
    </row>
    <row r="1259" spans="1:6">
      <c r="A1259" s="111">
        <f t="shared" si="0"/>
        <v>44460</v>
      </c>
      <c r="B1259" s="112">
        <f t="shared" ref="B1259:F1259" si="13">IFERROR((B17/B16-1),"")</f>
        <v>5.4196870130751584E-4</v>
      </c>
      <c r="C1259" s="112">
        <f t="shared" si="13"/>
        <v>3.3799631820432774E-2</v>
      </c>
      <c r="D1259" s="112">
        <f t="shared" si="13"/>
        <v>1.6481847977465769E-2</v>
      </c>
      <c r="E1259" s="112">
        <f t="shared" si="13"/>
        <v>-2.1912106745011206E-3</v>
      </c>
      <c r="F1259" s="112">
        <f t="shared" si="13"/>
        <v>9.4901965292666368E-3</v>
      </c>
    </row>
    <row r="1260" spans="1:6">
      <c r="A1260" s="111">
        <f t="shared" si="0"/>
        <v>44461</v>
      </c>
      <c r="B1260" s="112">
        <f t="shared" ref="B1260:F1260" si="14">IFERROR((B18/B17-1),"")</f>
        <v>1.9026338953212818E-2</v>
      </c>
      <c r="C1260" s="112">
        <f t="shared" si="14"/>
        <v>5.2155834764531228E-3</v>
      </c>
      <c r="D1260" s="112">
        <f t="shared" si="14"/>
        <v>-1.5040227457686628E-3</v>
      </c>
      <c r="E1260" s="112">
        <f t="shared" si="14"/>
        <v>-4.1834844376833491E-3</v>
      </c>
      <c r="F1260" s="112">
        <f t="shared" si="14"/>
        <v>-8.7404623619169453E-4</v>
      </c>
    </row>
    <row r="1261" spans="1:6">
      <c r="A1261" s="111">
        <f t="shared" si="0"/>
        <v>44462</v>
      </c>
      <c r="B1261" s="112">
        <f t="shared" ref="B1261:F1261" si="15">IFERROR((B19/B18-1),"")</f>
        <v>7.9069767441861671E-3</v>
      </c>
      <c r="C1261" s="112">
        <f t="shared" si="15"/>
        <v>1.6617658960317305E-2</v>
      </c>
      <c r="D1261" s="112">
        <f t="shared" si="15"/>
        <v>-1.0121018911139257E-2</v>
      </c>
      <c r="E1261" s="112">
        <f t="shared" si="15"/>
        <v>-3.9793026980411428E-3</v>
      </c>
      <c r="F1261" s="112">
        <f t="shared" si="15"/>
        <v>1.574659550398505E-2</v>
      </c>
    </row>
    <row r="1262" spans="1:6">
      <c r="A1262" s="111">
        <f t="shared" si="0"/>
        <v>44463</v>
      </c>
      <c r="B1262" s="112">
        <f t="shared" ref="B1262:F1262" si="16">IFERROR((B20/B19-1),"")</f>
        <v>2.7688047992616482E-2</v>
      </c>
      <c r="C1262" s="112">
        <f t="shared" si="16"/>
        <v>-6.6339392331171698E-4</v>
      </c>
      <c r="D1262" s="112">
        <f t="shared" si="16"/>
        <v>-1.4487315781793741E-3</v>
      </c>
      <c r="E1262" s="112">
        <f t="shared" si="16"/>
        <v>1.3605947035766341E-4</v>
      </c>
      <c r="F1262" s="112">
        <f t="shared" si="16"/>
        <v>1.6972498940972525E-3</v>
      </c>
    </row>
    <row r="1263" spans="1:6">
      <c r="A1263" s="111">
        <f t="shared" si="0"/>
        <v>44466</v>
      </c>
      <c r="B1263" s="112">
        <f t="shared" ref="B1263:F1263" si="17">IFERROR((B21/B20-1),"")</f>
        <v>4.092629418179472E-2</v>
      </c>
      <c r="C1263" s="112">
        <f t="shared" si="17"/>
        <v>-4.1405558505930196E-2</v>
      </c>
      <c r="D1263" s="112">
        <f t="shared" si="17"/>
        <v>2.7137891803308278E-4</v>
      </c>
      <c r="E1263" s="112">
        <f t="shared" si="17"/>
        <v>-8.2366618021717519E-3</v>
      </c>
      <c r="F1263" s="112">
        <f t="shared" si="17"/>
        <v>1.0642349830836118E-4</v>
      </c>
    </row>
    <row r="1264" spans="1:6">
      <c r="A1264" s="111">
        <f t="shared" si="0"/>
        <v>44467</v>
      </c>
      <c r="B1264" s="112">
        <f t="shared" ref="B1264:F1264" si="18">IFERROR((B22/B21-1),"")</f>
        <v>-6.5323226720898075E-3</v>
      </c>
      <c r="C1264" s="112">
        <f t="shared" si="18"/>
        <v>-3.6989159941644645E-2</v>
      </c>
      <c r="D1264" s="112">
        <f t="shared" si="18"/>
        <v>8.660899690085877E-3</v>
      </c>
      <c r="E1264" s="112">
        <f t="shared" si="18"/>
        <v>-1.4839385474859634E-3</v>
      </c>
      <c r="F1264" s="112">
        <f t="shared" si="18"/>
        <v>-5.9646823596619658E-3</v>
      </c>
    </row>
    <row r="1265" spans="1:6">
      <c r="A1265" s="111">
        <f t="shared" si="0"/>
        <v>44468</v>
      </c>
      <c r="B1265" s="112">
        <f t="shared" ref="B1265:F1265" si="19">IFERROR((B23/B22-1),"")</f>
        <v>7.5057378574530098E-3</v>
      </c>
      <c r="C1265" s="112">
        <f t="shared" si="19"/>
        <v>8.8018715962261407E-3</v>
      </c>
      <c r="D1265" s="112">
        <f t="shared" si="19"/>
        <v>9.9003755314857056E-3</v>
      </c>
      <c r="E1265" s="112">
        <f t="shared" si="19"/>
        <v>-7.7179573639054588E-3</v>
      </c>
      <c r="F1265" s="112">
        <f t="shared" si="19"/>
        <v>-2.1015742086699651E-3</v>
      </c>
    </row>
    <row r="1266" spans="1:6">
      <c r="A1266" s="111">
        <f t="shared" si="0"/>
        <v>44469</v>
      </c>
      <c r="B1266" s="112">
        <f t="shared" ref="B1266:F1266" si="20">IFERROR((B24/B23-1),"")</f>
        <v>-1.1143947789681197E-2</v>
      </c>
      <c r="C1266" s="112">
        <f t="shared" si="20"/>
        <v>-3.6877221662517945E-3</v>
      </c>
      <c r="D1266" s="112">
        <f t="shared" si="20"/>
        <v>-6.1462814996970927E-5</v>
      </c>
      <c r="E1266" s="112">
        <f t="shared" si="20"/>
        <v>-5.990812409540025E-3</v>
      </c>
      <c r="F1266" s="112">
        <f t="shared" si="20"/>
        <v>-5.2593541976024838E-3</v>
      </c>
    </row>
    <row r="1267" spans="1:6">
      <c r="A1267" s="111">
        <f t="shared" si="0"/>
        <v>44470</v>
      </c>
      <c r="B1267" s="112">
        <f t="shared" ref="B1267:F1267" si="21">IFERROR((B25/B24-1),"")</f>
        <v>3.088226137849448E-2</v>
      </c>
      <c r="C1267" s="112">
        <f t="shared" si="21"/>
        <v>7.2882681777421965E-3</v>
      </c>
      <c r="D1267" s="112">
        <f t="shared" si="21"/>
        <v>1.5397381523142073E-2</v>
      </c>
      <c r="E1267" s="112">
        <f t="shared" si="21"/>
        <v>-7.0525076286100941E-3</v>
      </c>
      <c r="F1267" s="112">
        <f t="shared" si="21"/>
        <v>-4.8870057298866509E-3</v>
      </c>
    </row>
    <row r="1268" spans="1:6">
      <c r="A1268" s="111">
        <f t="shared" si="0"/>
        <v>44473</v>
      </c>
      <c r="B1268" s="112">
        <f t="shared" ref="B1268:F1268" si="22">IFERROR((B26/B25-1),"")</f>
        <v>1.6065712387509867E-2</v>
      </c>
      <c r="C1268" s="112">
        <f t="shared" si="22"/>
        <v>1.1071124159484524E-2</v>
      </c>
      <c r="D1268" s="112">
        <f t="shared" si="22"/>
        <v>1.7524743484972349E-2</v>
      </c>
      <c r="E1268" s="112">
        <f t="shared" si="22"/>
        <v>-7.1918594272014635E-3</v>
      </c>
      <c r="F1268" s="112">
        <f t="shared" si="22"/>
        <v>9.0805125470210246E-3</v>
      </c>
    </row>
    <row r="1269" spans="1:6">
      <c r="A1269" s="111">
        <f t="shared" si="0"/>
        <v>44474</v>
      </c>
      <c r="B1269" s="112">
        <f t="shared" ref="B1269:F1269" si="23">IFERROR((B27/B26-1),"")</f>
        <v>2.258812340248495E-3</v>
      </c>
      <c r="C1269" s="112">
        <f t="shared" si="23"/>
        <v>8.3271667962421247E-3</v>
      </c>
      <c r="D1269" s="112">
        <f t="shared" si="23"/>
        <v>-1.6062823487417166E-3</v>
      </c>
      <c r="E1269" s="112">
        <f t="shared" si="23"/>
        <v>-2.7485935934651318E-3</v>
      </c>
      <c r="F1269" s="112">
        <f t="shared" si="23"/>
        <v>7.4076167596974773E-3</v>
      </c>
    </row>
    <row r="1270" spans="1:6">
      <c r="A1270" s="111">
        <f t="shared" si="0"/>
        <v>44475</v>
      </c>
      <c r="B1270" s="112">
        <f t="shared" ref="B1270:F1270" si="24">IFERROR((B28/B27-1),"")</f>
        <v>-1.0616214933870993E-2</v>
      </c>
      <c r="C1270" s="112">
        <f t="shared" si="24"/>
        <v>-1.4974732461355611E-2</v>
      </c>
      <c r="D1270" s="112">
        <f t="shared" si="24"/>
        <v>-1.5492789893933878E-2</v>
      </c>
      <c r="E1270" s="112">
        <f t="shared" si="24"/>
        <v>1.4527845036319542E-2</v>
      </c>
      <c r="F1270" s="112">
        <f t="shared" si="24"/>
        <v>-9.8921014683850395E-3</v>
      </c>
    </row>
    <row r="1271" spans="1:6">
      <c r="A1271" s="111">
        <f t="shared" si="0"/>
        <v>44476</v>
      </c>
      <c r="B1271" s="112">
        <f t="shared" ref="B1271:F1271" si="25">IFERROR((B29/B28-1),"")</f>
        <v>5.2931303201054991E-2</v>
      </c>
      <c r="C1271" s="112">
        <f t="shared" si="25"/>
        <v>2.7754724810441722E-2</v>
      </c>
      <c r="D1271" s="112">
        <f t="shared" si="25"/>
        <v>-1.3214703627486557E-2</v>
      </c>
      <c r="E1271" s="112">
        <f t="shared" si="25"/>
        <v>-9.6480983090437844E-3</v>
      </c>
      <c r="F1271" s="112">
        <f t="shared" si="25"/>
        <v>8.1803241527824699E-3</v>
      </c>
    </row>
    <row r="1272" spans="1:6">
      <c r="A1272" s="111">
        <f t="shared" si="0"/>
        <v>44477</v>
      </c>
      <c r="B1272" s="112">
        <f t="shared" ref="B1272:F1272" si="26">IFERROR((B30/B29-1),"")</f>
        <v>-5.1238257899233197E-4</v>
      </c>
      <c r="C1272" s="112">
        <f t="shared" si="26"/>
        <v>3.6135402233457903E-2</v>
      </c>
      <c r="D1272" s="112">
        <f t="shared" si="26"/>
        <v>-8.5665801149025222E-3</v>
      </c>
      <c r="E1272" s="112">
        <f t="shared" si="26"/>
        <v>-4.435215095113465E-3</v>
      </c>
      <c r="F1272" s="112">
        <f t="shared" si="26"/>
        <v>5.893644588217839E-3</v>
      </c>
    </row>
    <row r="1273" spans="1:6">
      <c r="A1273" s="111">
        <f t="shared" si="0"/>
        <v>44480</v>
      </c>
      <c r="B1273" s="112">
        <f t="shared" ref="B1273:F1273" si="27">IFERROR((B31/B30-1),"")</f>
        <v>2.0277967646388673E-2</v>
      </c>
      <c r="C1273" s="112">
        <f t="shared" si="27"/>
        <v>-5.0267010281888402E-2</v>
      </c>
      <c r="D1273" s="112">
        <f t="shared" si="27"/>
        <v>9.3108141549120838E-3</v>
      </c>
      <c r="E1273" s="112">
        <f t="shared" si="27"/>
        <v>-1.0995802539077615E-2</v>
      </c>
      <c r="F1273" s="112">
        <f t="shared" si="27"/>
        <v>2.8359560105504222E-3</v>
      </c>
    </row>
    <row r="1274" spans="1:6">
      <c r="A1274" s="111">
        <f t="shared" si="0"/>
        <v>44481</v>
      </c>
      <c r="B1274" s="112">
        <f t="shared" ref="B1274:F1274" si="28">IFERROR((B32/B31-1),"")</f>
        <v>-6.1411344350156272E-3</v>
      </c>
      <c r="C1274" s="112">
        <f t="shared" si="28"/>
        <v>-1.5413880885109199E-2</v>
      </c>
      <c r="D1274" s="112">
        <f t="shared" si="28"/>
        <v>3.2588597055789315E-3</v>
      </c>
      <c r="E1274" s="112">
        <f t="shared" si="28"/>
        <v>7.1212831328437698E-3</v>
      </c>
      <c r="F1274" s="112">
        <f t="shared" si="28"/>
        <v>2.5632524330001516E-3</v>
      </c>
    </row>
    <row r="1275" spans="1:6">
      <c r="A1275" s="111">
        <f t="shared" si="0"/>
        <v>44482</v>
      </c>
      <c r="B1275" s="112">
        <f t="shared" ref="B1275:F1275" si="29">IFERROR((B33/B32-1),"")</f>
        <v>5.0836984608470859E-2</v>
      </c>
      <c r="C1275" s="112">
        <f t="shared" si="29"/>
        <v>1.1061863090502611E-2</v>
      </c>
      <c r="D1275" s="112">
        <f t="shared" si="29"/>
        <v>3.6963118343076307E-3</v>
      </c>
      <c r="E1275" s="112">
        <f t="shared" si="29"/>
        <v>4.0719244044002956E-3</v>
      </c>
      <c r="F1275" s="112">
        <f t="shared" si="29"/>
        <v>9.4375540172131345E-3</v>
      </c>
    </row>
    <row r="1276" spans="1:6">
      <c r="A1276" s="111">
        <f t="shared" si="0"/>
        <v>44483</v>
      </c>
      <c r="B1276" s="112">
        <f t="shared" ref="B1276:F1276" si="30">IFERROR((B34/B33-1),"")</f>
        <v>-4.2230181215587859E-3</v>
      </c>
      <c r="C1276" s="112">
        <f t="shared" si="30"/>
        <v>4.9889467570909396E-2</v>
      </c>
      <c r="D1276" s="112">
        <f t="shared" si="30"/>
        <v>6.1378323813774394E-3</v>
      </c>
      <c r="E1276" s="112">
        <f t="shared" si="30"/>
        <v>2.8709735561449623E-3</v>
      </c>
      <c r="F1276" s="112">
        <f t="shared" si="30"/>
        <v>9.7347447244895413E-3</v>
      </c>
    </row>
    <row r="1277" spans="1:6">
      <c r="A1277" s="111">
        <f t="shared" si="0"/>
        <v>44487</v>
      </c>
      <c r="B1277" s="112">
        <f t="shared" ref="B1277:F1277" si="31">IFERROR((B35/B34-1),"")</f>
        <v>-2.1956194975305876E-2</v>
      </c>
      <c r="C1277" s="112">
        <f t="shared" si="31"/>
        <v>1.3383058831939465E-4</v>
      </c>
      <c r="D1277" s="112">
        <f t="shared" si="31"/>
        <v>-1.6375259644664908E-2</v>
      </c>
      <c r="E1277" s="112">
        <f t="shared" si="31"/>
        <v>-1.4763084586055908E-2</v>
      </c>
      <c r="F1277" s="112">
        <f t="shared" si="31"/>
        <v>7.5523964544634836E-3</v>
      </c>
    </row>
    <row r="1278" spans="1:6">
      <c r="A1278" s="111">
        <f t="shared" si="0"/>
        <v>44488</v>
      </c>
      <c r="B1278" s="112">
        <f t="shared" ref="B1278:F1278" si="32">IFERROR((B36/B35-1),"")</f>
        <v>7.1902958449969745E-3</v>
      </c>
      <c r="C1278" s="112">
        <f t="shared" si="32"/>
        <v>4.5772857435970593E-2</v>
      </c>
      <c r="D1278" s="112">
        <f t="shared" si="32"/>
        <v>-1.5520246027678097E-2</v>
      </c>
      <c r="E1278" s="112">
        <f t="shared" si="32"/>
        <v>-1.0801725148865682E-2</v>
      </c>
      <c r="F1278" s="112">
        <f t="shared" si="32"/>
        <v>-3.1552655862272516E-3</v>
      </c>
    </row>
    <row r="1279" spans="1:6">
      <c r="A1279" s="111">
        <f t="shared" si="0"/>
        <v>44489</v>
      </c>
      <c r="B1279" s="112">
        <f t="shared" ref="B1279:F1279" si="33">IFERROR((B37/B36-1),"")</f>
        <v>-1.9782016348773857E-2</v>
      </c>
      <c r="C1279" s="112">
        <f t="shared" si="33"/>
        <v>-6.9949158904016873E-3</v>
      </c>
      <c r="D1279" s="112">
        <f t="shared" si="33"/>
        <v>-9.9754258819609865E-3</v>
      </c>
      <c r="E1279" s="112">
        <f t="shared" si="33"/>
        <v>-8.9306883742985566E-3</v>
      </c>
      <c r="F1279" s="112">
        <f t="shared" si="33"/>
        <v>-8.2606040040720252E-3</v>
      </c>
    </row>
    <row r="1280" spans="1:6">
      <c r="A1280" s="111">
        <f t="shared" si="0"/>
        <v>44490</v>
      </c>
      <c r="B1280" s="112">
        <f t="shared" ref="B1280:F1280" si="34">IFERROR((B38/B37-1),"")</f>
        <v>-2.6129982765330517E-3</v>
      </c>
      <c r="C1280" s="112">
        <f t="shared" si="34"/>
        <v>-6.3904542643117179E-2</v>
      </c>
      <c r="D1280" s="112">
        <f t="shared" si="34"/>
        <v>-2.1508656050821306E-2</v>
      </c>
      <c r="E1280" s="112">
        <f t="shared" si="34"/>
        <v>-1.2666135034556159E-2</v>
      </c>
      <c r="F1280" s="112">
        <f t="shared" si="34"/>
        <v>-4.8449081930955762E-3</v>
      </c>
    </row>
    <row r="1281" spans="1:6">
      <c r="A1281" s="111">
        <f t="shared" si="0"/>
        <v>44491</v>
      </c>
      <c r="B1281" s="112">
        <f t="shared" ref="B1281:F1281" si="35">IFERROR((B39/B38-1),"")</f>
        <v>-1.0200668896321097E-2</v>
      </c>
      <c r="C1281" s="112">
        <f t="shared" si="35"/>
        <v>-9.3512833925245564E-3</v>
      </c>
      <c r="D1281" s="112">
        <f t="shared" si="35"/>
        <v>-3.0526802317457635E-3</v>
      </c>
      <c r="E1281" s="112">
        <f t="shared" si="35"/>
        <v>-6.5556557674962823E-3</v>
      </c>
      <c r="F1281" s="112">
        <f t="shared" si="35"/>
        <v>-3.4767109873967694E-3</v>
      </c>
    </row>
    <row r="1282" spans="1:6">
      <c r="A1282" s="111">
        <f t="shared" si="0"/>
        <v>44494</v>
      </c>
      <c r="B1282" s="112">
        <f t="shared" ref="B1282:F1282" si="36">IFERROR((B40/B39-1),"")</f>
        <v>3.2100016894744954E-3</v>
      </c>
      <c r="C1282" s="112">
        <f t="shared" si="36"/>
        <v>-6.0805928670680909E-2</v>
      </c>
      <c r="D1282" s="112">
        <f t="shared" si="36"/>
        <v>8.3451034512500577E-3</v>
      </c>
      <c r="E1282" s="112">
        <f t="shared" si="36"/>
        <v>-1.5975609756097464E-2</v>
      </c>
      <c r="F1282" s="112">
        <f t="shared" si="36"/>
        <v>5.7963334050969983E-4</v>
      </c>
    </row>
    <row r="1283" spans="1:6">
      <c r="A1283" s="111">
        <f t="shared" si="0"/>
        <v>44495</v>
      </c>
      <c r="B1283" s="112">
        <f t="shared" ref="B1283:F1283" si="37">IFERROR((B41/B40-1),"")</f>
        <v>4.3224430223418597E-3</v>
      </c>
      <c r="C1283" s="112">
        <f t="shared" si="37"/>
        <v>3.69873552561506E-3</v>
      </c>
      <c r="D1283" s="112">
        <f t="shared" si="37"/>
        <v>-2.1278188253156527E-3</v>
      </c>
      <c r="E1283" s="112">
        <f t="shared" si="37"/>
        <v>1.700610016386439E-2</v>
      </c>
      <c r="F1283" s="112">
        <f t="shared" si="37"/>
        <v>7.8894810597283094E-3</v>
      </c>
    </row>
    <row r="1284" spans="1:6">
      <c r="A1284" s="111">
        <f t="shared" si="0"/>
        <v>44496</v>
      </c>
      <c r="B1284" s="112">
        <f t="shared" ref="B1284:F1284" si="38">IFERROR((B42/B41-1),"")</f>
        <v>-8.6635738639538884E-3</v>
      </c>
      <c r="C1284" s="112">
        <f t="shared" si="38"/>
        <v>-8.883560499601928E-3</v>
      </c>
      <c r="D1284" s="112">
        <f t="shared" si="38"/>
        <v>-7.5007500750079448E-4</v>
      </c>
      <c r="E1284" s="112">
        <f t="shared" si="38"/>
        <v>1.3675259965337805E-3</v>
      </c>
      <c r="F1284" s="112">
        <f t="shared" si="38"/>
        <v>-3.1447745834337626E-3</v>
      </c>
    </row>
    <row r="1285" spans="1:6">
      <c r="A1285" s="111">
        <f t="shared" si="0"/>
        <v>44497</v>
      </c>
      <c r="B1285" s="112">
        <f t="shared" ref="B1285:F1285" si="39">IFERROR((B43/B42-1),"")</f>
        <v>-3.3265674334685968E-3</v>
      </c>
      <c r="C1285" s="112">
        <f t="shared" si="39"/>
        <v>-1.903685415985068E-3</v>
      </c>
      <c r="D1285" s="112">
        <f t="shared" si="39"/>
        <v>-1.9891908121903557E-2</v>
      </c>
      <c r="E1285" s="112">
        <f t="shared" si="39"/>
        <v>-4.3133171978311236E-3</v>
      </c>
      <c r="F1285" s="112">
        <f t="shared" si="39"/>
        <v>-1.9422380490858537E-2</v>
      </c>
    </row>
    <row r="1286" spans="1:6">
      <c r="A1286" s="111">
        <f t="shared" si="0"/>
        <v>44498</v>
      </c>
      <c r="B1286" s="112">
        <f t="shared" ref="B1286:F1286" si="40">IFERROR((B44/B43-1),"")</f>
        <v>4.5256548056804569E-4</v>
      </c>
      <c r="C1286" s="112">
        <f t="shared" si="40"/>
        <v>-3.2344906372621995E-2</v>
      </c>
      <c r="D1286" s="112">
        <f t="shared" si="40"/>
        <v>1.952975415485958E-2</v>
      </c>
      <c r="E1286" s="112">
        <f t="shared" si="40"/>
        <v>-1.6703332518537284E-3</v>
      </c>
      <c r="F1286" s="112">
        <f t="shared" si="40"/>
        <v>-1.0393537638774042E-2</v>
      </c>
    </row>
    <row r="1287" spans="1:6">
      <c r="A1287" s="111">
        <f t="shared" si="0"/>
        <v>44501</v>
      </c>
      <c r="B1287" s="112">
        <f t="shared" ref="B1287:F1287" si="41">IFERROR((B45/B44-1),"")</f>
        <v>-1.5719536330223383E-2</v>
      </c>
      <c r="C1287" s="112">
        <f t="shared" si="41"/>
        <v>4.250120625404219E-2</v>
      </c>
      <c r="D1287" s="112">
        <f t="shared" si="41"/>
        <v>3.0530992445054972E-2</v>
      </c>
      <c r="E1287" s="112">
        <f t="shared" si="41"/>
        <v>6.529279738829441E-4</v>
      </c>
      <c r="F1287" s="112">
        <f t="shared" si="41"/>
        <v>1.4599655380227672E-2</v>
      </c>
    </row>
    <row r="1288" spans="1:6">
      <c r="A1288" s="111">
        <f t="shared" si="0"/>
        <v>44502</v>
      </c>
      <c r="B1288" s="112">
        <f t="shared" ref="B1288:F1288" si="42">IFERROR((B46/B45-1),"")</f>
        <v>-1.0168323088412756E-2</v>
      </c>
      <c r="C1288" s="112">
        <f t="shared" si="42"/>
        <v>-6.6864272420210646E-3</v>
      </c>
      <c r="D1288" s="112">
        <f t="shared" si="42"/>
        <v>-1.1527767653521259E-2</v>
      </c>
      <c r="E1288" s="112">
        <f t="shared" si="42"/>
        <v>1.2914100838736786E-3</v>
      </c>
      <c r="F1288" s="112">
        <f t="shared" si="42"/>
        <v>-2.2699829611844136E-3</v>
      </c>
    </row>
    <row r="1289" spans="1:6">
      <c r="A1289" s="111">
        <f t="shared" si="0"/>
        <v>44503</v>
      </c>
      <c r="B1289" s="112">
        <f t="shared" ref="B1289:F1289" si="43">IFERROR((B47/B46-1),"")</f>
        <v>-1.450957632037142E-2</v>
      </c>
      <c r="C1289" s="112">
        <f t="shared" si="43"/>
        <v>4.2430851591157559E-3</v>
      </c>
      <c r="D1289" s="112">
        <f t="shared" si="43"/>
        <v>5.3833673963885609E-3</v>
      </c>
      <c r="E1289" s="112">
        <f t="shared" si="43"/>
        <v>-1.4404409568546606E-2</v>
      </c>
      <c r="F1289" s="112">
        <f t="shared" si="43"/>
        <v>-3.3400507016901892E-3</v>
      </c>
    </row>
    <row r="1290" spans="1:6">
      <c r="A1290" s="111">
        <f t="shared" si="0"/>
        <v>44504</v>
      </c>
      <c r="B1290" s="112">
        <f t="shared" ref="B1290:F1290" si="44">IFERROR((B48/B47-1),"")</f>
        <v>2.8091872791519368E-2</v>
      </c>
      <c r="C1290" s="112">
        <f t="shared" si="44"/>
        <v>3.2577148611028228E-3</v>
      </c>
      <c r="D1290" s="112">
        <f t="shared" si="44"/>
        <v>-1.1526411199480613E-3</v>
      </c>
      <c r="E1290" s="112">
        <f t="shared" si="44"/>
        <v>6.2674766174910523E-3</v>
      </c>
      <c r="F1290" s="112">
        <f t="shared" si="44"/>
        <v>4.913288313552977E-3</v>
      </c>
    </row>
    <row r="1291" spans="1:6">
      <c r="A1291" s="111">
        <f t="shared" si="0"/>
        <v>44508</v>
      </c>
      <c r="B1291" s="112">
        <f t="shared" ref="B1291:F1291" si="45">IFERROR((B49/B48-1),"")</f>
        <v>-1.5294724179412245E-2</v>
      </c>
      <c r="C1291" s="112">
        <f t="shared" si="45"/>
        <v>3.350454599126218E-2</v>
      </c>
      <c r="D1291" s="112">
        <f t="shared" si="45"/>
        <v>4.7417727096292772E-3</v>
      </c>
      <c r="E1291" s="112">
        <f t="shared" si="45"/>
        <v>1.7822920659256392E-2</v>
      </c>
      <c r="F1291" s="112">
        <f t="shared" si="45"/>
        <v>8.469704411502077E-3</v>
      </c>
    </row>
    <row r="1292" spans="1:6">
      <c r="A1292" s="111">
        <f t="shared" si="0"/>
        <v>44509</v>
      </c>
      <c r="B1292" s="112">
        <f t="shared" ref="B1292:F1292" si="46">IFERROR((B50/B49-1),"")</f>
        <v>3.798720186154747E-2</v>
      </c>
      <c r="C1292" s="112">
        <f t="shared" si="46"/>
        <v>2.4811249797682899E-2</v>
      </c>
      <c r="D1292" s="112">
        <f t="shared" si="46"/>
        <v>7.5176194205162084E-4</v>
      </c>
      <c r="E1292" s="112">
        <f t="shared" si="46"/>
        <v>-2.5849315436963671E-2</v>
      </c>
      <c r="F1292" s="112">
        <f t="shared" si="46"/>
        <v>-1.3448782553109329E-3</v>
      </c>
    </row>
    <row r="1293" spans="1:6">
      <c r="A1293" s="111">
        <f t="shared" si="0"/>
        <v>44510</v>
      </c>
      <c r="B1293" s="112">
        <f t="shared" ref="B1293:F1293" si="47">IFERROR((B51/B50-1),"")</f>
        <v>3.0824412935044565E-2</v>
      </c>
      <c r="C1293" s="112">
        <f t="shared" si="47"/>
        <v>-5.1654140227985756E-3</v>
      </c>
      <c r="D1293" s="112">
        <f t="shared" si="47"/>
        <v>7.7206381003056546E-3</v>
      </c>
      <c r="E1293" s="112">
        <f t="shared" si="47"/>
        <v>2.1233708857963274E-2</v>
      </c>
      <c r="F1293" s="112">
        <f t="shared" si="47"/>
        <v>-1.4990925086938445E-3</v>
      </c>
    </row>
    <row r="1294" spans="1:6">
      <c r="A1294" s="111">
        <f t="shared" si="0"/>
        <v>44511</v>
      </c>
      <c r="B1294" s="112">
        <f t="shared" ref="B1294:F1294" si="48">IFERROR((B52/B51-1),"")</f>
        <v>5.5455879954331433E-3</v>
      </c>
      <c r="C1294" s="112">
        <f t="shared" si="48"/>
        <v>4.118300757356419E-3</v>
      </c>
      <c r="D1294" s="112">
        <f t="shared" si="48"/>
        <v>-2.9817677327176328E-3</v>
      </c>
      <c r="E1294" s="112">
        <f t="shared" si="48"/>
        <v>-1.4897931593889413E-2</v>
      </c>
      <c r="F1294" s="112">
        <f t="shared" si="48"/>
        <v>-7.9701618453479339E-3</v>
      </c>
    </row>
    <row r="1295" spans="1:6">
      <c r="A1295" s="111">
        <f t="shared" si="0"/>
        <v>44512</v>
      </c>
      <c r="B1295" s="112">
        <f t="shared" ref="B1295:F1295" si="49">IFERROR((B53/B52-1),"")</f>
        <v>1.4111922141119226E-2</v>
      </c>
      <c r="C1295" s="112">
        <f t="shared" si="49"/>
        <v>7.7750083702241568E-3</v>
      </c>
      <c r="D1295" s="112">
        <f t="shared" si="49"/>
        <v>5.8775272848108351E-3</v>
      </c>
      <c r="E1295" s="112">
        <f t="shared" si="49"/>
        <v>1.2227589614096646E-2</v>
      </c>
      <c r="F1295" s="112">
        <f t="shared" si="49"/>
        <v>1.2820584549279479E-2</v>
      </c>
    </row>
    <row r="1296" spans="1:6">
      <c r="A1296" s="111">
        <f t="shared" si="0"/>
        <v>44515</v>
      </c>
      <c r="B1296" s="112">
        <f t="shared" ref="B1296:F1296" si="50">IFERROR((B54/B53-1),"")</f>
        <v>-1.002345915973557E-2</v>
      </c>
      <c r="C1296" s="112">
        <f t="shared" si="50"/>
        <v>1.4433370247323829E-2</v>
      </c>
      <c r="D1296" s="112">
        <f t="shared" si="50"/>
        <v>6.2767769576215215E-3</v>
      </c>
      <c r="E1296" s="112">
        <f t="shared" si="50"/>
        <v>1.4818530619992165E-2</v>
      </c>
      <c r="F1296" s="112">
        <f t="shared" si="50"/>
        <v>3.7010951374805146E-4</v>
      </c>
    </row>
    <row r="1297" spans="1:6">
      <c r="A1297" s="111">
        <f t="shared" si="0"/>
        <v>44516</v>
      </c>
      <c r="B1297" s="112">
        <f t="shared" ref="B1297:F1297" si="51">IFERROR((B55/B54-1),"")</f>
        <v>3.4360189573459765E-2</v>
      </c>
      <c r="C1297" s="112">
        <f t="shared" si="51"/>
        <v>4.103744405225429E-2</v>
      </c>
      <c r="D1297" s="112">
        <f t="shared" si="51"/>
        <v>-1.1500620684702478E-2</v>
      </c>
      <c r="E1297" s="112">
        <f t="shared" si="51"/>
        <v>-1.3854005237000977E-2</v>
      </c>
      <c r="F1297" s="112">
        <f t="shared" si="51"/>
        <v>-6.0879816891180605E-3</v>
      </c>
    </row>
    <row r="1298" spans="1:6">
      <c r="A1298" s="111">
        <f t="shared" si="0"/>
        <v>44517</v>
      </c>
      <c r="B1298" s="112">
        <f t="shared" ref="B1298:F1298" si="52">IFERROR((B56/B55-1),"")</f>
        <v>-6.0918462980317223E-3</v>
      </c>
      <c r="C1298" s="112">
        <f t="shared" si="52"/>
        <v>2.0553152444619194E-2</v>
      </c>
      <c r="D1298" s="112">
        <f t="shared" si="52"/>
        <v>-1.023331119229498E-2</v>
      </c>
      <c r="E1298" s="112">
        <f t="shared" si="52"/>
        <v>-2.0510736300209942E-2</v>
      </c>
      <c r="F1298" s="112">
        <f t="shared" si="52"/>
        <v>-5.5863593937507394E-3</v>
      </c>
    </row>
    <row r="1299" spans="1:6">
      <c r="A1299" s="111">
        <f t="shared" si="0"/>
        <v>44518</v>
      </c>
      <c r="B1299" s="112">
        <f t="shared" ref="B1299:F1299" si="53">IFERROR((B57/B56-1),"")</f>
        <v>-3.2217507465032269E-2</v>
      </c>
      <c r="C1299" s="112">
        <f t="shared" si="53"/>
        <v>-4.5767080240095015E-2</v>
      </c>
      <c r="D1299" s="112">
        <f t="shared" si="53"/>
        <v>-2.0311222028815301E-2</v>
      </c>
      <c r="E1299" s="112">
        <f t="shared" si="53"/>
        <v>-1.2019197521472846E-2</v>
      </c>
      <c r="F1299" s="112">
        <f t="shared" si="53"/>
        <v>-7.4782176309388104E-3</v>
      </c>
    </row>
    <row r="1300" spans="1:6">
      <c r="A1300" s="111">
        <f t="shared" si="0"/>
        <v>44522</v>
      </c>
      <c r="B1300" s="112">
        <f t="shared" ref="B1300:F1300" si="54">IFERROR((B58/B57-1),"")</f>
        <v>-2.4737468875175916E-2</v>
      </c>
      <c r="C1300" s="112">
        <f t="shared" si="54"/>
        <v>-2.5816119595843512E-2</v>
      </c>
      <c r="D1300" s="112">
        <f t="shared" si="54"/>
        <v>-1.3668133020796502E-2</v>
      </c>
      <c r="E1300" s="112">
        <f t="shared" si="54"/>
        <v>2.7998656064509575E-3</v>
      </c>
      <c r="F1300" s="112">
        <f t="shared" si="54"/>
        <v>-1.9603372962262444E-2</v>
      </c>
    </row>
    <row r="1301" spans="1:6">
      <c r="A1301" s="111">
        <f t="shared" si="0"/>
        <v>44523</v>
      </c>
      <c r="B1301" s="112">
        <f t="shared" ref="B1301:F1301" si="55">IFERROR((B59/B58-1),"")</f>
        <v>5.550313592717071E-4</v>
      </c>
      <c r="C1301" s="112">
        <f t="shared" si="55"/>
        <v>5.0937226546308167E-3</v>
      </c>
      <c r="D1301" s="112">
        <f t="shared" si="55"/>
        <v>5.2847469398384916E-3</v>
      </c>
      <c r="E1301" s="112">
        <f t="shared" si="55"/>
        <v>2.2489948626312373E-2</v>
      </c>
      <c r="F1301" s="112">
        <f t="shared" si="55"/>
        <v>4.9837654414910393E-3</v>
      </c>
    </row>
    <row r="1302" spans="1:6">
      <c r="A1302" s="111">
        <f t="shared" si="0"/>
        <v>44524</v>
      </c>
      <c r="B1302" s="112">
        <f t="shared" ref="B1302:F1302" si="56">IFERROR((B60/B59-1),"")</f>
        <v>-9.041992566705459E-3</v>
      </c>
      <c r="C1302" s="112">
        <f t="shared" si="56"/>
        <v>-1.4333107278359347E-2</v>
      </c>
      <c r="D1302" s="112">
        <f t="shared" si="56"/>
        <v>-7.3187318515959277E-3</v>
      </c>
      <c r="E1302" s="112">
        <f t="shared" si="56"/>
        <v>-1.0594869134251783E-2</v>
      </c>
      <c r="F1302" s="112">
        <f t="shared" si="56"/>
        <v>-5.0447485767010081E-3</v>
      </c>
    </row>
    <row r="1303" spans="1:6">
      <c r="A1303" s="111">
        <f t="shared" si="0"/>
        <v>44525</v>
      </c>
      <c r="B1303" s="112">
        <f t="shared" ref="B1303:F1303" si="57">IFERROR((B61/B60-1),"")</f>
        <v>-2.2391401701746805E-3</v>
      </c>
      <c r="C1303" s="112">
        <f t="shared" si="57"/>
        <v>2.3262733138702307E-2</v>
      </c>
      <c r="D1303" s="112">
        <f t="shared" si="57"/>
        <v>-1.4027685649350419E-3</v>
      </c>
      <c r="E1303" s="112">
        <f t="shared" si="57"/>
        <v>-1.3785585162901737E-2</v>
      </c>
      <c r="F1303" s="112">
        <f t="shared" si="57"/>
        <v>6.959497675860904E-3</v>
      </c>
    </row>
    <row r="1304" spans="1:6">
      <c r="A1304" s="111">
        <f t="shared" si="0"/>
        <v>44526</v>
      </c>
      <c r="B1304" s="112">
        <f t="shared" ref="B1304:F1304" si="58">IFERROR((B62/B61-1),"")</f>
        <v>-4.2021992818671472E-2</v>
      </c>
      <c r="C1304" s="112">
        <f t="shared" si="58"/>
        <v>-4.2732790579341429E-2</v>
      </c>
      <c r="D1304" s="112">
        <f t="shared" si="58"/>
        <v>3.4693788657548463E-2</v>
      </c>
      <c r="E1304" s="112">
        <f t="shared" si="58"/>
        <v>-5.0652040073878579E-3</v>
      </c>
      <c r="F1304" s="112">
        <f t="shared" si="58"/>
        <v>-2.9071209637180129E-2</v>
      </c>
    </row>
    <row r="1305" spans="1:6">
      <c r="A1305" s="111">
        <f t="shared" si="0"/>
        <v>44529</v>
      </c>
      <c r="B1305" s="112">
        <f t="shared" ref="B1305:F1305" si="59">IFERROR((B63/B62-1),"")</f>
        <v>-3.4553440702782545E-3</v>
      </c>
      <c r="C1305" s="112">
        <f t="shared" si="59"/>
        <v>4.7649331295738229E-3</v>
      </c>
      <c r="D1305" s="112">
        <f t="shared" si="59"/>
        <v>-1.1218926940158691E-2</v>
      </c>
      <c r="E1305" s="112">
        <f t="shared" si="59"/>
        <v>-7.5099147751245265E-3</v>
      </c>
      <c r="F1305" s="112">
        <f t="shared" si="59"/>
        <v>1.6151341001793273E-3</v>
      </c>
    </row>
    <row r="1306" spans="1:6">
      <c r="A1306" s="111">
        <f t="shared" si="0"/>
        <v>44530</v>
      </c>
      <c r="B1306" s="112">
        <f t="shared" ref="B1306:F1306" si="60">IFERROR((B64/B63-1),"")</f>
        <v>-1.79830747531734E-2</v>
      </c>
      <c r="C1306" s="112">
        <f t="shared" si="60"/>
        <v>2.623399933871795E-2</v>
      </c>
      <c r="D1306" s="112">
        <f t="shared" si="60"/>
        <v>-4.6300238419618722E-3</v>
      </c>
      <c r="E1306" s="112">
        <f t="shared" si="60"/>
        <v>4.7894349033610339E-3</v>
      </c>
      <c r="F1306" s="112">
        <f t="shared" si="60"/>
        <v>-4.1485990049225929E-3</v>
      </c>
    </row>
    <row r="1307" spans="1:6">
      <c r="A1307" s="111">
        <f t="shared" si="0"/>
        <v>44531</v>
      </c>
      <c r="B1307" s="112">
        <f t="shared" ref="B1307:F1307" si="61">IFERROR((B65/B64-1),"")</f>
        <v>-9.5751047277070622E-4</v>
      </c>
      <c r="C1307" s="112">
        <f t="shared" si="61"/>
        <v>-9.7577141173870174E-3</v>
      </c>
      <c r="D1307" s="112">
        <f t="shared" si="61"/>
        <v>-1.4863607686303015E-2</v>
      </c>
      <c r="E1307" s="112">
        <f t="shared" si="61"/>
        <v>-2.8909885770694865E-3</v>
      </c>
      <c r="F1307" s="112">
        <f t="shared" si="61"/>
        <v>1.0816571670827724E-2</v>
      </c>
    </row>
    <row r="1308" spans="1:6">
      <c r="A1308" s="111">
        <f t="shared" si="0"/>
        <v>44532</v>
      </c>
      <c r="B1308" s="112">
        <f t="shared" ref="B1308:F1308" si="62">IFERROR((B66/B65-1),"")</f>
        <v>1.7790823050197524E-2</v>
      </c>
      <c r="C1308" s="112">
        <f t="shared" si="62"/>
        <v>6.6095266426207111E-3</v>
      </c>
      <c r="D1308" s="112">
        <f t="shared" si="62"/>
        <v>1.224396756651136E-2</v>
      </c>
      <c r="E1308" s="112">
        <f t="shared" si="62"/>
        <v>1.223392970794146E-2</v>
      </c>
      <c r="F1308" s="112">
        <f t="shared" si="62"/>
        <v>1.3674571413592407E-2</v>
      </c>
    </row>
    <row r="1309" spans="1:6">
      <c r="A1309" s="111">
        <f t="shared" si="0"/>
        <v>44533</v>
      </c>
      <c r="B1309" s="112">
        <f t="shared" ref="B1309:F1309" si="63">IFERROR((B67/B66-1),"")</f>
        <v>-1.4831381319521997E-2</v>
      </c>
      <c r="C1309" s="112">
        <f t="shared" si="63"/>
        <v>-1.1820876776594602E-2</v>
      </c>
      <c r="D1309" s="112">
        <f t="shared" si="63"/>
        <v>-1.4208353439493893E-2</v>
      </c>
      <c r="E1309" s="112">
        <f t="shared" si="63"/>
        <v>-6.9163057146849338E-3</v>
      </c>
      <c r="F1309" s="112">
        <f t="shared" si="63"/>
        <v>-1.1777618789022948E-2</v>
      </c>
    </row>
    <row r="1310" spans="1:6">
      <c r="A1310" s="111">
        <f t="shared" si="0"/>
        <v>44536</v>
      </c>
      <c r="B1310" s="112">
        <f t="shared" ref="B1310:F1310" si="64">IFERROR((B68/B67-1),"")</f>
        <v>-1.7683254674711879E-2</v>
      </c>
      <c r="C1310" s="112">
        <f t="shared" si="64"/>
        <v>-4.2036204592394655E-2</v>
      </c>
      <c r="D1310" s="112">
        <f t="shared" si="64"/>
        <v>-2.127705863156748E-2</v>
      </c>
      <c r="E1310" s="112">
        <f t="shared" si="64"/>
        <v>-1.6194161097432325E-2</v>
      </c>
      <c r="F1310" s="112">
        <f t="shared" si="64"/>
        <v>-1.6540964254769808E-2</v>
      </c>
    </row>
    <row r="1311" spans="1:6">
      <c r="A1311" s="111">
        <f t="shared" ref="A1311:A1374" si="65">A69</f>
        <v>44537</v>
      </c>
      <c r="B1311" s="112">
        <f t="shared" ref="B1311:F1311" si="66">IFERROR((B69/B68-1),"")</f>
        <v>4.6220276105335412E-3</v>
      </c>
      <c r="C1311" s="112">
        <f t="shared" si="66"/>
        <v>1.6243110092190705E-2</v>
      </c>
      <c r="D1311" s="112">
        <f t="shared" si="66"/>
        <v>4.8903016426966595E-3</v>
      </c>
      <c r="E1311" s="112">
        <f t="shared" si="66"/>
        <v>-6.2925461930095627E-3</v>
      </c>
      <c r="F1311" s="112">
        <f t="shared" si="66"/>
        <v>1.5636594775976009E-2</v>
      </c>
    </row>
    <row r="1312" spans="1:6">
      <c r="A1312" s="111">
        <f t="shared" si="65"/>
        <v>44538</v>
      </c>
      <c r="B1312" s="112">
        <f t="shared" ref="B1312:F1312" si="67">IFERROR((B70/B69-1),"")</f>
        <v>1.7918760215509311E-2</v>
      </c>
      <c r="C1312" s="112">
        <f t="shared" si="67"/>
        <v>8.438129979840614E-3</v>
      </c>
      <c r="D1312" s="112">
        <f t="shared" si="67"/>
        <v>1.1060234034552252E-2</v>
      </c>
      <c r="E1312" s="112">
        <f t="shared" si="67"/>
        <v>2.9229750733982041E-2</v>
      </c>
      <c r="F1312" s="112">
        <f t="shared" si="67"/>
        <v>1.7060902268771105E-2</v>
      </c>
    </row>
    <row r="1313" spans="1:6">
      <c r="A1313" s="111">
        <f t="shared" si="65"/>
        <v>44539</v>
      </c>
      <c r="B1313" s="112">
        <f t="shared" ref="B1313:F1313" si="68">IFERROR((B71/B70-1),"")</f>
        <v>1.2310437109723571E-2</v>
      </c>
      <c r="C1313" s="112">
        <f t="shared" si="68"/>
        <v>3.3888947062798991E-3</v>
      </c>
      <c r="D1313" s="112">
        <f t="shared" si="68"/>
        <v>5.1523836611460094E-3</v>
      </c>
      <c r="E1313" s="112">
        <f t="shared" si="68"/>
        <v>1.3465706495140894E-2</v>
      </c>
      <c r="F1313" s="112">
        <f t="shared" si="68"/>
        <v>2.6960889537628319E-3</v>
      </c>
    </row>
    <row r="1314" spans="1:6">
      <c r="A1314" s="111">
        <f t="shared" si="65"/>
        <v>44540</v>
      </c>
      <c r="B1314" s="112">
        <f t="shared" ref="B1314:F1314" si="69">IFERROR((B72/B71-1),"")</f>
        <v>1.0104570555751424E-2</v>
      </c>
      <c r="C1314" s="112">
        <f t="shared" si="69"/>
        <v>8.5574688107774577E-3</v>
      </c>
      <c r="D1314" s="112">
        <f t="shared" si="69"/>
        <v>-2.0678021439846095E-4</v>
      </c>
      <c r="E1314" s="112">
        <f t="shared" si="69"/>
        <v>2.3593366262866233E-3</v>
      </c>
      <c r="F1314" s="112">
        <f t="shared" si="69"/>
        <v>-3.1683778761593118E-4</v>
      </c>
    </row>
    <row r="1315" spans="1:6">
      <c r="A1315" s="111">
        <f t="shared" si="65"/>
        <v>44543</v>
      </c>
      <c r="B1315" s="112">
        <f t="shared" ref="B1315:F1315" si="70">IFERROR((B73/B72-1),"")</f>
        <v>-1.9309061300453623E-2</v>
      </c>
      <c r="C1315" s="112">
        <f t="shared" si="70"/>
        <v>3.0308446292341973E-2</v>
      </c>
      <c r="D1315" s="112">
        <f t="shared" si="70"/>
        <v>1.4151046088868302E-3</v>
      </c>
      <c r="E1315" s="112">
        <f t="shared" si="70"/>
        <v>-1.2030447769411756E-2</v>
      </c>
      <c r="F1315" s="112">
        <f t="shared" si="70"/>
        <v>-8.1690108672685113E-3</v>
      </c>
    </row>
    <row r="1316" spans="1:6">
      <c r="A1316" s="111">
        <f t="shared" si="65"/>
        <v>44544</v>
      </c>
      <c r="B1316" s="112">
        <f t="shared" ref="B1316:F1316" si="71">IFERROR((B74/B73-1),"")</f>
        <v>-7.4131182540624341E-3</v>
      </c>
      <c r="C1316" s="112">
        <f t="shared" si="71"/>
        <v>-6.7562015539261999E-3</v>
      </c>
      <c r="D1316" s="112">
        <f t="shared" si="71"/>
        <v>1.0163485368928971E-2</v>
      </c>
      <c r="E1316" s="112">
        <f t="shared" si="71"/>
        <v>-2.5357018460466785E-3</v>
      </c>
      <c r="F1316" s="112">
        <f t="shared" si="71"/>
        <v>-2.4959336720740133E-3</v>
      </c>
    </row>
    <row r="1317" spans="1:6">
      <c r="A1317" s="111">
        <f t="shared" si="65"/>
        <v>44545</v>
      </c>
      <c r="B1317" s="112">
        <f t="shared" ref="B1317:F1317" si="72">IFERROR((B75/B74-1),"")</f>
        <v>1.1172850570592141E-2</v>
      </c>
      <c r="C1317" s="112">
        <f t="shared" si="72"/>
        <v>-2.3283604040849837E-2</v>
      </c>
      <c r="D1317" s="112">
        <f t="shared" si="72"/>
        <v>-9.9536215041267084E-3</v>
      </c>
      <c r="E1317" s="112">
        <f t="shared" si="72"/>
        <v>-1.0629530820052246E-2</v>
      </c>
      <c r="F1317" s="112">
        <f t="shared" si="72"/>
        <v>-5.9740604563374156E-3</v>
      </c>
    </row>
    <row r="1318" spans="1:6">
      <c r="A1318" s="111">
        <f t="shared" si="65"/>
        <v>44546</v>
      </c>
      <c r="B1318" s="112">
        <f t="shared" ref="B1318:F1318" si="73">IFERROR((B76/B75-1),"")</f>
        <v>8.3904514299217858E-3</v>
      </c>
      <c r="C1318" s="112">
        <f t="shared" si="73"/>
        <v>8.0089594940520037E-3</v>
      </c>
      <c r="D1318" s="112">
        <f t="shared" si="73"/>
        <v>-6.412625263568783E-4</v>
      </c>
      <c r="E1318" s="112">
        <f t="shared" si="73"/>
        <v>5.3648068669527316E-3</v>
      </c>
      <c r="F1318" s="112">
        <f t="shared" si="73"/>
        <v>1.5678167860917469E-3</v>
      </c>
    </row>
    <row r="1319" spans="1:6">
      <c r="A1319" s="111">
        <f t="shared" si="65"/>
        <v>44547</v>
      </c>
      <c r="B1319" s="112">
        <f t="shared" ref="B1319:F1319" si="74">IFERROR((B77/B76-1),"")</f>
        <v>-2.1914918551505846E-2</v>
      </c>
      <c r="C1319" s="112">
        <f t="shared" si="74"/>
        <v>7.0210163668107395E-3</v>
      </c>
      <c r="D1319" s="112">
        <f t="shared" si="74"/>
        <v>-1.7270819058805564E-2</v>
      </c>
      <c r="E1319" s="112">
        <f t="shared" si="74"/>
        <v>-6.8668201988428823E-3</v>
      </c>
      <c r="F1319" s="112">
        <f t="shared" si="74"/>
        <v>-1.5259386377866946E-2</v>
      </c>
    </row>
    <row r="1320" spans="1:6">
      <c r="A1320" s="111">
        <f t="shared" si="65"/>
        <v>44550</v>
      </c>
      <c r="B1320" s="112">
        <f t="shared" ref="B1320:F1320" si="75">IFERROR((B78/B77-1),"")</f>
        <v>-2.432302899592631E-2</v>
      </c>
      <c r="C1320" s="112">
        <f t="shared" si="75"/>
        <v>-3.9125154136418705E-2</v>
      </c>
      <c r="D1320" s="112">
        <f t="shared" si="75"/>
        <v>9.4622561117321258E-3</v>
      </c>
      <c r="E1320" s="112">
        <f t="shared" si="75"/>
        <v>-1.8169478104718362E-2</v>
      </c>
      <c r="F1320" s="112">
        <f t="shared" si="75"/>
        <v>-2.1842545274709746E-2</v>
      </c>
    </row>
    <row r="1321" spans="1:6">
      <c r="A1321" s="111">
        <f t="shared" si="65"/>
        <v>44551</v>
      </c>
      <c r="B1321" s="112">
        <f t="shared" ref="B1321:F1321" si="76">IFERROR((B79/B78-1),"")</f>
        <v>-2.5789021245240518E-3</v>
      </c>
      <c r="C1321" s="112">
        <f t="shared" si="76"/>
        <v>4.1480523741062703E-2</v>
      </c>
      <c r="D1321" s="112">
        <f t="shared" si="76"/>
        <v>1.3199728111912501E-2</v>
      </c>
      <c r="E1321" s="112">
        <f t="shared" si="76"/>
        <v>9.7497047726029518E-3</v>
      </c>
      <c r="F1321" s="112">
        <f t="shared" si="76"/>
        <v>9.4286814893282944E-3</v>
      </c>
    </row>
    <row r="1322" spans="1:6">
      <c r="A1322" s="111">
        <f t="shared" si="65"/>
        <v>44552</v>
      </c>
      <c r="B1322" s="112">
        <f t="shared" ref="B1322:F1322" si="77">IFERROR((B80/B79-1),"")</f>
        <v>8.0029549372075959E-3</v>
      </c>
      <c r="C1322" s="112">
        <f t="shared" si="77"/>
        <v>1.4323037299190045E-2</v>
      </c>
      <c r="D1322" s="112">
        <f t="shared" si="77"/>
        <v>5.9728624293968746E-3</v>
      </c>
      <c r="E1322" s="112">
        <f t="shared" si="77"/>
        <v>-2.4958995935249195E-3</v>
      </c>
      <c r="F1322" s="112">
        <f t="shared" si="77"/>
        <v>1.1007194030117962E-2</v>
      </c>
    </row>
    <row r="1323" spans="1:6">
      <c r="A1323" s="111">
        <f t="shared" si="65"/>
        <v>44553</v>
      </c>
      <c r="B1323" s="112">
        <f t="shared" ref="B1323:F1323" si="78">IFERROR((B81/B80-1),"")</f>
        <v>9.9548064003909253E-3</v>
      </c>
      <c r="C1323" s="112">
        <f t="shared" si="78"/>
        <v>-3.4160242592524703E-3</v>
      </c>
      <c r="D1323" s="112">
        <f t="shared" si="78"/>
        <v>9.9602022157685433E-3</v>
      </c>
      <c r="E1323" s="112">
        <f t="shared" si="78"/>
        <v>1.6471261080926558E-2</v>
      </c>
      <c r="F1323" s="112">
        <f t="shared" si="78"/>
        <v>6.9092828559547126E-3</v>
      </c>
    </row>
    <row r="1324" spans="1:6">
      <c r="A1324" s="111">
        <f t="shared" si="65"/>
        <v>44554</v>
      </c>
      <c r="B1324" s="112">
        <f t="shared" ref="B1324:F1324" si="79">IFERROR((B82/B81-1),"")</f>
        <v>-1.7173610691177399E-2</v>
      </c>
      <c r="C1324" s="112">
        <f t="shared" si="79"/>
        <v>3.4845568692145612E-2</v>
      </c>
      <c r="D1324" s="112">
        <f t="shared" si="79"/>
        <v>-1.1960040896310864E-2</v>
      </c>
      <c r="E1324" s="112">
        <f t="shared" si="79"/>
        <v>-3.7416305632137492E-3</v>
      </c>
      <c r="F1324" s="112">
        <f t="shared" si="79"/>
        <v>-4.0327776671390536E-3</v>
      </c>
    </row>
    <row r="1325" spans="1:6">
      <c r="A1325" s="111">
        <f t="shared" si="65"/>
        <v>44557</v>
      </c>
      <c r="B1325" s="112">
        <f t="shared" ref="B1325:F1325" si="80">IFERROR((B83/B82-1),"")</f>
        <v>7.2601981172706331E-3</v>
      </c>
      <c r="C1325" s="112">
        <f t="shared" si="80"/>
        <v>-4.8621935666711691E-3</v>
      </c>
      <c r="D1325" s="112">
        <f t="shared" si="80"/>
        <v>2.1180731462817848E-2</v>
      </c>
      <c r="E1325" s="112">
        <f t="shared" si="80"/>
        <v>-7.9349391466411179E-3</v>
      </c>
      <c r="F1325" s="112">
        <f t="shared" si="80"/>
        <v>4.8518709108285041E-3</v>
      </c>
    </row>
    <row r="1326" spans="1:6">
      <c r="A1326" s="111">
        <f t="shared" si="65"/>
        <v>44558</v>
      </c>
      <c r="B1326" s="112">
        <f t="shared" ref="B1326:F1326" si="81">IFERROR((B84/B83-1),"")</f>
        <v>2.4616700262659608E-2</v>
      </c>
      <c r="C1326" s="112">
        <f t="shared" si="81"/>
        <v>6.6836948105692962E-3</v>
      </c>
      <c r="D1326" s="112">
        <f t="shared" si="81"/>
        <v>1.4566488631806429E-3</v>
      </c>
      <c r="E1326" s="112">
        <f t="shared" si="81"/>
        <v>1.0659797335762278E-2</v>
      </c>
      <c r="F1326" s="112">
        <f t="shared" si="81"/>
        <v>8.6034091740434526E-3</v>
      </c>
    </row>
    <row r="1327" spans="1:6">
      <c r="A1327" s="111">
        <f t="shared" si="65"/>
        <v>44559</v>
      </c>
      <c r="B1327" s="112">
        <f t="shared" ref="B1327:F1327" si="82">IFERROR((B85/B84-1),"")</f>
        <v>-7.1539286991773032E-3</v>
      </c>
      <c r="C1327" s="112">
        <f t="shared" si="82"/>
        <v>-1.1669643015013165E-3</v>
      </c>
      <c r="D1327" s="112">
        <f t="shared" si="82"/>
        <v>1.8835111092373236E-2</v>
      </c>
      <c r="E1327" s="112">
        <f t="shared" si="82"/>
        <v>2.5206652303098043E-3</v>
      </c>
      <c r="F1327" s="112">
        <f t="shared" si="82"/>
        <v>-1.1402376220388533E-3</v>
      </c>
    </row>
    <row r="1328" spans="1:6">
      <c r="A1328" s="111">
        <f t="shared" si="65"/>
        <v>44560</v>
      </c>
      <c r="B1328" s="112">
        <f t="shared" ref="B1328:F1328" si="83">IFERROR((B86/B85-1),"")</f>
        <v>-4.0831031584005473E-3</v>
      </c>
      <c r="C1328" s="112">
        <f t="shared" si="83"/>
        <v>3.744844311483253E-2</v>
      </c>
      <c r="D1328" s="112">
        <f t="shared" si="83"/>
        <v>1.4804009807268592E-2</v>
      </c>
      <c r="E1328" s="112">
        <f t="shared" si="83"/>
        <v>4.0173053152039451E-3</v>
      </c>
      <c r="F1328" s="112">
        <f t="shared" si="83"/>
        <v>-5.6060324394646699E-4</v>
      </c>
    </row>
    <row r="1329" spans="1:6">
      <c r="A1329" s="111">
        <f t="shared" si="65"/>
        <v>44561</v>
      </c>
      <c r="B1329" s="112">
        <f t="shared" ref="B1329:F1329" si="84">IFERROR((B87/B86-1),"")</f>
        <v>9.4658145423851536E-3</v>
      </c>
      <c r="C1329" s="112">
        <f t="shared" si="84"/>
        <v>5.0676972690741895E-3</v>
      </c>
      <c r="D1329" s="112">
        <f t="shared" si="84"/>
        <v>4.6893795746938416E-4</v>
      </c>
      <c r="E1329" s="112">
        <f t="shared" si="84"/>
        <v>8.9817846050532779E-3</v>
      </c>
      <c r="F1329" s="112">
        <f t="shared" si="84"/>
        <v>8.7247405392365529E-3</v>
      </c>
    </row>
    <row r="1330" spans="1:6">
      <c r="A1330" s="111">
        <f t="shared" si="65"/>
        <v>44564</v>
      </c>
      <c r="B1330" s="112">
        <f t="shared" ref="B1330:F1330" si="85">IFERROR((B88/B87-1),"")</f>
        <v>-8.7797885683569277E-3</v>
      </c>
      <c r="C1330" s="112">
        <f t="shared" si="85"/>
        <v>1.4056889658509375E-2</v>
      </c>
      <c r="D1330" s="112">
        <f t="shared" si="85"/>
        <v>-1.0974118606072891E-2</v>
      </c>
      <c r="E1330" s="112">
        <f t="shared" si="85"/>
        <v>3.2029950083194425E-3</v>
      </c>
      <c r="F1330" s="112">
        <f t="shared" si="85"/>
        <v>1.5653406553513438E-2</v>
      </c>
    </row>
    <row r="1331" spans="1:6">
      <c r="A1331" s="111">
        <f t="shared" si="65"/>
        <v>44565</v>
      </c>
      <c r="B1331" s="112">
        <f t="shared" ref="B1331:F1331" si="86">IFERROR((B89/B88-1),"")</f>
        <v>2.4704748132080567E-3</v>
      </c>
      <c r="C1331" s="112">
        <f t="shared" si="86"/>
        <v>2.2140746507286702E-2</v>
      </c>
      <c r="D1331" s="112">
        <f t="shared" si="86"/>
        <v>-3.6471157907750351E-3</v>
      </c>
      <c r="E1331" s="112">
        <f t="shared" si="86"/>
        <v>5.7773907755247489E-3</v>
      </c>
      <c r="F1331" s="112">
        <f t="shared" si="86"/>
        <v>1.0186829459255531E-2</v>
      </c>
    </row>
    <row r="1332" spans="1:6">
      <c r="A1332" s="111">
        <f t="shared" si="65"/>
        <v>44566</v>
      </c>
      <c r="B1332" s="112">
        <f t="shared" ref="B1332:F1332" si="87">IFERROR((B90/B89-1),"")</f>
        <v>9.1963695377772492E-3</v>
      </c>
      <c r="C1332" s="112">
        <f t="shared" si="87"/>
        <v>-2.7172666819536673E-2</v>
      </c>
      <c r="D1332" s="112">
        <f t="shared" si="87"/>
        <v>-9.3166096226824369E-3</v>
      </c>
      <c r="E1332" s="112">
        <f t="shared" si="87"/>
        <v>5.8403990710329534E-3</v>
      </c>
      <c r="F1332" s="112">
        <f t="shared" si="87"/>
        <v>6.7395852346920915E-3</v>
      </c>
    </row>
    <row r="1333" spans="1:6">
      <c r="A1333" s="111">
        <f t="shared" si="65"/>
        <v>44567</v>
      </c>
      <c r="B1333" s="112">
        <f t="shared" ref="B1333:F1333" si="88">IFERROR((B91/B90-1),"")</f>
        <v>4.1691483025618759E-4</v>
      </c>
      <c r="C1333" s="112">
        <f t="shared" si="88"/>
        <v>-1.4058422426130868E-3</v>
      </c>
      <c r="D1333" s="112">
        <f t="shared" si="88"/>
        <v>-1.0635855043420239E-2</v>
      </c>
      <c r="E1333" s="112">
        <f t="shared" si="88"/>
        <v>4.2079951908626789E-3</v>
      </c>
      <c r="F1333" s="112">
        <f t="shared" si="88"/>
        <v>-1.0005439254682558E-2</v>
      </c>
    </row>
    <row r="1334" spans="1:6">
      <c r="A1334" s="111">
        <f t="shared" si="65"/>
        <v>44568</v>
      </c>
      <c r="B1334" s="112">
        <f t="shared" ref="B1334:F1334" si="89">IFERROR((B92/B91-1),"")</f>
        <v>-1.2918973626242836E-2</v>
      </c>
      <c r="C1334" s="112">
        <f t="shared" si="89"/>
        <v>-2.9496809219122788E-2</v>
      </c>
      <c r="D1334" s="112">
        <f t="shared" si="89"/>
        <v>-6.5513930941354381E-3</v>
      </c>
      <c r="E1334" s="112">
        <f t="shared" si="89"/>
        <v>1.6938314603684335E-2</v>
      </c>
      <c r="F1334" s="112">
        <f t="shared" si="89"/>
        <v>3.7642497703693767E-3</v>
      </c>
    </row>
    <row r="1335" spans="1:6">
      <c r="A1335" s="111">
        <f t="shared" si="65"/>
        <v>44571</v>
      </c>
      <c r="B1335" s="112">
        <f t="shared" ref="B1335:F1335" si="90">IFERROR((B93/B92-1),"")</f>
        <v>1.5621230398070063E-2</v>
      </c>
      <c r="C1335" s="112">
        <f t="shared" si="90"/>
        <v>-3.0514923039505315E-2</v>
      </c>
      <c r="D1335" s="112">
        <f t="shared" si="90"/>
        <v>-1.9858125902642021E-3</v>
      </c>
      <c r="E1335" s="112">
        <f t="shared" si="90"/>
        <v>8.2812688134641377E-3</v>
      </c>
      <c r="F1335" s="112">
        <f t="shared" si="90"/>
        <v>1.0700230734251415E-2</v>
      </c>
    </row>
    <row r="1336" spans="1:6">
      <c r="A1336" s="111">
        <f t="shared" si="65"/>
        <v>44572</v>
      </c>
      <c r="B1336" s="112">
        <f t="shared" ref="B1336:F1336" si="91">IFERROR((B94/B93-1),"")</f>
        <v>-6.5324544212852498E-4</v>
      </c>
      <c r="C1336" s="112">
        <f t="shared" si="91"/>
        <v>3.3437564397774455E-2</v>
      </c>
      <c r="D1336" s="112">
        <f t="shared" si="91"/>
        <v>-6.3417073663825096E-3</v>
      </c>
      <c r="E1336" s="112">
        <f t="shared" si="91"/>
        <v>-6.6210227423507684E-3</v>
      </c>
      <c r="F1336" s="112">
        <f t="shared" si="91"/>
        <v>2.9133547738471322E-3</v>
      </c>
    </row>
    <row r="1337" spans="1:6">
      <c r="A1337" s="111">
        <f t="shared" si="65"/>
        <v>44573</v>
      </c>
      <c r="B1337" s="112">
        <f t="shared" ref="B1337:F1337" si="92">IFERROR((B95/B94-1),"")</f>
        <v>4.6529593534585079E-2</v>
      </c>
      <c r="C1337" s="112">
        <f t="shared" si="92"/>
        <v>3.6759924746192496E-3</v>
      </c>
      <c r="D1337" s="112">
        <f t="shared" si="92"/>
        <v>5.1721368528134803E-3</v>
      </c>
      <c r="E1337" s="112">
        <f t="shared" si="92"/>
        <v>-1.152710807164703E-2</v>
      </c>
      <c r="F1337" s="112">
        <f t="shared" si="92"/>
        <v>8.6731373662130018E-3</v>
      </c>
    </row>
    <row r="1338" spans="1:6">
      <c r="A1338" s="111">
        <f t="shared" si="65"/>
        <v>44574</v>
      </c>
      <c r="B1338" s="112">
        <f t="shared" ref="B1338:F1338" si="93">IFERROR((B96/B95-1),"")</f>
        <v>1.7545852024303032E-2</v>
      </c>
      <c r="C1338" s="112">
        <f t="shared" si="93"/>
        <v>-1.0659341608575956E-2</v>
      </c>
      <c r="D1338" s="112">
        <f t="shared" si="93"/>
        <v>6.9352708058125767E-3</v>
      </c>
      <c r="E1338" s="112">
        <f t="shared" si="93"/>
        <v>1.320198908167125E-2</v>
      </c>
      <c r="F1338" s="112">
        <f t="shared" si="93"/>
        <v>2.495559331991748E-3</v>
      </c>
    </row>
    <row r="1339" spans="1:6">
      <c r="A1339" s="111">
        <f t="shared" si="65"/>
        <v>44575</v>
      </c>
      <c r="B1339" s="112">
        <f t="shared" ref="B1339:F1339" si="94">IFERROR((B97/B96-1),"")</f>
        <v>-1.651785714285714E-2</v>
      </c>
      <c r="C1339" s="112">
        <f t="shared" si="94"/>
        <v>-6.6531043454723937E-3</v>
      </c>
      <c r="D1339" s="112">
        <f t="shared" si="94"/>
        <v>-7.7762143061184119E-3</v>
      </c>
      <c r="E1339" s="112">
        <f t="shared" si="94"/>
        <v>-9.8691668556034617E-3</v>
      </c>
      <c r="F1339" s="112">
        <f t="shared" si="94"/>
        <v>-1.1228077862612817E-4</v>
      </c>
    </row>
    <row r="1340" spans="1:6">
      <c r="A1340" s="111">
        <f t="shared" si="65"/>
        <v>44578</v>
      </c>
      <c r="B1340" s="112">
        <f t="shared" ref="B1340:F1340" si="95">IFERROR((B98/B97-1),"")</f>
        <v>2.2242396731729341E-2</v>
      </c>
      <c r="C1340" s="112">
        <f t="shared" si="95"/>
        <v>-1.0644188765151164E-2</v>
      </c>
      <c r="D1340" s="112">
        <f t="shared" si="95"/>
        <v>-3.5827006738889944E-3</v>
      </c>
      <c r="E1340" s="112">
        <f t="shared" si="95"/>
        <v>-1.2634528090947117E-2</v>
      </c>
      <c r="F1340" s="112">
        <f t="shared" si="95"/>
        <v>2.8675896635306231E-3</v>
      </c>
    </row>
    <row r="1341" spans="1:6">
      <c r="A1341" s="111">
        <f t="shared" si="65"/>
        <v>44579</v>
      </c>
      <c r="B1341" s="112">
        <f t="shared" ref="B1341:F1341" si="96">IFERROR((B99/B98-1),"")</f>
        <v>-9.6025754884546677E-3</v>
      </c>
      <c r="C1341" s="112">
        <f t="shared" si="96"/>
        <v>-3.869936034115129E-2</v>
      </c>
      <c r="D1341" s="112">
        <f t="shared" si="96"/>
        <v>4.5265816282853422E-3</v>
      </c>
      <c r="E1341" s="112">
        <f t="shared" si="96"/>
        <v>-1.1800335593359024E-2</v>
      </c>
      <c r="F1341" s="112">
        <f t="shared" si="96"/>
        <v>-1.0653754349167821E-2</v>
      </c>
    </row>
    <row r="1342" spans="1:6">
      <c r="A1342" s="111">
        <f t="shared" si="65"/>
        <v>44580</v>
      </c>
      <c r="B1342" s="112">
        <f t="shared" ref="B1342:F1342" si="97">IFERROR((B100/B99-1),"")</f>
        <v>2.5219974219581331E-3</v>
      </c>
      <c r="C1342" s="112">
        <f t="shared" si="97"/>
        <v>-3.6043029832522056E-4</v>
      </c>
      <c r="D1342" s="112">
        <f t="shared" si="97"/>
        <v>-1.8323017758413718E-3</v>
      </c>
      <c r="E1342" s="112">
        <f t="shared" si="97"/>
        <v>-1.2769540848725836E-2</v>
      </c>
      <c r="F1342" s="112">
        <f t="shared" si="97"/>
        <v>-9.6422192838863108E-3</v>
      </c>
    </row>
    <row r="1343" spans="1:6">
      <c r="A1343" s="111">
        <f t="shared" si="65"/>
        <v>44581</v>
      </c>
      <c r="B1343" s="112">
        <f t="shared" ref="B1343:F1343" si="98">IFERROR((B101/B100-1),"")</f>
        <v>-1.554114490160996E-2</v>
      </c>
      <c r="C1343" s="112">
        <f t="shared" si="98"/>
        <v>-1.8009522488790286E-2</v>
      </c>
      <c r="D1343" s="112">
        <f t="shared" si="98"/>
        <v>-1.99361786144997E-2</v>
      </c>
      <c r="E1343" s="112">
        <f t="shared" si="98"/>
        <v>8.2502482066197924E-3</v>
      </c>
      <c r="F1343" s="112">
        <f t="shared" si="98"/>
        <v>-1.0112384605093117E-2</v>
      </c>
    </row>
    <row r="1344" spans="1:6">
      <c r="A1344" s="111">
        <f t="shared" si="65"/>
        <v>44582</v>
      </c>
      <c r="B1344" s="112">
        <f t="shared" ref="B1344:F1344" si="99">IFERROR((B102/B101-1),"")</f>
        <v>-6.019307211811431E-3</v>
      </c>
      <c r="C1344" s="112">
        <f t="shared" si="99"/>
        <v>-2.0806462242390689E-2</v>
      </c>
      <c r="D1344" s="112">
        <f t="shared" si="99"/>
        <v>-2.0777297426794794E-2</v>
      </c>
      <c r="E1344" s="112">
        <f t="shared" si="99"/>
        <v>3.6475597409262317E-3</v>
      </c>
      <c r="F1344" s="112">
        <f t="shared" si="99"/>
        <v>-7.875767303035297E-3</v>
      </c>
    </row>
    <row r="1345" spans="1:6">
      <c r="A1345" s="111">
        <f t="shared" si="65"/>
        <v>44585</v>
      </c>
      <c r="B1345" s="112">
        <f t="shared" ref="B1345:F1345" si="100">IFERROR((B103/B102-1),"")</f>
        <v>-2.3423217550274211E-2</v>
      </c>
      <c r="C1345" s="112">
        <f t="shared" si="100"/>
        <v>-7.2187448921707142E-2</v>
      </c>
      <c r="D1345" s="112">
        <f t="shared" si="100"/>
        <v>-2.9313968617595054E-2</v>
      </c>
      <c r="E1345" s="112">
        <f t="shared" si="100"/>
        <v>-2.6103418732554062E-2</v>
      </c>
      <c r="F1345" s="112">
        <f t="shared" si="100"/>
        <v>-2.6567861430481288E-2</v>
      </c>
    </row>
    <row r="1346" spans="1:6">
      <c r="A1346" s="111">
        <f t="shared" si="65"/>
        <v>44586</v>
      </c>
      <c r="B1346" s="112">
        <f t="shared" ref="B1346:F1346" si="101">IFERROR((B104/B103-1),"")</f>
        <v>-2.340002340003311E-4</v>
      </c>
      <c r="C1346" s="112">
        <f t="shared" si="101"/>
        <v>-8.974186260997441E-3</v>
      </c>
      <c r="D1346" s="112">
        <f t="shared" si="101"/>
        <v>8.821473988108286E-3</v>
      </c>
      <c r="E1346" s="112">
        <f t="shared" si="101"/>
        <v>4.3844090980036388E-3</v>
      </c>
      <c r="F1346" s="112">
        <f t="shared" si="101"/>
        <v>7.5135138287141245E-3</v>
      </c>
    </row>
    <row r="1347" spans="1:6">
      <c r="A1347" s="111">
        <f t="shared" si="65"/>
        <v>44588</v>
      </c>
      <c r="B1347" s="112">
        <f t="shared" ref="B1347:F1347" si="102">IFERROR((B105/B104-1),"")</f>
        <v>4.1544763019309983E-3</v>
      </c>
      <c r="C1347" s="112">
        <f t="shared" si="102"/>
        <v>-7.9648238578733377E-2</v>
      </c>
      <c r="D1347" s="112">
        <f t="shared" si="102"/>
        <v>-3.3273902131573996E-2</v>
      </c>
      <c r="E1347" s="112">
        <f t="shared" si="102"/>
        <v>-1.2756759811262119E-2</v>
      </c>
      <c r="F1347" s="112">
        <f t="shared" si="102"/>
        <v>-9.7118003003827669E-3</v>
      </c>
    </row>
    <row r="1348" spans="1:6">
      <c r="A1348" s="111">
        <f t="shared" si="65"/>
        <v>44589</v>
      </c>
      <c r="B1348" s="112">
        <f t="shared" ref="B1348:F1348" si="103">IFERROR((B106/B105-1),"")</f>
        <v>1.3519025697803277E-2</v>
      </c>
      <c r="C1348" s="112">
        <f t="shared" si="103"/>
        <v>7.0998454826395108E-2</v>
      </c>
      <c r="D1348" s="112">
        <f t="shared" si="103"/>
        <v>-8.8691014601711693E-3</v>
      </c>
      <c r="E1348" s="112">
        <f t="shared" si="103"/>
        <v>4.4359858620837134E-3</v>
      </c>
      <c r="F1348" s="112">
        <f t="shared" si="103"/>
        <v>-4.7924769800389289E-4</v>
      </c>
    </row>
    <row r="1349" spans="1:6">
      <c r="A1349" s="111">
        <f t="shared" si="65"/>
        <v>44592</v>
      </c>
      <c r="B1349" s="112">
        <f t="shared" ref="B1349:F1349" si="104">IFERROR((B107/B106-1),"")</f>
        <v>1.8570689357787495E-2</v>
      </c>
      <c r="C1349" s="112">
        <f t="shared" si="104"/>
        <v>2.1269824431125128E-2</v>
      </c>
      <c r="D1349" s="112">
        <f t="shared" si="104"/>
        <v>1.9959228179964761E-2</v>
      </c>
      <c r="E1349" s="112">
        <f t="shared" si="104"/>
        <v>7.3084210676277461E-3</v>
      </c>
      <c r="F1349" s="112">
        <f t="shared" si="104"/>
        <v>1.3910694394498657E-2</v>
      </c>
    </row>
    <row r="1350" spans="1:6">
      <c r="A1350" s="111">
        <f t="shared" si="65"/>
        <v>44593</v>
      </c>
      <c r="B1350" s="112">
        <f t="shared" ref="B1350:F1350" si="105">IFERROR((B108/B107-1),"")</f>
        <v>-1.8175660419959216E-2</v>
      </c>
      <c r="C1350" s="112">
        <f t="shared" si="105"/>
        <v>-4.6951282850318243E-3</v>
      </c>
      <c r="D1350" s="112">
        <f t="shared" si="105"/>
        <v>1.5455052523938306E-3</v>
      </c>
      <c r="E1350" s="112">
        <f t="shared" si="105"/>
        <v>3.4311090996520743E-2</v>
      </c>
      <c r="F1350" s="112">
        <f t="shared" si="105"/>
        <v>1.3667938303964622E-2</v>
      </c>
    </row>
    <row r="1351" spans="1:6">
      <c r="A1351" s="111">
        <f t="shared" si="65"/>
        <v>44594</v>
      </c>
      <c r="B1351" s="112">
        <f t="shared" ref="B1351:F1351" si="106">IFERROR((B109/B108-1),"")</f>
        <v>-4.0243762216862766E-4</v>
      </c>
      <c r="C1351" s="112">
        <f t="shared" si="106"/>
        <v>6.6584566574130477E-3</v>
      </c>
      <c r="D1351" s="112">
        <f t="shared" si="106"/>
        <v>2.4573901541960153E-2</v>
      </c>
      <c r="E1351" s="112">
        <f t="shared" si="106"/>
        <v>-9.7221462560848071E-3</v>
      </c>
      <c r="F1351" s="112">
        <f t="shared" si="106"/>
        <v>1.1557816104706076E-2</v>
      </c>
    </row>
    <row r="1352" spans="1:6">
      <c r="A1352" s="111">
        <f t="shared" si="65"/>
        <v>44595</v>
      </c>
      <c r="B1352" s="112">
        <f t="shared" ref="B1352:F1352" si="107">IFERROR((B110/B109-1),"")</f>
        <v>-1.5126243745326895E-2</v>
      </c>
      <c r="C1352" s="112">
        <f t="shared" si="107"/>
        <v>-2.9920378203533105E-2</v>
      </c>
      <c r="D1352" s="112">
        <f t="shared" si="107"/>
        <v>-9.2178423001575416E-3</v>
      </c>
      <c r="E1352" s="112">
        <f t="shared" si="107"/>
        <v>-1.6196959445464731E-2</v>
      </c>
      <c r="F1352" s="112">
        <f t="shared" si="107"/>
        <v>-1.2362204724409409E-2</v>
      </c>
    </row>
    <row r="1353" spans="1:6">
      <c r="A1353" s="111">
        <f t="shared" si="65"/>
        <v>44596</v>
      </c>
      <c r="B1353" s="112">
        <f t="shared" ref="B1353:F1353" si="108">IFERROR((B111/B110-1),"")</f>
        <v>-1.693529549170758E-2</v>
      </c>
      <c r="C1353" s="112">
        <f t="shared" si="108"/>
        <v>3.5481457732178256E-3</v>
      </c>
      <c r="D1353" s="112">
        <f t="shared" si="108"/>
        <v>-5.1889865474952224E-3</v>
      </c>
      <c r="E1353" s="112">
        <f t="shared" si="108"/>
        <v>-1.1228385358186266E-4</v>
      </c>
      <c r="F1353" s="112">
        <f t="shared" si="108"/>
        <v>-2.4999715265202616E-3</v>
      </c>
    </row>
    <row r="1354" spans="1:6">
      <c r="A1354" s="111">
        <f t="shared" si="65"/>
        <v>44599</v>
      </c>
      <c r="B1354" s="112">
        <f t="shared" ref="B1354:F1354" si="109">IFERROR((B112/B111-1),"")</f>
        <v>-1.4494475466318213E-2</v>
      </c>
      <c r="C1354" s="112">
        <f t="shared" si="109"/>
        <v>-7.7208153180975403E-3</v>
      </c>
      <c r="D1354" s="112">
        <f t="shared" si="109"/>
        <v>-9.8231827111984193E-3</v>
      </c>
      <c r="E1354" s="112">
        <f t="shared" si="109"/>
        <v>-3.1836047164514381E-2</v>
      </c>
      <c r="F1354" s="112">
        <f t="shared" si="109"/>
        <v>-1.7281046796412514E-2</v>
      </c>
    </row>
    <row r="1355" spans="1:6">
      <c r="A1355" s="111">
        <f t="shared" si="65"/>
        <v>44600</v>
      </c>
      <c r="B1355" s="112">
        <f t="shared" ref="B1355:F1355" si="110">IFERROR((B113/B112-1),"")</f>
        <v>3.0741410488246412E-3</v>
      </c>
      <c r="C1355" s="112">
        <f t="shared" si="110"/>
        <v>-1.6624274230765068E-2</v>
      </c>
      <c r="D1355" s="112">
        <f t="shared" si="110"/>
        <v>2.9587858535227163E-3</v>
      </c>
      <c r="E1355" s="112">
        <f t="shared" si="110"/>
        <v>7.2058226526705571E-3</v>
      </c>
      <c r="F1355" s="112">
        <f t="shared" si="110"/>
        <v>3.0876748617372218E-3</v>
      </c>
    </row>
    <row r="1356" spans="1:6">
      <c r="A1356" s="111">
        <f t="shared" si="65"/>
        <v>44601</v>
      </c>
      <c r="B1356" s="112">
        <f t="shared" ref="B1356:F1356" si="111">IFERROR((B114/B113-1),"")</f>
        <v>9.795084430022305E-3</v>
      </c>
      <c r="C1356" s="112">
        <f t="shared" si="111"/>
        <v>3.9813157550093958E-2</v>
      </c>
      <c r="D1356" s="112">
        <f t="shared" si="111"/>
        <v>1.08284454933536E-2</v>
      </c>
      <c r="E1356" s="112">
        <f t="shared" si="111"/>
        <v>1.2638730944737997E-2</v>
      </c>
      <c r="F1356" s="112">
        <f t="shared" si="111"/>
        <v>1.1412107084425305E-2</v>
      </c>
    </row>
    <row r="1357" spans="1:6">
      <c r="A1357" s="111">
        <f t="shared" si="65"/>
        <v>44602</v>
      </c>
      <c r="B1357" s="112">
        <f t="shared" ref="B1357:F1357" si="112">IFERROR((B115/B114-1),"")</f>
        <v>1.529397762437501E-2</v>
      </c>
      <c r="C1357" s="112">
        <f t="shared" si="112"/>
        <v>-7.1896385238675586E-3</v>
      </c>
      <c r="D1357" s="112">
        <f t="shared" si="112"/>
        <v>4.4635193133046869E-4</v>
      </c>
      <c r="E1357" s="112">
        <f t="shared" si="112"/>
        <v>4.8900450623339253E-3</v>
      </c>
      <c r="F1357" s="112">
        <f t="shared" si="112"/>
        <v>8.1339685520904759E-3</v>
      </c>
    </row>
    <row r="1358" spans="1:6">
      <c r="A1358" s="111">
        <f t="shared" si="65"/>
        <v>44603</v>
      </c>
      <c r="B1358" s="112">
        <f t="shared" ref="B1358:F1358" si="113">IFERROR((B116/B115-1),"")</f>
        <v>7.0335853701419815E-4</v>
      </c>
      <c r="C1358" s="112">
        <f t="shared" si="113"/>
        <v>-3.9739510101383768E-2</v>
      </c>
      <c r="D1358" s="112">
        <f t="shared" si="113"/>
        <v>-1.0364472510124179E-2</v>
      </c>
      <c r="E1358" s="112">
        <f t="shared" si="113"/>
        <v>-1.5277758130455066E-2</v>
      </c>
      <c r="F1358" s="112">
        <f t="shared" si="113"/>
        <v>-1.3126318808804993E-2</v>
      </c>
    </row>
    <row r="1359" spans="1:6">
      <c r="A1359" s="111">
        <f t="shared" si="65"/>
        <v>44606</v>
      </c>
      <c r="B1359" s="112">
        <f t="shared" ref="B1359:F1359" si="114">IFERROR((B117/B116-1),"")</f>
        <v>-3.3503192174778929E-2</v>
      </c>
      <c r="C1359" s="112">
        <f t="shared" si="114"/>
        <v>-4.1031794962127943E-2</v>
      </c>
      <c r="D1359" s="112">
        <f t="shared" si="114"/>
        <v>-2.7928052896841971E-2</v>
      </c>
      <c r="E1359" s="112">
        <f t="shared" si="114"/>
        <v>-2.3717515909841835E-2</v>
      </c>
      <c r="F1359" s="112">
        <f t="shared" si="114"/>
        <v>-3.0616267859969293E-2</v>
      </c>
    </row>
    <row r="1360" spans="1:6">
      <c r="A1360" s="111">
        <f t="shared" si="65"/>
        <v>44607</v>
      </c>
      <c r="B1360" s="112">
        <f t="shared" ref="B1360:F1360" si="115">IFERROR((B118/B117-1),"")</f>
        <v>3.5816011150839433E-2</v>
      </c>
      <c r="C1360" s="112">
        <f t="shared" si="115"/>
        <v>3.4246024912462092E-2</v>
      </c>
      <c r="D1360" s="112">
        <f t="shared" si="115"/>
        <v>1.7350045188603058E-2</v>
      </c>
      <c r="E1360" s="112">
        <f t="shared" si="115"/>
        <v>2.3513831665685769E-2</v>
      </c>
      <c r="F1360" s="112">
        <f t="shared" si="115"/>
        <v>3.0259220557152133E-2</v>
      </c>
    </row>
    <row r="1361" spans="1:6">
      <c r="A1361" s="111">
        <f t="shared" si="65"/>
        <v>44608</v>
      </c>
      <c r="B1361" s="112">
        <f t="shared" ref="B1361:F1361" si="116">IFERROR((B119/B118-1),"")</f>
        <v>1.1291832436227445E-2</v>
      </c>
      <c r="C1361" s="112">
        <f t="shared" si="116"/>
        <v>-9.4352188970784345E-3</v>
      </c>
      <c r="D1361" s="112">
        <f t="shared" si="116"/>
        <v>9.0939907189862002E-3</v>
      </c>
      <c r="E1361" s="112">
        <f t="shared" si="116"/>
        <v>-4.5717243163978516E-3</v>
      </c>
      <c r="F1361" s="112">
        <f t="shared" si="116"/>
        <v>-1.7432696823791449E-3</v>
      </c>
    </row>
    <row r="1362" spans="1:6">
      <c r="A1362" s="111">
        <f t="shared" si="65"/>
        <v>44609</v>
      </c>
      <c r="B1362" s="112">
        <f t="shared" ref="B1362:F1362" si="117">IFERROR((B120/B119-1),"")</f>
        <v>-2.3141452126120843E-3</v>
      </c>
      <c r="C1362" s="112">
        <f t="shared" si="117"/>
        <v>-1.6427979112037416E-2</v>
      </c>
      <c r="D1362" s="112">
        <f t="shared" si="117"/>
        <v>-3.5793302366526891E-3</v>
      </c>
      <c r="E1362" s="112">
        <f t="shared" si="117"/>
        <v>6.0658578856154222E-4</v>
      </c>
      <c r="F1362" s="112">
        <f t="shared" si="117"/>
        <v>-1.0160372239093052E-3</v>
      </c>
    </row>
    <row r="1363" spans="1:6">
      <c r="A1363" s="111">
        <f t="shared" si="65"/>
        <v>44610</v>
      </c>
      <c r="B1363" s="112">
        <f t="shared" ref="B1363:F1363" si="118">IFERROR((B121/B120-1),"")</f>
        <v>-1.188750362423896E-2</v>
      </c>
      <c r="C1363" s="112">
        <f t="shared" si="118"/>
        <v>-1.5528870254750915E-2</v>
      </c>
      <c r="D1363" s="112">
        <f t="shared" si="118"/>
        <v>4.6849569867473129E-3</v>
      </c>
      <c r="E1363" s="112">
        <f t="shared" si="118"/>
        <v>5.0662509742791517E-3</v>
      </c>
      <c r="F1363" s="112">
        <f t="shared" si="118"/>
        <v>-1.6354033031679149E-3</v>
      </c>
    </row>
    <row r="1364" spans="1:6">
      <c r="A1364" s="111">
        <f t="shared" si="65"/>
        <v>44613</v>
      </c>
      <c r="B1364" s="112">
        <f t="shared" ref="B1364:F1364" si="119">IFERROR((B122/B121-1),"")</f>
        <v>-1.279342723004695E-2</v>
      </c>
      <c r="C1364" s="112">
        <f t="shared" si="119"/>
        <v>2.1398233980256753E-2</v>
      </c>
      <c r="D1364" s="112">
        <f t="shared" si="119"/>
        <v>-5.2995151753584269E-3</v>
      </c>
      <c r="E1364" s="112">
        <f t="shared" si="119"/>
        <v>-1.8382088952078046E-3</v>
      </c>
      <c r="F1364" s="112">
        <f t="shared" si="119"/>
        <v>-4.0315345299628547E-3</v>
      </c>
    </row>
    <row r="1365" spans="1:6">
      <c r="A1365" s="111">
        <f t="shared" si="65"/>
        <v>44614</v>
      </c>
      <c r="B1365" s="112">
        <f t="shared" ref="B1365:F1365" si="120">IFERROR((B123/B122-1),"")</f>
        <v>1.4445369159433952E-2</v>
      </c>
      <c r="C1365" s="112">
        <f t="shared" si="120"/>
        <v>1.1783634344761929E-3</v>
      </c>
      <c r="D1365" s="112">
        <f t="shared" si="120"/>
        <v>-1.855406269993598E-2</v>
      </c>
      <c r="E1365" s="112">
        <f t="shared" si="120"/>
        <v>4.1723617005970937E-3</v>
      </c>
      <c r="F1365" s="112">
        <f t="shared" si="120"/>
        <v>-6.651498112648313E-3</v>
      </c>
    </row>
    <row r="1366" spans="1:6">
      <c r="A1366" s="111">
        <f t="shared" si="65"/>
        <v>44615</v>
      </c>
      <c r="B1366" s="112">
        <f t="shared" ref="B1366:F1366" si="121">IFERROR((B124/B123-1),"")</f>
        <v>-3.4573688836800898E-3</v>
      </c>
      <c r="C1366" s="112">
        <f t="shared" si="121"/>
        <v>4.1986374233267121E-3</v>
      </c>
      <c r="D1366" s="112">
        <f t="shared" si="121"/>
        <v>-4.1602465331278538E-3</v>
      </c>
      <c r="E1366" s="112">
        <f t="shared" si="121"/>
        <v>6.13224443011684E-3</v>
      </c>
      <c r="F1366" s="112">
        <f t="shared" si="121"/>
        <v>-1.693755046161427E-3</v>
      </c>
    </row>
    <row r="1367" spans="1:6">
      <c r="A1367" s="111">
        <f t="shared" si="65"/>
        <v>44616</v>
      </c>
      <c r="B1367" s="112">
        <f t="shared" ref="B1367:F1367" si="122">IFERROR((B125/B124-1),"")</f>
        <v>-6.4095025285193508E-2</v>
      </c>
      <c r="C1367" s="112">
        <f t="shared" si="122"/>
        <v>-4.7468247438946065E-2</v>
      </c>
      <c r="D1367" s="112">
        <f t="shared" si="122"/>
        <v>-2.5815589330984712E-2</v>
      </c>
      <c r="E1367" s="112">
        <f t="shared" si="122"/>
        <v>-1.8555174230665217E-2</v>
      </c>
      <c r="F1367" s="112">
        <f t="shared" si="122"/>
        <v>-4.7781049917219764E-2</v>
      </c>
    </row>
    <row r="1368" spans="1:6">
      <c r="A1368" s="111">
        <f t="shared" si="65"/>
        <v>44617</v>
      </c>
      <c r="B1368" s="112">
        <f t="shared" ref="B1368:F1368" si="123">IFERROR((B126/B125-1),"")</f>
        <v>1.4827846192510874E-2</v>
      </c>
      <c r="C1368" s="112">
        <f t="shared" si="123"/>
        <v>6.5273718957418847E-2</v>
      </c>
      <c r="D1368" s="112">
        <f t="shared" si="123"/>
        <v>2.0549786194257846E-2</v>
      </c>
      <c r="E1368" s="112">
        <f t="shared" si="123"/>
        <v>-6.7469529889727653E-3</v>
      </c>
      <c r="F1368" s="112">
        <f t="shared" si="123"/>
        <v>2.5261648392566505E-2</v>
      </c>
    </row>
    <row r="1369" spans="1:6">
      <c r="A1369" s="111">
        <f t="shared" si="65"/>
        <v>44620</v>
      </c>
      <c r="B1369" s="112">
        <f t="shared" ref="B1369:F1369" si="124">IFERROR((B127/B126-1),"")</f>
        <v>-2.0740465577018363E-2</v>
      </c>
      <c r="C1369" s="112">
        <f t="shared" si="124"/>
        <v>7.4635154046069907E-3</v>
      </c>
      <c r="D1369" s="112">
        <f t="shared" si="124"/>
        <v>-2.7103385528899238E-2</v>
      </c>
      <c r="E1369" s="112">
        <f t="shared" si="124"/>
        <v>1.3731648528230167E-3</v>
      </c>
      <c r="F1369" s="112">
        <f t="shared" si="124"/>
        <v>8.1340344811027254E-3</v>
      </c>
    </row>
    <row r="1370" spans="1:6">
      <c r="A1370" s="111">
        <f t="shared" si="65"/>
        <v>44622</v>
      </c>
      <c r="B1370" s="112">
        <f t="shared" ref="B1370:F1370" si="125">IFERROR((B128/B127-1),"")</f>
        <v>-1.5805778592653419E-2</v>
      </c>
      <c r="C1370" s="112">
        <f t="shared" si="125"/>
        <v>-9.4917870135596827E-3</v>
      </c>
      <c r="D1370" s="112">
        <f t="shared" si="125"/>
        <v>-5.1742383225869881E-2</v>
      </c>
      <c r="E1370" s="112">
        <f t="shared" si="125"/>
        <v>-1.0415906869538527E-2</v>
      </c>
      <c r="F1370" s="112">
        <f t="shared" si="125"/>
        <v>-1.1191563603451304E-2</v>
      </c>
    </row>
    <row r="1371" spans="1:6">
      <c r="A1371" s="111">
        <f t="shared" si="65"/>
        <v>44623</v>
      </c>
      <c r="B1371" s="112">
        <f t="shared" ref="B1371:F1371" si="126">IFERROR((B129/B128-1),"")</f>
        <v>-2.094173572300384E-2</v>
      </c>
      <c r="C1371" s="112">
        <f t="shared" si="126"/>
        <v>4.1391668243386137E-2</v>
      </c>
      <c r="D1371" s="112">
        <f t="shared" si="126"/>
        <v>-3.4854599483539417E-2</v>
      </c>
      <c r="E1371" s="112">
        <f t="shared" si="126"/>
        <v>-7.4740178373995381E-3</v>
      </c>
      <c r="F1371" s="112">
        <f t="shared" si="126"/>
        <v>-6.4976710155095763E-3</v>
      </c>
    </row>
    <row r="1372" spans="1:6">
      <c r="A1372" s="111">
        <f t="shared" si="65"/>
        <v>44624</v>
      </c>
      <c r="B1372" s="112">
        <f t="shared" ref="B1372:F1372" si="127">IFERROR((B130/B129-1),"")</f>
        <v>-3.9039433108063792E-2</v>
      </c>
      <c r="C1372" s="112">
        <f t="shared" si="127"/>
        <v>-3.4092852257181505E-3</v>
      </c>
      <c r="D1372" s="112">
        <f t="shared" si="127"/>
        <v>2.9525256463691862E-2</v>
      </c>
      <c r="E1372" s="112">
        <f t="shared" si="127"/>
        <v>1.4704134980987327E-3</v>
      </c>
      <c r="F1372" s="112">
        <f t="shared" si="127"/>
        <v>-1.5316961701534404E-2</v>
      </c>
    </row>
    <row r="1373" spans="1:6">
      <c r="A1373" s="111">
        <f t="shared" si="65"/>
        <v>44627</v>
      </c>
      <c r="B1373" s="112">
        <f t="shared" ref="B1373:F1373" si="128">IFERROR((B131/B130-1),"")</f>
        <v>-5.7012153489007233E-2</v>
      </c>
      <c r="C1373" s="112">
        <f t="shared" si="128"/>
        <v>1.2858046735085615E-2</v>
      </c>
      <c r="D1373" s="112">
        <f t="shared" si="128"/>
        <v>-1.5475428675904124E-2</v>
      </c>
      <c r="E1373" s="112">
        <f t="shared" si="128"/>
        <v>-6.4632862206534525E-2</v>
      </c>
      <c r="F1373" s="112">
        <f t="shared" si="128"/>
        <v>-2.3526732264925077E-2</v>
      </c>
    </row>
    <row r="1374" spans="1:6">
      <c r="A1374" s="111">
        <f t="shared" si="65"/>
        <v>44628</v>
      </c>
      <c r="B1374" s="112">
        <f t="shared" ref="B1374:F1374" si="129">IFERROR((B132/B131-1),"")</f>
        <v>1.4626022735500621E-2</v>
      </c>
      <c r="C1374" s="112">
        <f t="shared" si="129"/>
        <v>1.9153396578011295E-2</v>
      </c>
      <c r="D1374" s="112">
        <f t="shared" si="129"/>
        <v>2.6303921048442813E-2</v>
      </c>
      <c r="E1374" s="112">
        <f t="shared" si="129"/>
        <v>-1.2589386227782162E-2</v>
      </c>
      <c r="F1374" s="112">
        <f t="shared" si="129"/>
        <v>9.4747890551372116E-3</v>
      </c>
    </row>
    <row r="1375" spans="1:6">
      <c r="A1375" s="111">
        <f t="shared" ref="A1375:A1438" si="130">A133</f>
        <v>44629</v>
      </c>
      <c r="B1375" s="112">
        <f t="shared" ref="B1375:F1375" si="131">IFERROR((B133/B132-1),"")</f>
        <v>4.881181759794484E-2</v>
      </c>
      <c r="C1375" s="112">
        <f t="shared" si="131"/>
        <v>-5.3346769585588594E-2</v>
      </c>
      <c r="D1375" s="112">
        <f t="shared" si="131"/>
        <v>1.6000827183311639E-2</v>
      </c>
      <c r="E1375" s="112">
        <f t="shared" si="131"/>
        <v>3.2436772380570744E-3</v>
      </c>
      <c r="F1375" s="112">
        <f t="shared" si="131"/>
        <v>2.0726326931423289E-2</v>
      </c>
    </row>
    <row r="1376" spans="1:6">
      <c r="A1376" s="111">
        <f t="shared" si="130"/>
        <v>44630</v>
      </c>
      <c r="B1376" s="112">
        <f t="shared" ref="B1376:F1376" si="132">IFERROR((B134/B133-1),"")</f>
        <v>5.4432877457983864E-3</v>
      </c>
      <c r="C1376" s="112">
        <f t="shared" si="132"/>
        <v>-6.4989793902680004E-2</v>
      </c>
      <c r="D1376" s="112">
        <f t="shared" si="132"/>
        <v>-9.6553829714155492E-3</v>
      </c>
      <c r="E1376" s="112">
        <f t="shared" si="132"/>
        <v>3.1723674312146732E-2</v>
      </c>
      <c r="F1376" s="112">
        <f t="shared" si="132"/>
        <v>1.5267339029142901E-2</v>
      </c>
    </row>
    <row r="1377" spans="1:6">
      <c r="A1377" s="111">
        <f t="shared" si="130"/>
        <v>44631</v>
      </c>
      <c r="B1377" s="112">
        <f t="shared" ref="B1377:F1377" si="133">IFERROR((B135/B134-1),"")</f>
        <v>-5.4814915070718895E-3</v>
      </c>
      <c r="C1377" s="112">
        <f t="shared" si="133"/>
        <v>8.9906103286385708E-3</v>
      </c>
      <c r="D1377" s="112">
        <f t="shared" si="133"/>
        <v>2.1348747591522166E-2</v>
      </c>
      <c r="E1377" s="112">
        <f t="shared" si="133"/>
        <v>-7.1518329480754206E-3</v>
      </c>
      <c r="F1377" s="112">
        <f t="shared" si="133"/>
        <v>2.1422244183453287E-3</v>
      </c>
    </row>
    <row r="1378" spans="1:6">
      <c r="A1378" s="111">
        <f t="shared" si="130"/>
        <v>44634</v>
      </c>
      <c r="B1378" s="112">
        <f t="shared" ref="B1378:F1378" si="134">IFERROR((B136/B135-1),"")</f>
        <v>1.1431682090364825E-2</v>
      </c>
      <c r="C1378" s="112">
        <f t="shared" si="134"/>
        <v>1.7890794034850943E-2</v>
      </c>
      <c r="D1378" s="112">
        <f t="shared" si="134"/>
        <v>-4.6030787805614315E-3</v>
      </c>
      <c r="E1378" s="112">
        <f t="shared" si="134"/>
        <v>-4.3907622113191769E-3</v>
      </c>
      <c r="F1378" s="112">
        <f t="shared" si="134"/>
        <v>1.4482470408196946E-2</v>
      </c>
    </row>
    <row r="1379" spans="1:6">
      <c r="A1379" s="111">
        <f t="shared" si="130"/>
        <v>44635</v>
      </c>
      <c r="B1379" s="112">
        <f t="shared" ref="B1379:F1379" si="135">IFERROR((B137/B136-1),"")</f>
        <v>2.4219590958019399E-2</v>
      </c>
      <c r="C1379" s="112">
        <f t="shared" si="135"/>
        <v>-5.1106235143536183E-2</v>
      </c>
      <c r="D1379" s="112">
        <f t="shared" si="135"/>
        <v>-1.4517474035327105E-2</v>
      </c>
      <c r="E1379" s="112">
        <f t="shared" si="135"/>
        <v>1.1613855015145003E-2</v>
      </c>
      <c r="F1379" s="112">
        <f t="shared" si="135"/>
        <v>-1.2346410768583338E-2</v>
      </c>
    </row>
    <row r="1380" spans="1:6">
      <c r="A1380" s="111">
        <f t="shared" si="130"/>
        <v>44636</v>
      </c>
      <c r="B1380" s="112">
        <f t="shared" ref="B1380:F1380" si="136">IFERROR((B138/B137-1),"")</f>
        <v>1.6355754072516993E-2</v>
      </c>
      <c r="C1380" s="112">
        <f t="shared" si="136"/>
        <v>4.7897196261682318E-2</v>
      </c>
      <c r="D1380" s="112">
        <f t="shared" si="136"/>
        <v>1.1269664217854469E-2</v>
      </c>
      <c r="E1380" s="112">
        <f t="shared" si="136"/>
        <v>2.8173821307228231E-2</v>
      </c>
      <c r="F1380" s="112">
        <f t="shared" si="136"/>
        <v>1.8745123927264018E-2</v>
      </c>
    </row>
    <row r="1381" spans="1:6">
      <c r="A1381" s="111">
        <f t="shared" si="130"/>
        <v>44637</v>
      </c>
      <c r="B1381" s="112">
        <f t="shared" ref="B1381:F1381" si="137">IFERROR((B139/B138-1),"")</f>
        <v>2.6820913849932237E-2</v>
      </c>
      <c r="C1381" s="112">
        <f t="shared" si="137"/>
        <v>1.3929593490328518E-2</v>
      </c>
      <c r="D1381" s="112">
        <f t="shared" si="137"/>
        <v>2.4937877174298739E-2</v>
      </c>
      <c r="E1381" s="112">
        <f t="shared" si="137"/>
        <v>1.2765379566339163E-2</v>
      </c>
      <c r="F1381" s="112">
        <f t="shared" si="137"/>
        <v>1.8361918900052121E-2</v>
      </c>
    </row>
    <row r="1382" spans="1:6">
      <c r="A1382" s="111">
        <f t="shared" si="130"/>
        <v>44641</v>
      </c>
      <c r="B1382" s="112">
        <f t="shared" ref="B1382:F1382" si="138">IFERROR((B140/B139-1),"")</f>
        <v>-1.3721047331319181E-2</v>
      </c>
      <c r="C1382" s="112">
        <f t="shared" si="138"/>
        <v>5.1801725212816674E-3</v>
      </c>
      <c r="D1382" s="112">
        <f t="shared" si="138"/>
        <v>-9.2030231436239784E-3</v>
      </c>
      <c r="E1382" s="112">
        <f t="shared" si="138"/>
        <v>-3.5280620986605782E-2</v>
      </c>
      <c r="F1382" s="112">
        <f t="shared" si="138"/>
        <v>-9.8021351242694177E-3</v>
      </c>
    </row>
    <row r="1383" spans="1:6">
      <c r="A1383" s="111">
        <f t="shared" si="130"/>
        <v>44642</v>
      </c>
      <c r="B1383" s="112">
        <f t="shared" ref="B1383:F1383" si="139">IFERROR((B141/B140-1),"")</f>
        <v>2.6802807913210991E-3</v>
      </c>
      <c r="C1383" s="112">
        <f t="shared" si="139"/>
        <v>5.3677349511715988E-3</v>
      </c>
      <c r="D1383" s="112">
        <f t="shared" si="139"/>
        <v>6.3421515874106937E-3</v>
      </c>
      <c r="E1383" s="112">
        <f t="shared" si="139"/>
        <v>-2.4447498880326157E-2</v>
      </c>
      <c r="F1383" s="112">
        <f t="shared" si="139"/>
        <v>1.1561200168247909E-2</v>
      </c>
    </row>
    <row r="1384" spans="1:6">
      <c r="A1384" s="111">
        <f t="shared" si="130"/>
        <v>44643</v>
      </c>
      <c r="B1384" s="112">
        <f t="shared" ref="B1384:F1384" si="140">IFERROR((B142/B141-1),"")</f>
        <v>-1.4638492871690389E-2</v>
      </c>
      <c r="C1384" s="112">
        <f t="shared" si="140"/>
        <v>-4.991363259079673E-3</v>
      </c>
      <c r="D1384" s="112">
        <f t="shared" si="140"/>
        <v>2.405498281786933E-2</v>
      </c>
      <c r="E1384" s="112">
        <f t="shared" si="140"/>
        <v>-1.77779888551165E-2</v>
      </c>
      <c r="F1384" s="112">
        <f t="shared" si="140"/>
        <v>-4.0339580144955756E-3</v>
      </c>
    </row>
    <row r="1385" spans="1:6">
      <c r="A1385" s="111">
        <f t="shared" si="130"/>
        <v>44644</v>
      </c>
      <c r="B1385" s="112">
        <f t="shared" ref="B1385:F1385" si="141">IFERROR((B143/B142-1),"")</f>
        <v>-1.0915902338199279E-2</v>
      </c>
      <c r="C1385" s="112">
        <f t="shared" si="141"/>
        <v>9.8073476197453324E-3</v>
      </c>
      <c r="D1385" s="112">
        <f t="shared" si="141"/>
        <v>4.8748576551256306E-2</v>
      </c>
      <c r="E1385" s="112">
        <f t="shared" si="141"/>
        <v>5.1575469417364239E-4</v>
      </c>
      <c r="F1385" s="112">
        <f t="shared" si="141"/>
        <v>-1.3278710863320331E-3</v>
      </c>
    </row>
    <row r="1386" spans="1:6">
      <c r="A1386" s="111">
        <f t="shared" si="130"/>
        <v>44645</v>
      </c>
      <c r="B1386" s="112">
        <f t="shared" ref="B1386:F1386" si="142">IFERROR((B144/B143-1),"")</f>
        <v>-1.1754718213282667E-3</v>
      </c>
      <c r="C1386" s="112">
        <f t="shared" si="142"/>
        <v>-1.2480603712923699E-2</v>
      </c>
      <c r="D1386" s="112">
        <f t="shared" si="142"/>
        <v>7.6123368372413847E-3</v>
      </c>
      <c r="E1386" s="112">
        <f t="shared" si="142"/>
        <v>-3.0123878409071825E-3</v>
      </c>
      <c r="F1386" s="112">
        <f t="shared" si="142"/>
        <v>-4.049875890900112E-3</v>
      </c>
    </row>
    <row r="1387" spans="1:6">
      <c r="A1387" s="111">
        <f t="shared" si="130"/>
        <v>44648</v>
      </c>
      <c r="B1387" s="112">
        <f t="shared" ref="B1387:F1387" si="143">IFERROR((B145/B144-1),"")</f>
        <v>5.88427590715912E-3</v>
      </c>
      <c r="C1387" s="112">
        <f t="shared" si="143"/>
        <v>-1.9307943613569911E-2</v>
      </c>
      <c r="D1387" s="112">
        <f t="shared" si="143"/>
        <v>-1.742539751688077E-2</v>
      </c>
      <c r="E1387" s="112">
        <f t="shared" si="143"/>
        <v>9.6946194861891044E-5</v>
      </c>
      <c r="F1387" s="112">
        <f t="shared" si="143"/>
        <v>4.0226199498629711E-3</v>
      </c>
    </row>
    <row r="1388" spans="1:6">
      <c r="A1388" s="111">
        <f t="shared" si="130"/>
        <v>44649</v>
      </c>
      <c r="B1388" s="112">
        <f t="shared" ref="B1388:F1388" si="144">IFERROR((B146/B145-1),"")</f>
        <v>5.3298667533312472E-3</v>
      </c>
      <c r="C1388" s="112">
        <f t="shared" si="144"/>
        <v>1.620693232510706E-2</v>
      </c>
      <c r="D1388" s="112">
        <f t="shared" si="144"/>
        <v>8.8905482504755273E-3</v>
      </c>
      <c r="E1388" s="112">
        <f t="shared" si="144"/>
        <v>2.9081039162466293E-3</v>
      </c>
      <c r="F1388" s="112">
        <f t="shared" si="144"/>
        <v>5.9981419115084922E-3</v>
      </c>
    </row>
    <row r="1389" spans="1:6">
      <c r="A1389" s="111">
        <f t="shared" si="130"/>
        <v>44650</v>
      </c>
      <c r="B1389" s="112">
        <f t="shared" ref="B1389:F1389" si="145">IFERROR((B147/B146-1),"")</f>
        <v>2.5861511605353327E-2</v>
      </c>
      <c r="C1389" s="112">
        <f t="shared" si="145"/>
        <v>2.5862362322621513E-2</v>
      </c>
      <c r="D1389" s="112">
        <f t="shared" si="145"/>
        <v>7.1353401718494691E-3</v>
      </c>
      <c r="E1389" s="112">
        <f t="shared" si="145"/>
        <v>1.4369482569753123E-2</v>
      </c>
      <c r="F1389" s="112">
        <f t="shared" si="145"/>
        <v>9.9825111253484256E-3</v>
      </c>
    </row>
    <row r="1390" spans="1:6">
      <c r="A1390" s="111">
        <f t="shared" si="130"/>
        <v>44651</v>
      </c>
      <c r="B1390" s="112">
        <f t="shared" ref="B1390:F1390" si="146">IFERROR((B148/B147-1),"")</f>
        <v>1.6638305917942908E-2</v>
      </c>
      <c r="C1390" s="112">
        <f t="shared" si="146"/>
        <v>-1.4252700715399302E-2</v>
      </c>
      <c r="D1390" s="112">
        <f t="shared" si="146"/>
        <v>-1.3538030497887155E-2</v>
      </c>
      <c r="E1390" s="112">
        <f t="shared" si="146"/>
        <v>1.8422055647312918E-2</v>
      </c>
      <c r="F1390" s="112">
        <f t="shared" si="146"/>
        <v>-1.9144771620018819E-3</v>
      </c>
    </row>
    <row r="1391" spans="1:6">
      <c r="A1391" s="111">
        <f t="shared" si="130"/>
        <v>44652</v>
      </c>
      <c r="B1391" s="112">
        <f t="shared" ref="B1391:F1391" si="147">IFERROR((B149/B148-1),"")</f>
        <v>2.4796974769078162E-2</v>
      </c>
      <c r="C1391" s="112">
        <f t="shared" si="147"/>
        <v>-9.5681435782388746E-3</v>
      </c>
      <c r="D1391" s="112">
        <f t="shared" si="147"/>
        <v>-3.7248716665309045E-3</v>
      </c>
      <c r="E1391" s="112">
        <f t="shared" si="147"/>
        <v>7.5629990019960847E-3</v>
      </c>
      <c r="F1391" s="112">
        <f t="shared" si="147"/>
        <v>1.1778009991554539E-2</v>
      </c>
    </row>
    <row r="1392" spans="1:6">
      <c r="A1392" s="111">
        <f t="shared" si="130"/>
        <v>44655</v>
      </c>
      <c r="B1392" s="112">
        <f t="shared" ref="B1392:F1392" si="148">IFERROR((B150/B149-1),"")</f>
        <v>8.6504143729964067E-3</v>
      </c>
      <c r="C1392" s="112">
        <f t="shared" si="148"/>
        <v>2.191467433774652E-2</v>
      </c>
      <c r="D1392" s="112">
        <f t="shared" si="148"/>
        <v>8.8095432824311093E-3</v>
      </c>
      <c r="E1392" s="112">
        <f t="shared" si="148"/>
        <v>1.2180211412563979E-2</v>
      </c>
      <c r="F1392" s="112">
        <f t="shared" si="148"/>
        <v>2.1671774063478866E-2</v>
      </c>
    </row>
    <row r="1393" spans="1:6">
      <c r="A1393" s="111">
        <f t="shared" si="130"/>
        <v>44656</v>
      </c>
      <c r="B1393" s="112">
        <f t="shared" ref="B1393:F1393" si="149">IFERROR((B151/B150-1),"")</f>
        <v>3.4184958618206363E-3</v>
      </c>
      <c r="C1393" s="112">
        <f t="shared" si="149"/>
        <v>1.0195939356325789E-2</v>
      </c>
      <c r="D1393" s="112">
        <f t="shared" si="149"/>
        <v>2.9533372711163519E-3</v>
      </c>
      <c r="E1393" s="112">
        <f t="shared" si="149"/>
        <v>1.0214067278287553E-2</v>
      </c>
      <c r="F1393" s="112">
        <f t="shared" si="149"/>
        <v>-5.3175579115291027E-3</v>
      </c>
    </row>
    <row r="1394" spans="1:6">
      <c r="A1394" s="111">
        <f t="shared" si="130"/>
        <v>44657</v>
      </c>
      <c r="B1394" s="112">
        <f t="shared" ref="B1394:F1394" si="150">IFERROR((B152/B151-1),"")</f>
        <v>-1.039985655370268E-2</v>
      </c>
      <c r="C1394" s="112">
        <f t="shared" si="150"/>
        <v>-2.0482271370896865E-2</v>
      </c>
      <c r="D1394" s="112">
        <f t="shared" si="150"/>
        <v>-1.2275110279683088E-2</v>
      </c>
      <c r="E1394" s="112">
        <f t="shared" si="150"/>
        <v>-6.3268147968760235E-3</v>
      </c>
      <c r="F1394" s="112">
        <f t="shared" si="150"/>
        <v>-8.3391805049728429E-3</v>
      </c>
    </row>
    <row r="1395" spans="1:6">
      <c r="A1395" s="111">
        <f t="shared" si="130"/>
        <v>44658</v>
      </c>
      <c r="B1395" s="112">
        <f t="shared" ref="B1395:F1395" si="151">IFERROR((B153/B152-1),"")</f>
        <v>7.7912665337922515E-3</v>
      </c>
      <c r="C1395" s="112">
        <f t="shared" si="151"/>
        <v>-1.6822534580276605E-2</v>
      </c>
      <c r="D1395" s="112">
        <f t="shared" si="151"/>
        <v>9.504881042847968E-3</v>
      </c>
      <c r="E1395" s="112">
        <f t="shared" si="151"/>
        <v>3.5338918507235029E-3</v>
      </c>
      <c r="F1395" s="112">
        <f t="shared" si="151"/>
        <v>-9.4397632478178117E-3</v>
      </c>
    </row>
    <row r="1396" spans="1:6">
      <c r="A1396" s="111">
        <f t="shared" si="130"/>
        <v>44659</v>
      </c>
      <c r="B1396" s="112">
        <f t="shared" ref="B1396:F1396" si="152">IFERROR((B154/B153-1),"")</f>
        <v>2.768788205681405E-2</v>
      </c>
      <c r="C1396" s="112">
        <f t="shared" si="152"/>
        <v>-3.6453527448367939E-3</v>
      </c>
      <c r="D1396" s="112">
        <f t="shared" si="152"/>
        <v>2.6161578727938117E-2</v>
      </c>
      <c r="E1396" s="112">
        <f t="shared" si="152"/>
        <v>1.63322303512341E-2</v>
      </c>
      <c r="F1396" s="112">
        <f t="shared" si="152"/>
        <v>8.208826188876639E-3</v>
      </c>
    </row>
    <row r="1397" spans="1:6">
      <c r="A1397" s="111">
        <f t="shared" si="130"/>
        <v>44662</v>
      </c>
      <c r="B1397" s="112">
        <f t="shared" ref="B1397:F1397" si="153">IFERROR((B155/B154-1),"")</f>
        <v>-6.4147422439930768E-4</v>
      </c>
      <c r="C1397" s="112">
        <f t="shared" si="153"/>
        <v>-1.3914455255365055E-2</v>
      </c>
      <c r="D1397" s="112">
        <f t="shared" si="153"/>
        <v>-1.1251932691548117E-2</v>
      </c>
      <c r="E1397" s="112">
        <f t="shared" si="153"/>
        <v>8.2141043639305522E-4</v>
      </c>
      <c r="F1397" s="112">
        <f t="shared" si="153"/>
        <v>-6.1514758762618582E-3</v>
      </c>
    </row>
    <row r="1398" spans="1:6">
      <c r="A1398" s="111">
        <f t="shared" si="130"/>
        <v>44663</v>
      </c>
      <c r="B1398" s="112">
        <f t="shared" ref="B1398:F1398" si="154">IFERROR((B156/B155-1),"")</f>
        <v>4.6099083853650136E-3</v>
      </c>
      <c r="C1398" s="112">
        <f t="shared" si="154"/>
        <v>-3.8309023027154998E-2</v>
      </c>
      <c r="D1398" s="112">
        <f t="shared" si="154"/>
        <v>-1.8605182056842251E-3</v>
      </c>
      <c r="E1398" s="112">
        <f t="shared" si="154"/>
        <v>-1.9548445823944771E-3</v>
      </c>
      <c r="F1398" s="112">
        <f t="shared" si="154"/>
        <v>-8.1838986814674053E-3</v>
      </c>
    </row>
    <row r="1399" spans="1:6">
      <c r="A1399" s="111">
        <f t="shared" si="130"/>
        <v>44664</v>
      </c>
      <c r="B1399" s="112">
        <f t="shared" ref="B1399:F1399" si="155">IFERROR((B157/B156-1),"")</f>
        <v>6.1570631970260248E-3</v>
      </c>
      <c r="C1399" s="112">
        <f t="shared" si="155"/>
        <v>3.3035132984495785E-3</v>
      </c>
      <c r="D1399" s="112">
        <f t="shared" si="155"/>
        <v>-1.6730133680972425E-2</v>
      </c>
      <c r="E1399" s="112">
        <f t="shared" si="155"/>
        <v>1.6596393648515839E-3</v>
      </c>
      <c r="F1399" s="112">
        <f t="shared" si="155"/>
        <v>-3.1174594844354253E-3</v>
      </c>
    </row>
    <row r="1400" spans="1:6">
      <c r="A1400" s="111">
        <f t="shared" si="130"/>
        <v>44669</v>
      </c>
      <c r="B1400" s="112">
        <f t="shared" ref="B1400:F1400" si="156">IFERROR((B158/B157-1),"")</f>
        <v>9.2368086826002394E-3</v>
      </c>
      <c r="C1400" s="112">
        <f t="shared" si="156"/>
        <v>-2.140213420496051E-2</v>
      </c>
      <c r="D1400" s="112">
        <f t="shared" si="156"/>
        <v>-3.3145701525865157E-3</v>
      </c>
      <c r="E1400" s="112">
        <f t="shared" si="156"/>
        <v>-1.7165972564298082E-3</v>
      </c>
      <c r="F1400" s="112">
        <f t="shared" si="156"/>
        <v>-1.7281188396425895E-2</v>
      </c>
    </row>
    <row r="1401" spans="1:6">
      <c r="A1401" s="111">
        <f t="shared" si="130"/>
        <v>44670</v>
      </c>
      <c r="B1401" s="112">
        <f t="shared" ref="B1401:F1401" si="157">IFERROR((B159/B158-1),"")</f>
        <v>-1.8304541814437858E-3</v>
      </c>
      <c r="C1401" s="112">
        <f t="shared" si="157"/>
        <v>-1.0916682016332002E-2</v>
      </c>
      <c r="D1401" s="112">
        <f t="shared" si="157"/>
        <v>-1.7561465127947762E-2</v>
      </c>
      <c r="E1401" s="112">
        <f t="shared" si="157"/>
        <v>-2.2727952390920736E-2</v>
      </c>
      <c r="F1401" s="112">
        <f t="shared" si="157"/>
        <v>-1.251917909122402E-2</v>
      </c>
    </row>
    <row r="1402" spans="1:6">
      <c r="A1402" s="111">
        <f t="shared" si="130"/>
        <v>44671</v>
      </c>
      <c r="B1402" s="112">
        <f t="shared" ref="B1402:F1402" si="158">IFERROR((B160/B159-1),"")</f>
        <v>1.0028653295129031E-2</v>
      </c>
      <c r="C1402" s="112">
        <f t="shared" si="158"/>
        <v>-1.1322722419486952E-2</v>
      </c>
      <c r="D1402" s="112">
        <f t="shared" si="158"/>
        <v>1.9882651970449139E-2</v>
      </c>
      <c r="E1402" s="112">
        <f t="shared" si="158"/>
        <v>1.1108051041953448E-2</v>
      </c>
      <c r="F1402" s="112">
        <f t="shared" si="158"/>
        <v>1.0490221804211775E-2</v>
      </c>
    </row>
    <row r="1403" spans="1:6">
      <c r="A1403" s="111">
        <f t="shared" si="130"/>
        <v>44672</v>
      </c>
      <c r="B1403" s="112">
        <f t="shared" ref="B1403:F1403" si="159">IFERROR((B161/B160-1),"")</f>
        <v>3.3758865248227021E-2</v>
      </c>
      <c r="C1403" s="112">
        <f t="shared" si="159"/>
        <v>2.7965441896677268E-2</v>
      </c>
      <c r="D1403" s="112">
        <f t="shared" si="159"/>
        <v>6.2654306610145927E-3</v>
      </c>
      <c r="E1403" s="112">
        <f t="shared" si="159"/>
        <v>1.6857333091217397E-2</v>
      </c>
      <c r="F1403" s="112">
        <f t="shared" si="159"/>
        <v>1.4941747317867238E-2</v>
      </c>
    </row>
    <row r="1404" spans="1:6">
      <c r="A1404" s="111">
        <f t="shared" si="130"/>
        <v>44673</v>
      </c>
      <c r="B1404" s="112">
        <f t="shared" ref="B1404:F1404" si="160">IFERROR((B162/B161-1),"")</f>
        <v>1.0592755214050564E-2</v>
      </c>
      <c r="C1404" s="112">
        <f t="shared" si="160"/>
        <v>8.8442603926166541E-3</v>
      </c>
      <c r="D1404" s="112">
        <f t="shared" si="160"/>
        <v>-2.9523412725968146E-2</v>
      </c>
      <c r="E1404" s="112">
        <f t="shared" si="160"/>
        <v>1.2500372034880414E-3</v>
      </c>
      <c r="F1404" s="112">
        <f t="shared" si="160"/>
        <v>-1.2686429860975235E-2</v>
      </c>
    </row>
    <row r="1405" spans="1:6">
      <c r="A1405" s="111">
        <f t="shared" si="130"/>
        <v>44676</v>
      </c>
      <c r="B1405" s="112">
        <f t="shared" ref="B1405:F1405" si="161">IFERROR((B163/B162-1),"")</f>
        <v>-1.8085048606962473E-2</v>
      </c>
      <c r="C1405" s="112">
        <f t="shared" si="161"/>
        <v>-3.0949930374765455E-2</v>
      </c>
      <c r="D1405" s="112">
        <f t="shared" si="161"/>
        <v>-1.8436586965595247E-2</v>
      </c>
      <c r="E1405" s="112">
        <f t="shared" si="161"/>
        <v>-2.0272881305549717E-2</v>
      </c>
      <c r="F1405" s="112">
        <f t="shared" si="161"/>
        <v>-1.2695121986728397E-2</v>
      </c>
    </row>
    <row r="1406" spans="1:6">
      <c r="A1406" s="111">
        <f t="shared" si="130"/>
        <v>44677</v>
      </c>
      <c r="B1406" s="112">
        <f t="shared" ref="B1406:F1406" si="162">IFERROR((B164/B163-1),"")</f>
        <v>3.9988938053097334E-2</v>
      </c>
      <c r="C1406" s="112">
        <f t="shared" si="162"/>
        <v>1.0346249484561865E-2</v>
      </c>
      <c r="D1406" s="112">
        <f t="shared" si="162"/>
        <v>9.5007836324094708E-3</v>
      </c>
      <c r="E1406" s="112">
        <f t="shared" si="162"/>
        <v>2.3301677842167523E-2</v>
      </c>
      <c r="F1406" s="112">
        <f t="shared" si="162"/>
        <v>1.4560028783852541E-2</v>
      </c>
    </row>
    <row r="1407" spans="1:6">
      <c r="A1407" s="111">
        <f t="shared" si="130"/>
        <v>44678</v>
      </c>
      <c r="B1407" s="112">
        <f t="shared" ref="B1407:F1407" si="163">IFERROR((B165/B164-1),"")</f>
        <v>-1.4146678721480566E-2</v>
      </c>
      <c r="C1407" s="112">
        <f t="shared" si="163"/>
        <v>-2.448767577327926E-3</v>
      </c>
      <c r="D1407" s="112">
        <f t="shared" si="163"/>
        <v>-1.8654246548964415E-2</v>
      </c>
      <c r="E1407" s="112">
        <f t="shared" si="163"/>
        <v>-1.0214368310255795E-2</v>
      </c>
      <c r="F1407" s="112">
        <f t="shared" si="163"/>
        <v>-9.4414213292404181E-3</v>
      </c>
    </row>
    <row r="1408" spans="1:6">
      <c r="A1408" s="111">
        <f t="shared" si="130"/>
        <v>44679</v>
      </c>
      <c r="B1408" s="112">
        <f t="shared" ref="B1408:F1408" si="164">IFERROR((B166/B165-1),"")</f>
        <v>-4.2617467767168682E-3</v>
      </c>
      <c r="C1408" s="112">
        <f t="shared" si="164"/>
        <v>1.6910698124201762E-2</v>
      </c>
      <c r="D1408" s="112">
        <f t="shared" si="164"/>
        <v>1.1061919770422257E-2</v>
      </c>
      <c r="E1408" s="112">
        <f t="shared" si="164"/>
        <v>5.8863176814198948E-3</v>
      </c>
      <c r="F1408" s="112">
        <f t="shared" si="164"/>
        <v>1.2128486242839465E-2</v>
      </c>
    </row>
    <row r="1409" spans="1:6">
      <c r="A1409" s="111">
        <f t="shared" si="130"/>
        <v>44680</v>
      </c>
      <c r="B1409" s="112">
        <f t="shared" ref="B1409:F1409" si="165">IFERROR((B167/B166-1),"")</f>
        <v>-8.6683280962174258E-4</v>
      </c>
      <c r="C1409" s="112">
        <f t="shared" si="165"/>
        <v>2.4151762310571367E-2</v>
      </c>
      <c r="D1409" s="112">
        <f t="shared" si="165"/>
        <v>2.3774001431291492E-3</v>
      </c>
      <c r="E1409" s="112">
        <f t="shared" si="165"/>
        <v>-2.3422377080913659E-2</v>
      </c>
      <c r="F1409" s="112">
        <f t="shared" si="165"/>
        <v>-8.263240756043011E-3</v>
      </c>
    </row>
    <row r="1410" spans="1:6">
      <c r="A1410" s="111">
        <f t="shared" si="130"/>
        <v>44683</v>
      </c>
      <c r="B1410" s="112">
        <f t="shared" ref="B1410:F1410" si="166">IFERROR((B168/B167-1),"")</f>
        <v>-8.1336080685390222E-4</v>
      </c>
      <c r="C1410" s="112">
        <f t="shared" si="166"/>
        <v>-1.9915718299128637E-2</v>
      </c>
      <c r="D1410" s="112">
        <f t="shared" si="166"/>
        <v>-1.9482326746451673E-3</v>
      </c>
      <c r="E1410" s="112">
        <f t="shared" si="166"/>
        <v>-2.4243348326598024E-3</v>
      </c>
      <c r="F1410" s="112">
        <f t="shared" si="166"/>
        <v>-1.9558486892305993E-3</v>
      </c>
    </row>
    <row r="1411" spans="1:6">
      <c r="A1411" s="111">
        <f t="shared" si="130"/>
        <v>44685</v>
      </c>
      <c r="B1411" s="112">
        <f t="shared" ref="B1411:F1411" si="167">IFERROR((B169/B168-1),"")</f>
        <v>-2.7405437672979871E-2</v>
      </c>
      <c r="C1411" s="112">
        <f t="shared" si="167"/>
        <v>-1.411376030899647E-2</v>
      </c>
      <c r="D1411" s="112">
        <f t="shared" si="167"/>
        <v>-3.1899415601736147E-2</v>
      </c>
      <c r="E1411" s="112">
        <f t="shared" si="167"/>
        <v>3.489438449546034E-2</v>
      </c>
      <c r="F1411" s="112">
        <f t="shared" si="167"/>
        <v>-2.293618292704358E-2</v>
      </c>
    </row>
    <row r="1412" spans="1:6">
      <c r="A1412" s="111">
        <f t="shared" si="130"/>
        <v>44686</v>
      </c>
      <c r="B1412" s="112">
        <f t="shared" ref="B1412:F1412" si="168">IFERROR((B170/B169-1),"")</f>
        <v>3.2920432987388892E-3</v>
      </c>
      <c r="C1412" s="112">
        <f t="shared" si="168"/>
        <v>2.7880102009387731E-2</v>
      </c>
      <c r="D1412" s="112">
        <f t="shared" si="168"/>
        <v>-7.151176625295963E-3</v>
      </c>
      <c r="E1412" s="112">
        <f t="shared" si="168"/>
        <v>-3.2034146125330398E-2</v>
      </c>
      <c r="F1412" s="112">
        <f t="shared" si="168"/>
        <v>3.0280136230653731E-4</v>
      </c>
    </row>
    <row r="1413" spans="1:6">
      <c r="A1413" s="111">
        <f t="shared" si="130"/>
        <v>44687</v>
      </c>
      <c r="B1413" s="112">
        <f t="shared" ref="B1413:F1413" si="169">IFERROR((B171/B170-1),"")</f>
        <v>-5.7838829875979103E-3</v>
      </c>
      <c r="C1413" s="112">
        <f t="shared" si="169"/>
        <v>-6.3812446063860384E-2</v>
      </c>
      <c r="D1413" s="112">
        <f t="shared" si="169"/>
        <v>-8.3631868409101973E-3</v>
      </c>
      <c r="E1413" s="112">
        <f t="shared" si="169"/>
        <v>9.3988404028075845E-3</v>
      </c>
      <c r="F1413" s="112">
        <f t="shared" si="169"/>
        <v>-1.6268398605737144E-2</v>
      </c>
    </row>
    <row r="1414" spans="1:6">
      <c r="A1414" s="111">
        <f t="shared" si="130"/>
        <v>44690</v>
      </c>
      <c r="B1414" s="112">
        <f t="shared" ref="B1414:F1414" si="170">IFERROR((B172/B171-1),"")</f>
        <v>1.6221961179168076E-3</v>
      </c>
      <c r="C1414" s="112">
        <f t="shared" si="170"/>
        <v>-1.2252266093101927E-2</v>
      </c>
      <c r="D1414" s="112">
        <f t="shared" si="170"/>
        <v>-6.3221095747523215E-3</v>
      </c>
      <c r="E1414" s="112">
        <f t="shared" si="170"/>
        <v>-1.6854102424572193E-2</v>
      </c>
      <c r="F1414" s="112">
        <f t="shared" si="170"/>
        <v>-6.6661588849112885E-3</v>
      </c>
    </row>
    <row r="1415" spans="1:6">
      <c r="A1415" s="111">
        <f t="shared" si="130"/>
        <v>44691</v>
      </c>
      <c r="B1415" s="112">
        <f t="shared" ref="B1415:F1415" si="171">IFERROR((B173/B172-1),"")</f>
        <v>-7.7627610856695339E-3</v>
      </c>
      <c r="C1415" s="112">
        <f t="shared" si="171"/>
        <v>-5.3985042319606991E-2</v>
      </c>
      <c r="D1415" s="112">
        <f t="shared" si="171"/>
        <v>2.0994418557016559E-3</v>
      </c>
      <c r="E1415" s="112">
        <f t="shared" si="171"/>
        <v>-1.6912409095800607E-3</v>
      </c>
      <c r="F1415" s="112">
        <f t="shared" si="171"/>
        <v>-3.7909807782553484E-3</v>
      </c>
    </row>
    <row r="1416" spans="1:6">
      <c r="A1416" s="111">
        <f t="shared" si="130"/>
        <v>44692</v>
      </c>
      <c r="B1416" s="112">
        <f t="shared" ref="B1416:F1416" si="172">IFERROR((B174/B173-1),"")</f>
        <v>-1.4633871784770491E-3</v>
      </c>
      <c r="C1416" s="112">
        <f t="shared" si="172"/>
        <v>1.9812018743320614E-2</v>
      </c>
      <c r="D1416" s="112">
        <f t="shared" si="172"/>
        <v>-7.652018395503335E-3</v>
      </c>
      <c r="E1416" s="112">
        <f t="shared" si="172"/>
        <v>4.0966564506936809E-3</v>
      </c>
      <c r="F1416" s="112">
        <f t="shared" si="172"/>
        <v>-4.4919812439000451E-3</v>
      </c>
    </row>
    <row r="1417" spans="1:6">
      <c r="A1417" s="111">
        <f t="shared" si="130"/>
        <v>44693</v>
      </c>
      <c r="B1417" s="112">
        <f t="shared" ref="B1417:F1417" si="173">IFERROR((B175/B174-1),"")</f>
        <v>-2.4575841271630594E-2</v>
      </c>
      <c r="C1417" s="112">
        <f t="shared" si="173"/>
        <v>-1.8191100601891774E-2</v>
      </c>
      <c r="D1417" s="112">
        <f t="shared" si="173"/>
        <v>-1.0427260205198019E-3</v>
      </c>
      <c r="E1417" s="112">
        <f t="shared" si="173"/>
        <v>-1.3190790987315348E-2</v>
      </c>
      <c r="F1417" s="112">
        <f t="shared" si="173"/>
        <v>-2.2211775766835085E-2</v>
      </c>
    </row>
    <row r="1418" spans="1:6">
      <c r="A1418" s="111">
        <f t="shared" si="130"/>
        <v>44694</v>
      </c>
      <c r="B1418" s="112">
        <f t="shared" ref="B1418:F1418" si="174">IFERROR((B176/B175-1),"")</f>
        <v>2.8026581912741877E-2</v>
      </c>
      <c r="C1418" s="112">
        <f t="shared" si="174"/>
        <v>2.4453323845753827E-2</v>
      </c>
      <c r="D1418" s="112">
        <f t="shared" si="174"/>
        <v>1.141752577319588E-2</v>
      </c>
      <c r="E1418" s="112">
        <f t="shared" si="174"/>
        <v>1.9164710819590702E-2</v>
      </c>
      <c r="F1418" s="112">
        <f t="shared" si="174"/>
        <v>-1.6352479757085758E-3</v>
      </c>
    </row>
    <row r="1419" spans="1:6">
      <c r="A1419" s="111">
        <f t="shared" si="130"/>
        <v>44697</v>
      </c>
      <c r="B1419" s="112">
        <f t="shared" ref="B1419:F1419" si="175">IFERROR((B177/B176-1),"")</f>
        <v>1.5570545250140455E-2</v>
      </c>
      <c r="C1419" s="112">
        <f t="shared" si="175"/>
        <v>1.4011888065184053E-2</v>
      </c>
      <c r="D1419" s="112">
        <f t="shared" si="175"/>
        <v>-9.1481283286192205E-3</v>
      </c>
      <c r="E1419" s="112">
        <f t="shared" si="175"/>
        <v>1.9521122464543073E-3</v>
      </c>
      <c r="F1419" s="112">
        <f t="shared" si="175"/>
        <v>3.811267793044637E-3</v>
      </c>
    </row>
    <row r="1420" spans="1:6">
      <c r="A1420" s="111">
        <f t="shared" si="130"/>
        <v>44698</v>
      </c>
      <c r="B1420" s="112">
        <f t="shared" ref="B1420:F1420" si="176">IFERROR((B178/B177-1),"")</f>
        <v>8.247080312171251E-3</v>
      </c>
      <c r="C1420" s="112">
        <f t="shared" si="176"/>
        <v>3.8187949521827358E-2</v>
      </c>
      <c r="D1420" s="112">
        <f t="shared" si="176"/>
        <v>4.0119329287109373E-3</v>
      </c>
      <c r="E1420" s="112">
        <f t="shared" si="176"/>
        <v>2.5556333526134623E-2</v>
      </c>
      <c r="F1420" s="112">
        <f t="shared" si="176"/>
        <v>2.6321935577536149E-2</v>
      </c>
    </row>
    <row r="1421" spans="1:6">
      <c r="A1421" s="111">
        <f t="shared" si="130"/>
        <v>44699</v>
      </c>
      <c r="B1421" s="112">
        <f t="shared" ref="B1421:F1421" si="177">IFERROR((B179/B178-1),"")</f>
        <v>2.7448397013614123E-3</v>
      </c>
      <c r="C1421" s="112">
        <f t="shared" si="177"/>
        <v>2.4615228452160576E-3</v>
      </c>
      <c r="D1421" s="112">
        <f t="shared" si="177"/>
        <v>4.6106557377045831E-4</v>
      </c>
      <c r="E1421" s="112">
        <f t="shared" si="177"/>
        <v>7.5693485907653013E-3</v>
      </c>
      <c r="F1421" s="112">
        <f t="shared" si="177"/>
        <v>-1.1685619922137125E-3</v>
      </c>
    </row>
    <row r="1422" spans="1:6">
      <c r="A1422" s="111">
        <f t="shared" si="130"/>
        <v>44700</v>
      </c>
      <c r="B1422" s="112">
        <f t="shared" ref="B1422:F1422" si="178">IFERROR((B180/B179-1),"")</f>
        <v>-3.3669112011387226E-2</v>
      </c>
      <c r="C1422" s="112">
        <f t="shared" si="178"/>
        <v>-7.2284734264052575E-2</v>
      </c>
      <c r="D1422" s="112">
        <f t="shared" si="178"/>
        <v>6.0550975472375423E-3</v>
      </c>
      <c r="E1422" s="112">
        <f t="shared" si="178"/>
        <v>-1.8354029490182167E-2</v>
      </c>
      <c r="F1422" s="112">
        <f t="shared" si="178"/>
        <v>-2.6532761094314794E-2</v>
      </c>
    </row>
    <row r="1423" spans="1:6">
      <c r="A1423" s="111">
        <f t="shared" si="130"/>
        <v>44701</v>
      </c>
      <c r="B1423" s="112">
        <f t="shared" ref="B1423:F1423" si="179">IFERROR((B181/B180-1),"")</f>
        <v>2.4077955923177186E-2</v>
      </c>
      <c r="C1423" s="112">
        <f t="shared" si="179"/>
        <v>3.3330604671468977E-2</v>
      </c>
      <c r="D1423" s="112">
        <f t="shared" si="179"/>
        <v>8.1347262339513282E-2</v>
      </c>
      <c r="E1423" s="112">
        <f t="shared" si="179"/>
        <v>3.5473657358082722E-2</v>
      </c>
      <c r="F1423" s="112">
        <f t="shared" si="179"/>
        <v>2.8891039508140759E-2</v>
      </c>
    </row>
    <row r="1424" spans="1:6">
      <c r="A1424" s="111">
        <f t="shared" si="130"/>
        <v>44704</v>
      </c>
      <c r="B1424" s="112">
        <f t="shared" ref="B1424:F1424" si="180">IFERROR((B182/B181-1),"")</f>
        <v>4.2155344102677628E-2</v>
      </c>
      <c r="C1424" s="112">
        <f t="shared" si="180"/>
        <v>1.7494289599809809E-2</v>
      </c>
      <c r="D1424" s="112">
        <f t="shared" si="180"/>
        <v>6.0836412416747088E-3</v>
      </c>
      <c r="E1424" s="112">
        <f t="shared" si="180"/>
        <v>1.0665893775813506E-2</v>
      </c>
      <c r="F1424" s="112">
        <f t="shared" si="180"/>
        <v>-3.1630103005320098E-3</v>
      </c>
    </row>
    <row r="1425" spans="1:6">
      <c r="A1425" s="111">
        <f t="shared" si="130"/>
        <v>44705</v>
      </c>
      <c r="B1425" s="112">
        <f t="shared" ref="B1425:F1425" si="181">IFERROR((B183/B182-1),"")</f>
        <v>5.2553349612485256E-3</v>
      </c>
      <c r="C1425" s="112">
        <f t="shared" si="181"/>
        <v>-3.6112841274784646E-2</v>
      </c>
      <c r="D1425" s="112">
        <f t="shared" si="181"/>
        <v>1.6877390378834844E-2</v>
      </c>
      <c r="E1425" s="112">
        <f t="shared" si="181"/>
        <v>-4.7604708851322064E-3</v>
      </c>
      <c r="F1425" s="112">
        <f t="shared" si="181"/>
        <v>-5.5227663786564518E-3</v>
      </c>
    </row>
    <row r="1426" spans="1:6">
      <c r="A1426" s="111">
        <f t="shared" si="130"/>
        <v>44706</v>
      </c>
      <c r="B1426" s="112">
        <f t="shared" ref="B1426:F1426" si="182">IFERROR((B184/B183-1),"")</f>
        <v>-1.9485662987801744E-2</v>
      </c>
      <c r="C1426" s="112">
        <f t="shared" si="182"/>
        <v>-7.0031367375237297E-2</v>
      </c>
      <c r="D1426" s="112">
        <f t="shared" si="182"/>
        <v>-9.1210232108761558E-3</v>
      </c>
      <c r="E1426" s="112">
        <f t="shared" si="182"/>
        <v>1.3269172585687716E-2</v>
      </c>
      <c r="F1426" s="112">
        <f t="shared" si="182"/>
        <v>-6.1611829967473941E-3</v>
      </c>
    </row>
    <row r="1427" spans="1:6">
      <c r="A1427" s="111">
        <f t="shared" si="130"/>
        <v>44707</v>
      </c>
      <c r="B1427" s="112">
        <f t="shared" ref="B1427:F1427" si="183">IFERROR((B185/B184-1),"")</f>
        <v>1.5079707022833677E-3</v>
      </c>
      <c r="C1427" s="112">
        <f t="shared" si="183"/>
        <v>6.9196137755325182E-3</v>
      </c>
      <c r="D1427" s="112">
        <f t="shared" si="183"/>
        <v>-7.6611452251329482E-4</v>
      </c>
      <c r="E1427" s="112">
        <f t="shared" si="183"/>
        <v>1.2640409498080318E-2</v>
      </c>
      <c r="F1427" s="112">
        <f t="shared" si="183"/>
        <v>9.0073506470815801E-3</v>
      </c>
    </row>
    <row r="1428" spans="1:6">
      <c r="A1428" s="111">
        <f t="shared" si="130"/>
        <v>44708</v>
      </c>
      <c r="B1428" s="112">
        <f t="shared" ref="B1428:F1428" si="184">IFERROR((B186/B185-1),"")</f>
        <v>2.4790277479027845E-2</v>
      </c>
      <c r="C1428" s="112">
        <f t="shared" si="184"/>
        <v>5.5666575614244262E-2</v>
      </c>
      <c r="D1428" s="112">
        <f t="shared" si="184"/>
        <v>2.0062033154049086E-2</v>
      </c>
      <c r="E1428" s="112">
        <f t="shared" si="184"/>
        <v>-9.4076019039857073E-4</v>
      </c>
      <c r="F1428" s="112">
        <f t="shared" si="184"/>
        <v>1.1273859549849607E-2</v>
      </c>
    </row>
    <row r="1429" spans="1:6">
      <c r="A1429" s="111">
        <f t="shared" si="130"/>
        <v>44711</v>
      </c>
      <c r="B1429" s="112">
        <f t="shared" ref="B1429:F1429" si="185">IFERROR((B187/B186-1),"")</f>
        <v>4.7751482394920552E-2</v>
      </c>
      <c r="C1429" s="112">
        <f t="shared" si="185"/>
        <v>6.1787577115308689E-2</v>
      </c>
      <c r="D1429" s="112">
        <f t="shared" si="185"/>
        <v>-4.6008427286187148E-3</v>
      </c>
      <c r="E1429" s="112">
        <f t="shared" si="185"/>
        <v>5.2422981785473777E-3</v>
      </c>
      <c r="F1429" s="112">
        <f t="shared" si="185"/>
        <v>1.8893193374693196E-2</v>
      </c>
    </row>
    <row r="1430" spans="1:6">
      <c r="A1430" s="111">
        <f t="shared" si="130"/>
        <v>44712</v>
      </c>
      <c r="B1430" s="112">
        <f t="shared" ref="B1430:F1430" si="186">IFERROR((B188/B187-1),"")</f>
        <v>3.6059498171983728E-2</v>
      </c>
      <c r="C1430" s="112">
        <f t="shared" si="186"/>
        <v>3.3860913731627029E-3</v>
      </c>
      <c r="D1430" s="112">
        <f t="shared" si="186"/>
        <v>-1.4873120838387877E-4</v>
      </c>
      <c r="E1430" s="112">
        <f t="shared" si="186"/>
        <v>2.0006990562740246E-2</v>
      </c>
      <c r="F1430" s="112">
        <f t="shared" si="186"/>
        <v>-4.6124575365816822E-3</v>
      </c>
    </row>
    <row r="1431" spans="1:6">
      <c r="A1431" s="111">
        <f t="shared" si="130"/>
        <v>44713</v>
      </c>
      <c r="B1431" s="112">
        <f t="shared" ref="B1431:F1431" si="187">IFERROR((B189/B188-1),"")</f>
        <v>1.2568279595881471E-2</v>
      </c>
      <c r="C1431" s="112">
        <f t="shared" si="187"/>
        <v>-3.0180237760449868E-2</v>
      </c>
      <c r="D1431" s="112">
        <f t="shared" si="187"/>
        <v>-1.1591317382399047E-2</v>
      </c>
      <c r="E1431" s="112">
        <f t="shared" si="187"/>
        <v>-2.6454301222654797E-2</v>
      </c>
      <c r="F1431" s="112">
        <f t="shared" si="187"/>
        <v>-3.7263597746094446E-3</v>
      </c>
    </row>
    <row r="1432" spans="1:6">
      <c r="A1432" s="111">
        <f t="shared" si="130"/>
        <v>44714</v>
      </c>
      <c r="B1432" s="112">
        <f t="shared" ref="B1432:F1432" si="188">IFERROR((B190/B189-1),"")</f>
        <v>-2.6734138540124297E-3</v>
      </c>
      <c r="C1432" s="112">
        <f t="shared" si="188"/>
        <v>1.2310693432100006E-2</v>
      </c>
      <c r="D1432" s="112">
        <f t="shared" si="188"/>
        <v>3.2762213475341362E-3</v>
      </c>
      <c r="E1432" s="112">
        <f t="shared" si="188"/>
        <v>7.2508658801002657E-3</v>
      </c>
      <c r="F1432" s="112">
        <f t="shared" si="188"/>
        <v>6.3700049931154634E-3</v>
      </c>
    </row>
    <row r="1433" spans="1:6">
      <c r="A1433" s="111">
        <f t="shared" si="130"/>
        <v>44715</v>
      </c>
      <c r="B1433" s="112">
        <f t="shared" ref="B1433:F1433" si="189">IFERROR((B191/B190-1),"")</f>
        <v>-1.5221865875257201E-2</v>
      </c>
      <c r="C1433" s="112">
        <f t="shared" si="189"/>
        <v>-2.084553988776483E-2</v>
      </c>
      <c r="D1433" s="112">
        <f t="shared" si="189"/>
        <v>1.5808361122970904E-3</v>
      </c>
      <c r="E1433" s="112">
        <f t="shared" si="189"/>
        <v>-1.315329671097698E-2</v>
      </c>
      <c r="F1433" s="112">
        <f t="shared" si="189"/>
        <v>-2.6280971854703017E-3</v>
      </c>
    </row>
    <row r="1434" spans="1:6">
      <c r="A1434" s="111">
        <f t="shared" si="130"/>
        <v>44718</v>
      </c>
      <c r="B1434" s="112">
        <f t="shared" ref="B1434:F1434" si="190">IFERROR((B192/B191-1),"")</f>
        <v>7.0966801147134273E-3</v>
      </c>
      <c r="C1434" s="112">
        <f t="shared" si="190"/>
        <v>-4.0756894763437135E-2</v>
      </c>
      <c r="D1434" s="112">
        <f t="shared" si="190"/>
        <v>-7.8917050691243995E-3</v>
      </c>
      <c r="E1434" s="112">
        <f t="shared" si="190"/>
        <v>-1.0779036827195498E-2</v>
      </c>
      <c r="F1434" s="112">
        <f t="shared" si="190"/>
        <v>-8.8939539202737006E-4</v>
      </c>
    </row>
    <row r="1435" spans="1:6">
      <c r="A1435" s="111">
        <f t="shared" si="130"/>
        <v>44719</v>
      </c>
      <c r="B1435" s="112">
        <f t="shared" ref="B1435:F1435" si="191">IFERROR((B193/B192-1),"")</f>
        <v>6.370963849606559E-3</v>
      </c>
      <c r="C1435" s="112">
        <f t="shared" si="191"/>
        <v>-1.5664638119134322E-2</v>
      </c>
      <c r="D1435" s="112">
        <f t="shared" si="191"/>
        <v>-3.7577657783196883E-2</v>
      </c>
      <c r="E1435" s="112">
        <f t="shared" si="191"/>
        <v>-3.1071464368046531E-2</v>
      </c>
      <c r="F1435" s="112">
        <f t="shared" si="191"/>
        <v>-9.2458757178076612E-3</v>
      </c>
    </row>
    <row r="1436" spans="1:6">
      <c r="A1436" s="111">
        <f t="shared" si="130"/>
        <v>44720</v>
      </c>
      <c r="B1436" s="112">
        <f t="shared" ref="B1436:F1436" si="192">IFERROR((B194/B193-1),"")</f>
        <v>2.3500071938995504E-3</v>
      </c>
      <c r="C1436" s="112">
        <f t="shared" si="192"/>
        <v>-1.4604193952708844E-2</v>
      </c>
      <c r="D1436" s="112">
        <f t="shared" si="192"/>
        <v>1.3320624042278517E-2</v>
      </c>
      <c r="E1436" s="112">
        <f t="shared" si="192"/>
        <v>-6.4874610235114982E-3</v>
      </c>
      <c r="F1436" s="112">
        <f t="shared" si="192"/>
        <v>-3.6609843235554385E-3</v>
      </c>
    </row>
    <row r="1437" spans="1:6">
      <c r="A1437" s="111">
        <f t="shared" si="130"/>
        <v>44721</v>
      </c>
      <c r="B1437" s="112">
        <f t="shared" ref="B1437:F1437" si="193">IFERROR((B195/B194-1),"")</f>
        <v>9.5693779904149068E-5</v>
      </c>
      <c r="C1437" s="112">
        <f t="shared" si="193"/>
        <v>1.4777761897956099E-2</v>
      </c>
      <c r="D1437" s="112">
        <f t="shared" si="193"/>
        <v>2.9470249931533798E-2</v>
      </c>
      <c r="E1437" s="112">
        <f t="shared" si="193"/>
        <v>-4.2391789379740974E-3</v>
      </c>
      <c r="F1437" s="112">
        <f t="shared" si="193"/>
        <v>7.4497516239968586E-3</v>
      </c>
    </row>
    <row r="1438" spans="1:6">
      <c r="A1438" s="111">
        <f t="shared" si="130"/>
        <v>44722</v>
      </c>
      <c r="B1438" s="112">
        <f t="shared" ref="B1438:F1438" si="194">IFERROR((B196/B195-1),"")</f>
        <v>-8.2288776193665258E-3</v>
      </c>
      <c r="C1438" s="112">
        <f t="shared" si="194"/>
        <v>-1.8872176215424474E-2</v>
      </c>
      <c r="D1438" s="112">
        <f t="shared" si="194"/>
        <v>6.627495431307473E-3</v>
      </c>
      <c r="E1438" s="112">
        <f t="shared" si="194"/>
        <v>4.063036821271071E-3</v>
      </c>
      <c r="F1438" s="112">
        <f t="shared" si="194"/>
        <v>-1.6767709869463077E-2</v>
      </c>
    </row>
    <row r="1439" spans="1:6">
      <c r="A1439" s="111">
        <f t="shared" ref="A1439:A1502" si="195">A197</f>
        <v>44725</v>
      </c>
      <c r="B1439" s="112">
        <f t="shared" ref="B1439:F1439" si="196">IFERROR((B197/B196-1),"")</f>
        <v>-3.1066087795465602E-2</v>
      </c>
      <c r="C1439" s="112">
        <f t="shared" si="196"/>
        <v>-4.9293752870923302E-2</v>
      </c>
      <c r="D1439" s="112">
        <f t="shared" si="196"/>
        <v>-1.9383897691626961E-2</v>
      </c>
      <c r="E1439" s="112">
        <f t="shared" si="196"/>
        <v>-5.5045598583691735E-4</v>
      </c>
      <c r="F1439" s="112">
        <f t="shared" si="196"/>
        <v>-2.6379784962164643E-2</v>
      </c>
    </row>
    <row r="1440" spans="1:6">
      <c r="A1440" s="111">
        <f t="shared" si="195"/>
        <v>44726</v>
      </c>
      <c r="B1440" s="112">
        <f t="shared" ref="B1440:F1440" si="197">IFERROR((B198/B197-1),"")</f>
        <v>1.4885990241959579E-2</v>
      </c>
      <c r="C1440" s="112">
        <f t="shared" si="197"/>
        <v>-2.3463687150837909E-2</v>
      </c>
      <c r="D1440" s="112">
        <f t="shared" si="197"/>
        <v>1.027605924259456E-2</v>
      </c>
      <c r="E1440" s="112">
        <f t="shared" si="197"/>
        <v>7.1003274784162684E-3</v>
      </c>
      <c r="F1440" s="112">
        <f t="shared" si="197"/>
        <v>-2.6815599959427727E-3</v>
      </c>
    </row>
    <row r="1441" spans="1:6">
      <c r="A1441" s="111">
        <f t="shared" si="195"/>
        <v>44727</v>
      </c>
      <c r="B1441" s="112">
        <f t="shared" ref="B1441:F1441" si="198">IFERROR((B199/B198-1),"")</f>
        <v>6.1319597743438869E-3</v>
      </c>
      <c r="C1441" s="112">
        <f t="shared" si="198"/>
        <v>1.3498051827571356E-2</v>
      </c>
      <c r="D1441" s="112">
        <f t="shared" si="198"/>
        <v>5.6714721471566865E-3</v>
      </c>
      <c r="E1441" s="112">
        <f t="shared" si="198"/>
        <v>7.5380226731902589E-4</v>
      </c>
      <c r="F1441" s="112">
        <f t="shared" si="198"/>
        <v>-2.5393939779178032E-3</v>
      </c>
    </row>
    <row r="1442" spans="1:6">
      <c r="A1442" s="111">
        <f t="shared" si="195"/>
        <v>44728</v>
      </c>
      <c r="B1442" s="112">
        <f t="shared" ref="B1442:F1442" si="199">IFERROR((B200/B199-1),"")</f>
        <v>-1.9746465138956615E-2</v>
      </c>
      <c r="C1442" s="112">
        <f t="shared" si="199"/>
        <v>5.6446322598362464E-3</v>
      </c>
      <c r="D1442" s="112">
        <f t="shared" si="199"/>
        <v>-1.1071387383231435E-2</v>
      </c>
      <c r="E1442" s="112">
        <f t="shared" si="199"/>
        <v>1.4769303479647E-3</v>
      </c>
      <c r="F1442" s="112">
        <f t="shared" si="199"/>
        <v>-2.1128398594201458E-2</v>
      </c>
    </row>
    <row r="1443" spans="1:6">
      <c r="A1443" s="111">
        <f t="shared" si="195"/>
        <v>44729</v>
      </c>
      <c r="B1443" s="112">
        <f t="shared" ref="B1443:F1443" si="200">IFERROR((B201/B200-1),"")</f>
        <v>-7.5603083809997473E-3</v>
      </c>
      <c r="C1443" s="112">
        <f t="shared" si="200"/>
        <v>2.4226702468180594E-2</v>
      </c>
      <c r="D1443" s="112">
        <f t="shared" si="200"/>
        <v>-3.2839650145772503E-2</v>
      </c>
      <c r="E1443" s="112">
        <f t="shared" si="200"/>
        <v>-1.7195611137329037E-2</v>
      </c>
      <c r="F1443" s="112">
        <f t="shared" si="200"/>
        <v>-4.3683189458745275E-3</v>
      </c>
    </row>
    <row r="1444" spans="1:6">
      <c r="A1444" s="111">
        <f t="shared" si="195"/>
        <v>44732</v>
      </c>
      <c r="B1444" s="112">
        <f t="shared" ref="B1444:F1444" si="201">IFERROR((B202/B201-1),"")</f>
        <v>-1.498521525585117E-2</v>
      </c>
      <c r="C1444" s="112">
        <f t="shared" si="201"/>
        <v>-1.8069790864386759E-3</v>
      </c>
      <c r="D1444" s="112">
        <f t="shared" si="201"/>
        <v>1.2298936503725155E-3</v>
      </c>
      <c r="E1444" s="112">
        <f t="shared" si="201"/>
        <v>1.3955163410461768E-2</v>
      </c>
      <c r="F1444" s="112">
        <f t="shared" si="201"/>
        <v>3.7041880537482808E-3</v>
      </c>
    </row>
    <row r="1445" spans="1:6">
      <c r="A1445" s="111">
        <f t="shared" si="195"/>
        <v>44733</v>
      </c>
      <c r="B1445" s="112">
        <f t="shared" ref="B1445:F1445" si="202">IFERROR((B203/B202-1),"")</f>
        <v>1.5518469522743494E-2</v>
      </c>
      <c r="C1445" s="112">
        <f t="shared" si="202"/>
        <v>6.6637979642104606E-2</v>
      </c>
      <c r="D1445" s="112">
        <f t="shared" si="202"/>
        <v>2.8144419288019584E-2</v>
      </c>
      <c r="E1445" s="112">
        <f t="shared" si="202"/>
        <v>1.5006215592257233E-2</v>
      </c>
      <c r="F1445" s="112">
        <f t="shared" si="202"/>
        <v>1.8804376504464093E-2</v>
      </c>
    </row>
    <row r="1446" spans="1:6">
      <c r="A1446" s="111">
        <f t="shared" si="195"/>
        <v>44734</v>
      </c>
      <c r="B1446" s="112">
        <f t="shared" ref="B1446:F1446" si="203">IFERROR((B204/B203-1),"")</f>
        <v>-1.4179067087529473E-2</v>
      </c>
      <c r="C1446" s="112">
        <f t="shared" si="203"/>
        <v>-2.5373861028030853E-2</v>
      </c>
      <c r="D1446" s="112">
        <f t="shared" si="203"/>
        <v>-1.8155622972134688E-3</v>
      </c>
      <c r="E1446" s="112">
        <f t="shared" si="203"/>
        <v>-7.4796605721284548E-3</v>
      </c>
      <c r="F1446" s="112">
        <f t="shared" si="203"/>
        <v>-1.4419264905235707E-2</v>
      </c>
    </row>
    <row r="1447" spans="1:6">
      <c r="A1447" s="111">
        <f t="shared" si="195"/>
        <v>44735</v>
      </c>
      <c r="B1447" s="112">
        <f t="shared" ref="B1447:F1447" si="204">IFERROR((B205/B204-1),"")</f>
        <v>4.4622890831469864E-2</v>
      </c>
      <c r="C1447" s="112">
        <f t="shared" si="204"/>
        <v>5.0184838926078612E-2</v>
      </c>
      <c r="D1447" s="112">
        <f t="shared" si="204"/>
        <v>7.9795348400573118E-3</v>
      </c>
      <c r="E1447" s="112">
        <f t="shared" si="204"/>
        <v>2.2916574853464322E-3</v>
      </c>
      <c r="F1447" s="112">
        <f t="shared" si="204"/>
        <v>9.300409386698627E-3</v>
      </c>
    </row>
    <row r="1448" spans="1:6">
      <c r="A1448" s="111">
        <f t="shared" si="195"/>
        <v>44736</v>
      </c>
      <c r="B1448" s="112">
        <f t="shared" ref="B1448:F1448" si="205">IFERROR((B206/B205-1),"")</f>
        <v>4.3154617106159199E-2</v>
      </c>
      <c r="C1448" s="112">
        <f t="shared" si="205"/>
        <v>-8.5624583769383644E-3</v>
      </c>
      <c r="D1448" s="112">
        <f t="shared" si="205"/>
        <v>3.4343058045587238E-3</v>
      </c>
      <c r="E1448" s="112">
        <f t="shared" si="205"/>
        <v>1.6972255199402042E-2</v>
      </c>
      <c r="F1448" s="112">
        <f t="shared" si="205"/>
        <v>9.1664979285386305E-3</v>
      </c>
    </row>
    <row r="1449" spans="1:6">
      <c r="A1449" s="111">
        <f t="shared" si="195"/>
        <v>44739</v>
      </c>
      <c r="B1449" s="112">
        <f t="shared" ref="B1449:F1449" si="206">IFERROR((B207/B206-1),"")</f>
        <v>9.9342381418778825E-3</v>
      </c>
      <c r="C1449" s="112">
        <f t="shared" si="206"/>
        <v>3.9412175963370766E-2</v>
      </c>
      <c r="D1449" s="112">
        <f t="shared" si="206"/>
        <v>2.529207708282577E-3</v>
      </c>
      <c r="E1449" s="112">
        <f t="shared" si="206"/>
        <v>-2.9544439160072988E-3</v>
      </c>
      <c r="F1449" s="112">
        <f t="shared" si="206"/>
        <v>8.4590028186060096E-3</v>
      </c>
    </row>
    <row r="1450" spans="1:6">
      <c r="A1450" s="111">
        <f t="shared" si="195"/>
        <v>44740</v>
      </c>
      <c r="B1450" s="112">
        <f t="shared" ref="B1450:F1450" si="207">IFERROR((B208/B207-1),"")</f>
        <v>2.7061974692897284E-2</v>
      </c>
      <c r="C1450" s="112">
        <f t="shared" si="207"/>
        <v>-1.4745060800295473E-2</v>
      </c>
      <c r="D1450" s="112">
        <f t="shared" si="207"/>
        <v>1.2509981368112877E-2</v>
      </c>
      <c r="E1450" s="112">
        <f t="shared" si="207"/>
        <v>-7.0538579399266332E-3</v>
      </c>
      <c r="F1450" s="112">
        <f t="shared" si="207"/>
        <v>1.1464087089165798E-3</v>
      </c>
    </row>
    <row r="1451" spans="1:6">
      <c r="A1451" s="111">
        <f t="shared" si="195"/>
        <v>44741</v>
      </c>
      <c r="B1451" s="112">
        <f t="shared" ref="B1451:F1451" si="208">IFERROR((B209/B208-1),"")</f>
        <v>-2.2482014388491844E-4</v>
      </c>
      <c r="C1451" s="112">
        <f t="shared" si="208"/>
        <v>-1.9530413364746035E-2</v>
      </c>
      <c r="D1451" s="112">
        <f t="shared" si="208"/>
        <v>-2.3430713665248959E-3</v>
      </c>
      <c r="E1451" s="112">
        <f t="shared" si="208"/>
        <v>-8.8945177162488287E-3</v>
      </c>
      <c r="F1451" s="112">
        <f t="shared" si="208"/>
        <v>-3.2239340828507101E-3</v>
      </c>
    </row>
    <row r="1452" spans="1:6">
      <c r="A1452" s="111">
        <f t="shared" si="195"/>
        <v>44742</v>
      </c>
      <c r="B1452" s="112">
        <f t="shared" ref="B1452:F1452" si="209">IFERROR((B210/B209-1),"")</f>
        <v>-1.6730380031481862E-2</v>
      </c>
      <c r="C1452" s="112">
        <f t="shared" si="209"/>
        <v>-3.3572257491979007E-2</v>
      </c>
      <c r="D1452" s="112">
        <f t="shared" si="209"/>
        <v>6.7478547779165066E-3</v>
      </c>
      <c r="E1452" s="112">
        <f t="shared" si="209"/>
        <v>1.8286503238693852E-2</v>
      </c>
      <c r="F1452" s="112">
        <f t="shared" si="209"/>
        <v>-1.193105936414085E-3</v>
      </c>
    </row>
    <row r="1453" spans="1:6">
      <c r="A1453" s="111">
        <f t="shared" si="195"/>
        <v>44743</v>
      </c>
      <c r="B1453" s="112">
        <f t="shared" ref="B1453:F1453" si="210">IFERROR((B211/B210-1),"")</f>
        <v>1.29899830764304E-2</v>
      </c>
      <c r="C1453" s="112">
        <f t="shared" si="210"/>
        <v>-1.4480264459073799E-2</v>
      </c>
      <c r="D1453" s="112">
        <f t="shared" si="210"/>
        <v>-1.7979880741044729E-3</v>
      </c>
      <c r="E1453" s="112">
        <f t="shared" si="210"/>
        <v>3.4026655896607361E-2</v>
      </c>
      <c r="F1453" s="112">
        <f t="shared" si="210"/>
        <v>-1.7870439314966458E-3</v>
      </c>
    </row>
    <row r="1454" spans="1:6">
      <c r="A1454" s="111">
        <f t="shared" si="195"/>
        <v>44746</v>
      </c>
      <c r="B1454" s="112">
        <f t="shared" ref="B1454:F1454" si="211">IFERROR((B212/B211-1),"")</f>
        <v>-1.4584368085970856E-2</v>
      </c>
      <c r="C1454" s="112">
        <f t="shared" si="211"/>
        <v>5.1031378563952678E-3</v>
      </c>
      <c r="D1454" s="112">
        <f t="shared" si="211"/>
        <v>-7.1707061264506544E-3</v>
      </c>
      <c r="E1454" s="112">
        <f t="shared" si="211"/>
        <v>3.2390810049241825E-2</v>
      </c>
      <c r="F1454" s="112">
        <f t="shared" si="211"/>
        <v>5.2882005834162804E-3</v>
      </c>
    </row>
    <row r="1455" spans="1:6">
      <c r="A1455" s="111">
        <f t="shared" si="195"/>
        <v>44747</v>
      </c>
      <c r="B1455" s="112">
        <f t="shared" ref="B1455:F1455" si="212">IFERROR((B213/B212-1),"")</f>
        <v>-8.4769061583577221E-3</v>
      </c>
      <c r="C1455" s="112">
        <f t="shared" si="212"/>
        <v>1.0468217408046598E-2</v>
      </c>
      <c r="D1455" s="112">
        <f t="shared" si="212"/>
        <v>9.1285925891904096E-3</v>
      </c>
      <c r="E1455" s="112">
        <f t="shared" si="212"/>
        <v>-1.1849910146063292E-2</v>
      </c>
      <c r="F1455" s="112">
        <f t="shared" si="212"/>
        <v>-1.5471713602793757E-3</v>
      </c>
    </row>
    <row r="1456" spans="1:6">
      <c r="A1456" s="111">
        <f t="shared" si="195"/>
        <v>44748</v>
      </c>
      <c r="B1456" s="112">
        <f t="shared" ref="B1456:F1456" si="213">IFERROR((B214/B213-1),"")</f>
        <v>2.0888211100328125E-2</v>
      </c>
      <c r="C1456" s="112">
        <f t="shared" si="213"/>
        <v>1.8531848527190808E-2</v>
      </c>
      <c r="D1456" s="112">
        <f t="shared" si="213"/>
        <v>-9.5580537981887481E-4</v>
      </c>
      <c r="E1456" s="112">
        <f t="shared" si="213"/>
        <v>4.7639884045288072E-2</v>
      </c>
      <c r="F1456" s="112">
        <f t="shared" si="213"/>
        <v>1.1318177074603808E-2</v>
      </c>
    </row>
    <row r="1457" spans="1:6">
      <c r="A1457" s="111">
        <f t="shared" si="195"/>
        <v>44749</v>
      </c>
      <c r="B1457" s="112">
        <f t="shared" ref="B1457:F1457" si="214">IFERROR((B215/B214-1),"")</f>
        <v>2.6028699470372452E-2</v>
      </c>
      <c r="C1457" s="112">
        <f t="shared" si="214"/>
        <v>3.4643312454973874E-4</v>
      </c>
      <c r="D1457" s="112">
        <f t="shared" si="214"/>
        <v>-1.2198177676537636E-2</v>
      </c>
      <c r="E1457" s="112">
        <f t="shared" si="214"/>
        <v>-5.3644147436566758E-3</v>
      </c>
      <c r="F1457" s="112">
        <f t="shared" si="214"/>
        <v>8.9494552777396041E-3</v>
      </c>
    </row>
    <row r="1458" spans="1:6">
      <c r="A1458" s="111">
        <f t="shared" si="195"/>
        <v>44750</v>
      </c>
      <c r="B1458" s="112">
        <f t="shared" ref="B1458:F1458" si="215">IFERROR((B216/B215-1),"")</f>
        <v>2.6471366804892149E-4</v>
      </c>
      <c r="C1458" s="112">
        <f t="shared" si="215"/>
        <v>-7.7574145645453729E-4</v>
      </c>
      <c r="D1458" s="112">
        <f t="shared" si="215"/>
        <v>1.6084585317483358E-2</v>
      </c>
      <c r="E1458" s="112">
        <f t="shared" si="215"/>
        <v>1.7584148021783097E-3</v>
      </c>
      <c r="F1458" s="112">
        <f t="shared" si="215"/>
        <v>5.4360964240776077E-3</v>
      </c>
    </row>
    <row r="1459" spans="1:6">
      <c r="A1459" s="111">
        <f t="shared" si="195"/>
        <v>44753</v>
      </c>
      <c r="B1459" s="112">
        <f t="shared" ref="B1459:F1459" si="216">IFERROR((B217/B216-1),"")</f>
        <v>2.7743472124206026E-2</v>
      </c>
      <c r="C1459" s="112">
        <f t="shared" si="216"/>
        <v>-2.8780169963816826E-2</v>
      </c>
      <c r="D1459" s="112">
        <f t="shared" si="216"/>
        <v>2.1515137760428571E-2</v>
      </c>
      <c r="E1459" s="112">
        <f t="shared" si="216"/>
        <v>-5.645869083954369E-3</v>
      </c>
      <c r="F1459" s="112">
        <f t="shared" si="216"/>
        <v>-2.8359000283595392E-4</v>
      </c>
    </row>
    <row r="1460" spans="1:6">
      <c r="A1460" s="111">
        <f t="shared" si="195"/>
        <v>44754</v>
      </c>
      <c r="B1460" s="112">
        <f t="shared" ref="B1460:F1460" si="217">IFERROR((B218/B217-1),"")</f>
        <v>-1.5793313591691227E-2</v>
      </c>
      <c r="C1460" s="112">
        <f t="shared" si="217"/>
        <v>4.3821459668553775E-3</v>
      </c>
      <c r="D1460" s="112">
        <f t="shared" si="217"/>
        <v>-3.8435903132637561E-3</v>
      </c>
      <c r="E1460" s="112">
        <f t="shared" si="217"/>
        <v>-1.8417031142962559E-2</v>
      </c>
      <c r="F1460" s="112">
        <f t="shared" si="217"/>
        <v>-9.7249629995067588E-3</v>
      </c>
    </row>
    <row r="1461" spans="1:6">
      <c r="A1461" s="111">
        <f t="shared" si="195"/>
        <v>44755</v>
      </c>
      <c r="B1461" s="112">
        <f t="shared" ref="B1461:F1461" si="218">IFERROR((B219/B218-1),"")</f>
        <v>-5.4942659050278841E-3</v>
      </c>
      <c r="C1461" s="112">
        <f t="shared" si="218"/>
        <v>-3.6666477175829604E-3</v>
      </c>
      <c r="D1461" s="112">
        <f t="shared" si="218"/>
        <v>3.9922385529809201E-3</v>
      </c>
      <c r="E1461" s="112">
        <f t="shared" si="218"/>
        <v>1.3421017313119954E-4</v>
      </c>
      <c r="F1461" s="112">
        <f t="shared" si="218"/>
        <v>-5.7073289202468347E-3</v>
      </c>
    </row>
    <row r="1462" spans="1:6">
      <c r="A1462" s="111">
        <f t="shared" si="195"/>
        <v>44756</v>
      </c>
      <c r="B1462" s="112">
        <f t="shared" ref="B1462:F1462" si="219">IFERROR((B220/B219-1),"")</f>
        <v>2.016924628403638E-3</v>
      </c>
      <c r="C1462" s="112">
        <f t="shared" si="219"/>
        <v>-2.5119105354748372E-2</v>
      </c>
      <c r="D1462" s="112">
        <f t="shared" si="219"/>
        <v>1.6394170961435917E-2</v>
      </c>
      <c r="E1462" s="112">
        <f t="shared" si="219"/>
        <v>1.2922705314009741E-2</v>
      </c>
      <c r="F1462" s="112">
        <f t="shared" si="219"/>
        <v>-1.7536552752143164E-3</v>
      </c>
    </row>
    <row r="1463" spans="1:6">
      <c r="A1463" s="111">
        <f t="shared" si="195"/>
        <v>44757</v>
      </c>
      <c r="B1463" s="112">
        <f t="shared" ref="B1463:F1463" si="220">IFERROR((B221/B220-1),"")</f>
        <v>2.612348488163474E-2</v>
      </c>
      <c r="C1463" s="112">
        <f t="shared" si="220"/>
        <v>-1.1295632452995918E-2</v>
      </c>
      <c r="D1463" s="112">
        <f t="shared" si="220"/>
        <v>-6.4256677011845786E-3</v>
      </c>
      <c r="E1463" s="112">
        <f t="shared" si="220"/>
        <v>1.9805784083833489E-2</v>
      </c>
      <c r="F1463" s="112">
        <f t="shared" si="220"/>
        <v>6.9359701103921534E-3</v>
      </c>
    </row>
    <row r="1464" spans="1:6">
      <c r="A1464" s="111">
        <f t="shared" si="195"/>
        <v>44760</v>
      </c>
      <c r="B1464" s="112">
        <f t="shared" ref="B1464:F1464" si="221">IFERROR((B222/B221-1),"")</f>
        <v>-7.7611940298506488E-3</v>
      </c>
      <c r="C1464" s="112">
        <f t="shared" si="221"/>
        <v>1.86465008213339E-2</v>
      </c>
      <c r="D1464" s="112">
        <f t="shared" si="221"/>
        <v>-1.757589089309286E-2</v>
      </c>
      <c r="E1464" s="112">
        <f t="shared" si="221"/>
        <v>-1.9213281716854214E-2</v>
      </c>
      <c r="F1464" s="112">
        <f t="shared" si="221"/>
        <v>1.4287316501756964E-2</v>
      </c>
    </row>
    <row r="1465" spans="1:6">
      <c r="A1465" s="111">
        <f t="shared" si="195"/>
        <v>44761</v>
      </c>
      <c r="B1465" s="112">
        <f t="shared" ref="B1465:F1465" si="222">IFERROR((B223/B222-1),"")</f>
        <v>1.9640708268866991E-2</v>
      </c>
      <c r="C1465" s="112">
        <f t="shared" si="222"/>
        <v>-8.7312771490418717E-3</v>
      </c>
      <c r="D1465" s="112">
        <f t="shared" si="222"/>
        <v>-4.0751438615346247E-3</v>
      </c>
      <c r="E1465" s="112">
        <f t="shared" si="222"/>
        <v>3.3113021364521433E-3</v>
      </c>
      <c r="F1465" s="112">
        <f t="shared" si="222"/>
        <v>3.8117762693121726E-3</v>
      </c>
    </row>
    <row r="1466" spans="1:6">
      <c r="A1466" s="111">
        <f t="shared" si="195"/>
        <v>44762</v>
      </c>
      <c r="B1466" s="112">
        <f t="shared" ref="B1466:F1466" si="223">IFERROR((B224/B223-1),"")</f>
        <v>-1.7365648050579496E-2</v>
      </c>
      <c r="C1466" s="112">
        <f t="shared" si="223"/>
        <v>3.6434517528432186E-2</v>
      </c>
      <c r="D1466" s="112">
        <f t="shared" si="223"/>
        <v>2.4393534027293828E-3</v>
      </c>
      <c r="E1466" s="112">
        <f t="shared" si="223"/>
        <v>1.078562093228963E-2</v>
      </c>
      <c r="F1466" s="112">
        <f t="shared" si="223"/>
        <v>1.1033900327712232E-2</v>
      </c>
    </row>
    <row r="1467" spans="1:6">
      <c r="A1467" s="111">
        <f t="shared" si="195"/>
        <v>44763</v>
      </c>
      <c r="B1467" s="112">
        <f t="shared" ref="B1467:F1467" si="224">IFERROR((B225/B224-1),"")</f>
        <v>8.1499592502036755E-3</v>
      </c>
      <c r="C1467" s="112">
        <f t="shared" si="224"/>
        <v>2.3996719364235419E-2</v>
      </c>
      <c r="D1467" s="112">
        <f t="shared" si="224"/>
        <v>-1.9657975890103652E-2</v>
      </c>
      <c r="E1467" s="112">
        <f t="shared" si="224"/>
        <v>7.1049813233026171E-3</v>
      </c>
      <c r="F1467" s="112">
        <f t="shared" si="224"/>
        <v>5.1086959811390553E-3</v>
      </c>
    </row>
    <row r="1468" spans="1:6">
      <c r="A1468" s="111">
        <f t="shared" si="195"/>
        <v>44764</v>
      </c>
      <c r="B1468" s="112">
        <f t="shared" ref="B1468:F1468" si="225">IFERROR((B226/B225-1),"")</f>
        <v>5.0631834233925144E-3</v>
      </c>
      <c r="C1468" s="112">
        <f t="shared" si="225"/>
        <v>2.919284678588685E-2</v>
      </c>
      <c r="D1468" s="112">
        <f t="shared" si="225"/>
        <v>5.4906087712480733E-4</v>
      </c>
      <c r="E1468" s="112">
        <f t="shared" si="225"/>
        <v>4.1369472182595235E-3</v>
      </c>
      <c r="F1468" s="112">
        <f t="shared" si="225"/>
        <v>6.8773430089881238E-3</v>
      </c>
    </row>
    <row r="1469" spans="1:6">
      <c r="A1469" s="111">
        <f t="shared" si="195"/>
        <v>44767</v>
      </c>
      <c r="B1469" s="112">
        <f t="shared" ref="B1469:F1469" si="226">IFERROR((B227/B226-1),"")</f>
        <v>-3.8311743290153299E-2</v>
      </c>
      <c r="C1469" s="112">
        <f t="shared" si="226"/>
        <v>1.6919588348159875E-2</v>
      </c>
      <c r="D1469" s="112">
        <f t="shared" si="226"/>
        <v>-9.8205098891048781E-3</v>
      </c>
      <c r="E1469" s="112">
        <f t="shared" si="226"/>
        <v>3.7324516653967077E-3</v>
      </c>
      <c r="F1469" s="112">
        <f t="shared" si="226"/>
        <v>-5.2902457915781076E-3</v>
      </c>
    </row>
    <row r="1470" spans="1:6">
      <c r="A1470" s="111">
        <f t="shared" si="195"/>
        <v>44768</v>
      </c>
      <c r="B1470" s="112">
        <f t="shared" ref="B1470:F1470" si="227">IFERROR((B228/B227-1),"")</f>
        <v>1.3205969098040171E-4</v>
      </c>
      <c r="C1470" s="112">
        <f t="shared" si="227"/>
        <v>-2.2971368254387059E-2</v>
      </c>
      <c r="D1470" s="112">
        <f t="shared" si="227"/>
        <v>-2.7375275657826381E-2</v>
      </c>
      <c r="E1470" s="112">
        <f t="shared" si="227"/>
        <v>-2.0265575542345426E-2</v>
      </c>
      <c r="F1470" s="112">
        <f t="shared" si="227"/>
        <v>-8.8479345800013265E-3</v>
      </c>
    </row>
    <row r="1471" spans="1:6">
      <c r="A1471" s="111">
        <f t="shared" si="195"/>
        <v>44769</v>
      </c>
      <c r="B1471" s="112">
        <f t="shared" ref="B1471:F1471" si="228">IFERROR((B229/B228-1),"")</f>
        <v>1.8485915492956195E-3</v>
      </c>
      <c r="C1471" s="112">
        <f t="shared" si="228"/>
        <v>2.295777120555309E-2</v>
      </c>
      <c r="D1471" s="112">
        <f t="shared" si="228"/>
        <v>1.758072174738845E-2</v>
      </c>
      <c r="E1471" s="112">
        <f t="shared" si="228"/>
        <v>1.2450258067058018E-2</v>
      </c>
      <c r="F1471" s="112">
        <f t="shared" si="228"/>
        <v>9.5821061220529025E-3</v>
      </c>
    </row>
    <row r="1472" spans="1:6">
      <c r="A1472" s="111">
        <f t="shared" si="195"/>
        <v>44770</v>
      </c>
      <c r="B1472" s="112">
        <f t="shared" ref="B1472:F1472" si="229">IFERROR((B230/B229-1),"")</f>
        <v>9.709164396801917E-3</v>
      </c>
      <c r="C1472" s="112">
        <f t="shared" si="229"/>
        <v>1.5472151447543991E-2</v>
      </c>
      <c r="D1472" s="112">
        <f t="shared" si="229"/>
        <v>-6.0661914816673157E-3</v>
      </c>
      <c r="E1472" s="112">
        <f t="shared" si="229"/>
        <v>3.839618113657739E-3</v>
      </c>
      <c r="F1472" s="112">
        <f t="shared" si="229"/>
        <v>1.7293802353110843E-2</v>
      </c>
    </row>
    <row r="1473" spans="1:6">
      <c r="A1473" s="111">
        <f t="shared" si="195"/>
        <v>44771</v>
      </c>
      <c r="B1473" s="112">
        <f t="shared" ref="B1473:F1473" si="230">IFERROR((B231/B230-1),"")</f>
        <v>1.3314188748205114E-2</v>
      </c>
      <c r="C1473" s="112">
        <f t="shared" si="230"/>
        <v>2.8145759935518155E-2</v>
      </c>
      <c r="D1473" s="112">
        <f t="shared" si="230"/>
        <v>-3.9835213201722897E-2</v>
      </c>
      <c r="E1473" s="112">
        <f t="shared" si="230"/>
        <v>8.0246036155944278E-3</v>
      </c>
      <c r="F1473" s="112">
        <f t="shared" si="230"/>
        <v>1.3505930441357172E-2</v>
      </c>
    </row>
    <row r="1474" spans="1:6">
      <c r="A1474" s="111">
        <f t="shared" si="195"/>
        <v>44774</v>
      </c>
      <c r="B1474" s="112">
        <f t="shared" ref="B1474:F1474" si="231">IFERROR((B232/B231-1),"")</f>
        <v>6.2948172957190129E-2</v>
      </c>
      <c r="C1474" s="112">
        <f t="shared" si="231"/>
        <v>-2.592114912879695E-3</v>
      </c>
      <c r="D1474" s="112">
        <f t="shared" si="231"/>
        <v>4.9140049140048436E-3</v>
      </c>
      <c r="E1474" s="112">
        <f t="shared" si="231"/>
        <v>-1.1473182237719204E-2</v>
      </c>
      <c r="F1474" s="112">
        <f t="shared" si="231"/>
        <v>1.0595486136406596E-2</v>
      </c>
    </row>
    <row r="1475" spans="1:6">
      <c r="A1475" s="111">
        <f t="shared" si="195"/>
        <v>44775</v>
      </c>
      <c r="B1475" s="112">
        <f t="shared" ref="B1475:F1475" si="232">IFERROR((B233/B232-1),"")</f>
        <v>1.35326196727934E-2</v>
      </c>
      <c r="C1475" s="112">
        <f t="shared" si="232"/>
        <v>-3.1465118342820064E-2</v>
      </c>
      <c r="D1475" s="112">
        <f t="shared" si="232"/>
        <v>-6.0942232602270163E-3</v>
      </c>
      <c r="E1475" s="112">
        <f t="shared" si="232"/>
        <v>-1.7506775770622318E-2</v>
      </c>
      <c r="F1475" s="112">
        <f t="shared" si="232"/>
        <v>3.1141778714594004E-4</v>
      </c>
    </row>
    <row r="1476" spans="1:6">
      <c r="A1476" s="111">
        <f t="shared" si="195"/>
        <v>44776</v>
      </c>
      <c r="B1476" s="112">
        <f t="shared" ref="B1476:F1476" si="233">IFERROR((B234/B233-1),"")</f>
        <v>-6.3770426464726526E-4</v>
      </c>
      <c r="C1476" s="112">
        <f t="shared" si="233"/>
        <v>1.2919017264623855E-2</v>
      </c>
      <c r="D1476" s="112">
        <f t="shared" si="233"/>
        <v>2.6680374014784736E-3</v>
      </c>
      <c r="E1476" s="112">
        <f t="shared" si="233"/>
        <v>-4.7912569460026866E-3</v>
      </c>
      <c r="F1476" s="112">
        <f t="shared" si="233"/>
        <v>2.4617406870390823E-3</v>
      </c>
    </row>
    <row r="1477" spans="1:6">
      <c r="A1477" s="111">
        <f t="shared" si="195"/>
        <v>44777</v>
      </c>
      <c r="B1477" s="112">
        <f t="shared" ref="B1477:F1477" si="234">IFERROR((B235/B234-1),"")</f>
        <v>6.4608758076094563E-3</v>
      </c>
      <c r="C1477" s="112">
        <f t="shared" si="234"/>
        <v>8.2185408213371058E-3</v>
      </c>
      <c r="D1477" s="112">
        <f t="shared" si="234"/>
        <v>1.2608939774918948E-2</v>
      </c>
      <c r="E1477" s="112">
        <f t="shared" si="234"/>
        <v>1.3395225464192251E-3</v>
      </c>
      <c r="F1477" s="112">
        <f t="shared" si="234"/>
        <v>-3.5368915036970705E-4</v>
      </c>
    </row>
    <row r="1478" spans="1:6">
      <c r="A1478" s="111">
        <f t="shared" si="195"/>
        <v>44778</v>
      </c>
      <c r="B1478" s="112">
        <f t="shared" ref="B1478:F1478" si="235">IFERROR((B236/B235-1),"")</f>
        <v>-2.0526232366460451E-2</v>
      </c>
      <c r="C1478" s="112">
        <f t="shared" si="235"/>
        <v>8.56168772910193E-3</v>
      </c>
      <c r="D1478" s="112">
        <f t="shared" si="235"/>
        <v>2.1456382068250068E-3</v>
      </c>
      <c r="E1478" s="112">
        <f t="shared" si="235"/>
        <v>-2.3032807512483378E-2</v>
      </c>
      <c r="F1478" s="112">
        <f t="shared" si="235"/>
        <v>8.9172707398454953E-4</v>
      </c>
    </row>
    <row r="1479" spans="1:6">
      <c r="A1479" s="111">
        <f t="shared" si="195"/>
        <v>44781</v>
      </c>
      <c r="B1479" s="112">
        <f t="shared" ref="B1479:F1479" si="236">IFERROR((B237/B236-1),"")</f>
        <v>3.3012379642365808E-2</v>
      </c>
      <c r="C1479" s="112">
        <f t="shared" si="236"/>
        <v>-1.232685220485441E-2</v>
      </c>
      <c r="D1479" s="112">
        <f t="shared" si="236"/>
        <v>1.5997690558956945E-2</v>
      </c>
      <c r="E1479" s="112">
        <f t="shared" si="236"/>
        <v>-1.5373769691711114E-2</v>
      </c>
      <c r="F1479" s="112">
        <f t="shared" si="236"/>
        <v>7.3343871245867831E-3</v>
      </c>
    </row>
    <row r="1480" spans="1:6">
      <c r="A1480" s="111">
        <f t="shared" si="195"/>
        <v>44783</v>
      </c>
      <c r="B1480" s="112">
        <f t="shared" ref="B1480:F1480" si="237">IFERROR((B238/B237-1),"")</f>
        <v>-6.7752800187985684E-3</v>
      </c>
      <c r="C1480" s="112">
        <f t="shared" si="237"/>
        <v>-1.6302110138960435E-2</v>
      </c>
      <c r="D1480" s="112">
        <f t="shared" si="237"/>
        <v>4.72373826464767E-3</v>
      </c>
      <c r="E1480" s="112">
        <f t="shared" si="237"/>
        <v>4.502395770226375E-3</v>
      </c>
      <c r="F1480" s="112">
        <f t="shared" si="237"/>
        <v>5.5063879806693805E-4</v>
      </c>
    </row>
    <row r="1481" spans="1:6">
      <c r="A1481" s="111">
        <f t="shared" si="195"/>
        <v>44784</v>
      </c>
      <c r="B1481" s="112">
        <f t="shared" ref="B1481:F1481" si="238">IFERROR((B239/B238-1),"")</f>
        <v>-1.4589330073734308E-3</v>
      </c>
      <c r="C1481" s="112">
        <f t="shared" si="238"/>
        <v>9.0120727767386555E-3</v>
      </c>
      <c r="D1481" s="112">
        <f t="shared" si="238"/>
        <v>3.5349845639007782E-3</v>
      </c>
      <c r="E1481" s="112">
        <f t="shared" si="238"/>
        <v>-2.0423548762935617E-3</v>
      </c>
      <c r="F1481" s="112">
        <f t="shared" si="238"/>
        <v>7.0859293688247948E-3</v>
      </c>
    </row>
    <row r="1482" spans="1:6">
      <c r="A1482" s="111">
        <f t="shared" si="195"/>
        <v>44785</v>
      </c>
      <c r="B1482" s="112">
        <f t="shared" ref="B1482:F1482" si="239">IFERROR((B240/B239-1),"")</f>
        <v>-5.3309113884062453E-3</v>
      </c>
      <c r="C1482" s="112">
        <f t="shared" si="239"/>
        <v>-1.6748334240750729E-2</v>
      </c>
      <c r="D1482" s="112">
        <f t="shared" si="239"/>
        <v>5.8708874433466285E-4</v>
      </c>
      <c r="E1482" s="112">
        <f t="shared" si="239"/>
        <v>5.3429662390462873E-3</v>
      </c>
      <c r="F1482" s="112">
        <f t="shared" si="239"/>
        <v>2.2169998301151406E-3</v>
      </c>
    </row>
    <row r="1483" spans="1:6">
      <c r="A1483" s="111">
        <f t="shared" si="195"/>
        <v>44789</v>
      </c>
      <c r="B1483" s="112">
        <f t="shared" ref="B1483:F1483" si="240">IFERROR((B241/B240-1),"")</f>
        <v>2.2906824407479487E-2</v>
      </c>
      <c r="C1483" s="112">
        <f t="shared" si="240"/>
        <v>8.991430454845073E-3</v>
      </c>
      <c r="D1483" s="112">
        <f t="shared" si="240"/>
        <v>8.6838152459631779E-3</v>
      </c>
      <c r="E1483" s="112">
        <f t="shared" si="240"/>
        <v>8.3885511305417104E-3</v>
      </c>
      <c r="F1483" s="112">
        <f t="shared" si="240"/>
        <v>7.1815415735541066E-3</v>
      </c>
    </row>
    <row r="1484" spans="1:6">
      <c r="A1484" s="111">
        <f t="shared" si="195"/>
        <v>44790</v>
      </c>
      <c r="B1484" s="112">
        <f t="shared" ref="B1484:F1484" si="241">IFERROR((B242/B241-1),"")</f>
        <v>-1.0905844911899387E-2</v>
      </c>
      <c r="C1484" s="112">
        <f t="shared" si="241"/>
        <v>1.7796477290545232E-2</v>
      </c>
      <c r="D1484" s="112">
        <f t="shared" si="241"/>
        <v>4.21145702452419E-3</v>
      </c>
      <c r="E1484" s="112">
        <f t="shared" si="241"/>
        <v>3.9968025579535382E-3</v>
      </c>
      <c r="F1484" s="112">
        <f t="shared" si="241"/>
        <v>6.6759231988331447E-3</v>
      </c>
    </row>
    <row r="1485" spans="1:6">
      <c r="A1485" s="111">
        <f t="shared" si="195"/>
        <v>44791</v>
      </c>
      <c r="B1485" s="112">
        <f t="shared" ref="B1485:F1485" si="242">IFERROR((B243/B242-1),"")</f>
        <v>-1.0280557190504136E-2</v>
      </c>
      <c r="C1485" s="112">
        <f t="shared" si="242"/>
        <v>1.5148791948031981E-3</v>
      </c>
      <c r="D1485" s="112">
        <f t="shared" si="242"/>
        <v>-2.103848559975896E-2</v>
      </c>
      <c r="E1485" s="112">
        <f t="shared" si="242"/>
        <v>-3.2791752132137475E-3</v>
      </c>
      <c r="F1485" s="112">
        <f t="shared" si="242"/>
        <v>6.826699360520383E-4</v>
      </c>
    </row>
    <row r="1486" spans="1:6">
      <c r="A1486" s="111">
        <f t="shared" si="195"/>
        <v>44792</v>
      </c>
      <c r="B1486" s="112">
        <f t="shared" ref="B1486:F1486" si="243">IFERROR((B244/B243-1),"")</f>
        <v>-1.7246164215200421E-2</v>
      </c>
      <c r="C1486" s="112">
        <f t="shared" si="243"/>
        <v>5.9221658206429773E-3</v>
      </c>
      <c r="D1486" s="112">
        <f t="shared" si="243"/>
        <v>-4.9939646398902138E-3</v>
      </c>
      <c r="E1486" s="112">
        <f t="shared" si="243"/>
        <v>-8.2587563125330332E-3</v>
      </c>
      <c r="F1486" s="112">
        <f t="shared" si="243"/>
        <v>-1.1029432239022086E-2</v>
      </c>
    </row>
    <row r="1487" spans="1:6">
      <c r="A1487" s="111">
        <f t="shared" si="195"/>
        <v>44795</v>
      </c>
      <c r="B1487" s="112">
        <f t="shared" ref="B1487:F1487" si="244">IFERROR((B245/B244-1),"")</f>
        <v>-1.0246893658221734E-2</v>
      </c>
      <c r="C1487" s="112">
        <f t="shared" si="244"/>
        <v>-4.0981726431684296E-2</v>
      </c>
      <c r="D1487" s="112">
        <f t="shared" si="244"/>
        <v>-4.0556612749761412E-3</v>
      </c>
      <c r="E1487" s="112">
        <f t="shared" si="244"/>
        <v>3.7951700318084036E-3</v>
      </c>
      <c r="F1487" s="112">
        <f t="shared" si="244"/>
        <v>-1.5077329384039717E-2</v>
      </c>
    </row>
    <row r="1488" spans="1:6">
      <c r="A1488" s="111">
        <f t="shared" si="195"/>
        <v>44796</v>
      </c>
      <c r="B1488" s="112">
        <f t="shared" ref="B1488:F1488" si="245">IFERROR((B246/B245-1),"")</f>
        <v>3.7825059101654679E-2</v>
      </c>
      <c r="C1488" s="112">
        <f t="shared" si="245"/>
        <v>-1.6702543251215896E-2</v>
      </c>
      <c r="D1488" s="112">
        <f t="shared" si="245"/>
        <v>9.1235863814949081E-3</v>
      </c>
      <c r="E1488" s="112">
        <f t="shared" si="245"/>
        <v>6.1200342721923207E-4</v>
      </c>
      <c r="F1488" s="112">
        <f t="shared" si="245"/>
        <v>4.9626372872439983E-3</v>
      </c>
    </row>
    <row r="1489" spans="1:6">
      <c r="A1489" s="111">
        <f t="shared" si="195"/>
        <v>44797</v>
      </c>
      <c r="B1489" s="112">
        <f t="shared" ref="B1489:F1489" si="246">IFERROR((B247/B246-1),"")</f>
        <v>-3.7703244049956952E-3</v>
      </c>
      <c r="C1489" s="112">
        <f t="shared" si="246"/>
        <v>-5.4053323603731052E-4</v>
      </c>
      <c r="D1489" s="112">
        <f t="shared" si="246"/>
        <v>-1.6804137131225527E-3</v>
      </c>
      <c r="E1489" s="112">
        <f t="shared" si="246"/>
        <v>-5.3143773615679235E-3</v>
      </c>
      <c r="F1489" s="112">
        <f t="shared" si="246"/>
        <v>1.5616555255297815E-3</v>
      </c>
    </row>
    <row r="1490" spans="1:6">
      <c r="A1490" s="111">
        <f t="shared" si="195"/>
        <v>44798</v>
      </c>
      <c r="B1490" s="112">
        <f t="shared" ref="B1490:F1490" si="247">IFERROR((B248/B247-1),"")</f>
        <v>-6.8201529606558564E-3</v>
      </c>
      <c r="C1490" s="112">
        <f t="shared" si="247"/>
        <v>-3.7452170738632162E-3</v>
      </c>
      <c r="D1490" s="112">
        <f t="shared" si="247"/>
        <v>4.7059660269557213E-3</v>
      </c>
      <c r="E1490" s="112">
        <f t="shared" si="247"/>
        <v>-3.4297582771956048E-3</v>
      </c>
      <c r="F1490" s="112">
        <f t="shared" si="247"/>
        <v>-4.6861820113093255E-3</v>
      </c>
    </row>
    <row r="1491" spans="1:6">
      <c r="A1491" s="111">
        <f t="shared" si="195"/>
        <v>44799</v>
      </c>
      <c r="B1491" s="112">
        <f t="shared" ref="B1491:F1491" si="248">IFERROR((B249/B248-1),"")</f>
        <v>1.1908069701901391E-2</v>
      </c>
      <c r="C1491" s="112">
        <f t="shared" si="248"/>
        <v>-6.0664459041311902E-3</v>
      </c>
      <c r="D1491" s="112">
        <f t="shared" si="248"/>
        <v>-3.4451025271952096E-3</v>
      </c>
      <c r="E1491" s="112">
        <f t="shared" si="248"/>
        <v>9.7350957055897247E-4</v>
      </c>
      <c r="F1491" s="112">
        <f t="shared" si="248"/>
        <v>2.0801885581069879E-3</v>
      </c>
    </row>
    <row r="1492" spans="1:6">
      <c r="A1492" s="111">
        <f t="shared" si="195"/>
        <v>44802</v>
      </c>
      <c r="B1492" s="112">
        <f t="shared" ref="B1492:F1492" si="249">IFERROR((B250/B249-1),"")</f>
        <v>1.6867375357940695E-3</v>
      </c>
      <c r="C1492" s="112">
        <f t="shared" si="249"/>
        <v>-4.1031172767863167E-2</v>
      </c>
      <c r="D1492" s="112">
        <f t="shared" si="249"/>
        <v>-3.1136788767077705E-3</v>
      </c>
      <c r="E1492" s="112">
        <f t="shared" si="249"/>
        <v>1.5752777283125408E-2</v>
      </c>
      <c r="F1492" s="112">
        <f t="shared" si="249"/>
        <v>-1.400998923622776E-2</v>
      </c>
    </row>
    <row r="1493" spans="1:6">
      <c r="A1493" s="111">
        <f t="shared" si="195"/>
        <v>44803</v>
      </c>
      <c r="B1493" s="112">
        <f t="shared" ref="B1493:F1493" si="250">IFERROR((B251/B250-1),"")</f>
        <v>2.4984335839599137E-2</v>
      </c>
      <c r="C1493" s="112">
        <f t="shared" si="250"/>
        <v>1.3882560656111265E-2</v>
      </c>
      <c r="D1493" s="112">
        <f t="shared" si="250"/>
        <v>8.2894908732467076E-3</v>
      </c>
      <c r="E1493" s="112">
        <f t="shared" si="250"/>
        <v>1.0815476110204614E-2</v>
      </c>
      <c r="F1493" s="112">
        <f t="shared" si="250"/>
        <v>2.5784241808131325E-2</v>
      </c>
    </row>
    <row r="1494" spans="1:6">
      <c r="A1494" s="111">
        <f t="shared" si="195"/>
        <v>44805</v>
      </c>
      <c r="B1494" s="112">
        <f t="shared" ref="B1494:F1494" si="251">IFERROR((B252/B251-1),"")</f>
        <v>2.5597921601587803E-3</v>
      </c>
      <c r="C1494" s="112">
        <f t="shared" si="251"/>
        <v>-1.6683753001811574E-2</v>
      </c>
      <c r="D1494" s="112">
        <f t="shared" si="251"/>
        <v>-1.0117666458581254E-2</v>
      </c>
      <c r="E1494" s="112">
        <f t="shared" si="251"/>
        <v>-7.8980721766392925E-3</v>
      </c>
      <c r="F1494" s="112">
        <f t="shared" si="251"/>
        <v>-1.2190795808393329E-2</v>
      </c>
    </row>
    <row r="1495" spans="1:6">
      <c r="A1495" s="111">
        <f t="shared" si="195"/>
        <v>44806</v>
      </c>
      <c r="B1495" s="112">
        <f t="shared" ref="B1495:F1495" si="252">IFERROR((B253/B252-1),"")</f>
        <v>2.9724476963530755E-3</v>
      </c>
      <c r="C1495" s="112">
        <f t="shared" si="252"/>
        <v>-9.5259858038533318E-3</v>
      </c>
      <c r="D1495" s="112">
        <f t="shared" si="252"/>
        <v>-2.891411437138558E-3</v>
      </c>
      <c r="E1495" s="112">
        <f t="shared" si="252"/>
        <v>-3.7384182994231185E-3</v>
      </c>
      <c r="F1495" s="112">
        <f t="shared" si="252"/>
        <v>-1.9096153407660577E-4</v>
      </c>
    </row>
    <row r="1496" spans="1:6">
      <c r="A1496" s="111">
        <f t="shared" si="195"/>
        <v>44809</v>
      </c>
      <c r="B1496" s="112">
        <f t="shared" ref="B1496:F1496" si="253">IFERROR((B254/B253-1),"")</f>
        <v>3.4955735400279409E-3</v>
      </c>
      <c r="C1496" s="112">
        <f t="shared" si="253"/>
        <v>2.1772984196561929E-3</v>
      </c>
      <c r="D1496" s="112">
        <f t="shared" si="253"/>
        <v>5.7995918805713309E-3</v>
      </c>
      <c r="E1496" s="112">
        <f t="shared" si="253"/>
        <v>-1.1243841533373877E-2</v>
      </c>
      <c r="F1496" s="112">
        <f t="shared" si="253"/>
        <v>7.2037606652430863E-3</v>
      </c>
    </row>
    <row r="1497" spans="1:6">
      <c r="A1497" s="111">
        <f t="shared" si="195"/>
        <v>44810</v>
      </c>
      <c r="B1497" s="112">
        <f t="shared" ref="B1497:F1497" si="254">IFERROR((B255/B254-1),"")</f>
        <v>-1.071523228957616E-2</v>
      </c>
      <c r="C1497" s="112">
        <f t="shared" si="254"/>
        <v>-2.4747133217271067E-3</v>
      </c>
      <c r="D1497" s="112">
        <f t="shared" si="254"/>
        <v>5.9203891558403665E-3</v>
      </c>
      <c r="E1497" s="112">
        <f t="shared" si="254"/>
        <v>-1.4689018729863945E-2</v>
      </c>
      <c r="F1497" s="112">
        <f t="shared" si="254"/>
        <v>-5.773868152022521E-4</v>
      </c>
    </row>
    <row r="1498" spans="1:6">
      <c r="A1498" s="111">
        <f t="shared" si="195"/>
        <v>44811</v>
      </c>
      <c r="B1498" s="112">
        <f t="shared" ref="B1498:F1498" si="255">IFERROR((B256/B255-1),"")</f>
        <v>-1.2783221065523653E-2</v>
      </c>
      <c r="C1498" s="112">
        <f t="shared" si="255"/>
        <v>1.0875365997894182E-2</v>
      </c>
      <c r="D1498" s="112">
        <f t="shared" si="255"/>
        <v>2.3825250047178059E-3</v>
      </c>
      <c r="E1498" s="112">
        <f t="shared" si="255"/>
        <v>1.6376634892484976E-2</v>
      </c>
      <c r="F1498" s="112">
        <f t="shared" si="255"/>
        <v>-1.7671447019640407E-3</v>
      </c>
    </row>
    <row r="1499" spans="1:6">
      <c r="A1499" s="111">
        <f t="shared" si="195"/>
        <v>44812</v>
      </c>
      <c r="B1499" s="112">
        <f t="shared" ref="B1499:F1499" si="256">IFERROR((B257/B256-1),"")</f>
        <v>2.4967046599984499E-2</v>
      </c>
      <c r="C1499" s="112">
        <f t="shared" si="256"/>
        <v>-9.9878718698764857E-5</v>
      </c>
      <c r="D1499" s="112">
        <f t="shared" si="256"/>
        <v>5.2596898312664564E-3</v>
      </c>
      <c r="E1499" s="112">
        <f t="shared" si="256"/>
        <v>1.2950189481719665E-3</v>
      </c>
      <c r="F1499" s="112">
        <f t="shared" si="256"/>
        <v>9.8925353487209211E-3</v>
      </c>
    </row>
    <row r="1500" spans="1:6">
      <c r="A1500" s="111">
        <f t="shared" si="195"/>
        <v>44813</v>
      </c>
      <c r="B1500" s="112">
        <f t="shared" ref="B1500:F1500" si="257">IFERROR((B258/B257-1),"")</f>
        <v>-1.5621453967773702E-2</v>
      </c>
      <c r="C1500" s="112">
        <f t="shared" si="257"/>
        <v>1.8279631268015795E-2</v>
      </c>
      <c r="D1500" s="112">
        <f t="shared" si="257"/>
        <v>-3.8743810939567691E-3</v>
      </c>
      <c r="E1500" s="112">
        <f t="shared" si="257"/>
        <v>-6.3033504417790986E-3</v>
      </c>
      <c r="F1500" s="112">
        <f t="shared" si="257"/>
        <v>1.9439567385348688E-3</v>
      </c>
    </row>
    <row r="1501" spans="1:6">
      <c r="A1501" s="111">
        <f t="shared" si="195"/>
        <v>44816</v>
      </c>
      <c r="B1501" s="112">
        <f t="shared" ref="B1501:F1501" si="258">IFERROR((B259/B258-1),"")</f>
        <v>-3.2276657060519298E-3</v>
      </c>
      <c r="C1501" s="112">
        <f t="shared" si="258"/>
        <v>1.4013649294412733E-2</v>
      </c>
      <c r="D1501" s="112">
        <f t="shared" si="258"/>
        <v>1.4218232238960571E-3</v>
      </c>
      <c r="E1501" s="112">
        <f t="shared" si="258"/>
        <v>6.1241265926839095E-3</v>
      </c>
      <c r="F1501" s="112">
        <f t="shared" si="258"/>
        <v>5.775695536733183E-3</v>
      </c>
    </row>
    <row r="1502" spans="1:6">
      <c r="A1502" s="111">
        <f t="shared" si="195"/>
        <v>44817</v>
      </c>
      <c r="B1502" s="112">
        <f t="shared" ref="B1502:F1502" si="259">IFERROR((B260/B259-1),"")</f>
        <v>2.1587448440691936E-3</v>
      </c>
      <c r="C1502" s="112">
        <f t="shared" si="259"/>
        <v>-3.1094957088959596E-3</v>
      </c>
      <c r="D1502" s="112">
        <f t="shared" si="259"/>
        <v>-1.9360970629993535E-3</v>
      </c>
      <c r="E1502" s="112">
        <f t="shared" si="259"/>
        <v>2.3380584718874609E-2</v>
      </c>
      <c r="F1502" s="112">
        <f t="shared" si="259"/>
        <v>7.4541364324403059E-3</v>
      </c>
    </row>
    <row r="1503" spans="1:6">
      <c r="A1503" s="111">
        <f t="shared" ref="A1503:A1566" si="260">A261</f>
        <v>44818</v>
      </c>
      <c r="B1503" s="112">
        <f t="shared" ref="B1503:F1503" si="261">IFERROR((B261/B260-1),"")</f>
        <v>-1.3847751663652597E-3</v>
      </c>
      <c r="C1503" s="112">
        <f t="shared" si="261"/>
        <v>-3.7624421216070125E-2</v>
      </c>
      <c r="D1503" s="112">
        <f t="shared" si="261"/>
        <v>-9.1114298478685019E-3</v>
      </c>
      <c r="E1503" s="112">
        <f t="shared" si="261"/>
        <v>-2.8474864943981437E-3</v>
      </c>
      <c r="F1503" s="112">
        <f t="shared" si="261"/>
        <v>-3.6690545958644183E-3</v>
      </c>
    </row>
    <row r="1504" spans="1:6">
      <c r="A1504" s="111">
        <f t="shared" si="260"/>
        <v>44819</v>
      </c>
      <c r="B1504" s="112">
        <f t="shared" ref="B1504:F1504" si="262">IFERROR((B262/B261-1),"")</f>
        <v>-7.7038634875392642E-4</v>
      </c>
      <c r="C1504" s="112">
        <f t="shared" si="262"/>
        <v>-1.5024488619994281E-2</v>
      </c>
      <c r="D1504" s="112">
        <f t="shared" si="262"/>
        <v>-1.0713904346072223E-2</v>
      </c>
      <c r="E1504" s="112">
        <f t="shared" si="262"/>
        <v>-6.7921003469442187E-3</v>
      </c>
      <c r="F1504" s="112">
        <f t="shared" si="262"/>
        <v>-7.0179823647850137E-3</v>
      </c>
    </row>
    <row r="1505" spans="1:6">
      <c r="A1505" s="111">
        <f t="shared" si="260"/>
        <v>44820</v>
      </c>
      <c r="B1505" s="112">
        <f t="shared" ref="B1505:F1505" si="263">IFERROR((B263/B262-1),"")</f>
        <v>-3.6197525153232379E-2</v>
      </c>
      <c r="C1505" s="112">
        <f t="shared" si="263"/>
        <v>-4.0232826827734436E-2</v>
      </c>
      <c r="D1505" s="112">
        <f t="shared" si="263"/>
        <v>-2.1983689134084772E-2</v>
      </c>
      <c r="E1505" s="112">
        <f t="shared" si="263"/>
        <v>-2.2033829990192211E-2</v>
      </c>
      <c r="F1505" s="112">
        <f t="shared" si="263"/>
        <v>-1.9384809871681674E-2</v>
      </c>
    </row>
    <row r="1506" spans="1:6">
      <c r="A1506" s="111">
        <f t="shared" si="260"/>
        <v>44823</v>
      </c>
      <c r="B1506" s="112">
        <f t="shared" ref="B1506:F1506" si="264">IFERROR((B264/B263-1),"")</f>
        <v>3.0837532997360251E-2</v>
      </c>
      <c r="C1506" s="112">
        <f t="shared" si="264"/>
        <v>-1.3820741779172807E-2</v>
      </c>
      <c r="D1506" s="112">
        <f t="shared" si="264"/>
        <v>5.3466099304695369E-3</v>
      </c>
      <c r="E1506" s="112">
        <f t="shared" si="264"/>
        <v>-1.2968636232501329E-2</v>
      </c>
      <c r="F1506" s="112">
        <f t="shared" si="264"/>
        <v>5.2136661941664109E-3</v>
      </c>
    </row>
    <row r="1507" spans="1:6">
      <c r="A1507" s="111">
        <f t="shared" si="260"/>
        <v>44824</v>
      </c>
      <c r="B1507" s="112">
        <f t="shared" ref="B1507:F1507" si="265">IFERROR((B265/B264-1),"")</f>
        <v>1.1096884336320834E-2</v>
      </c>
      <c r="C1507" s="112">
        <f t="shared" si="265"/>
        <v>3.1644493888965952E-2</v>
      </c>
      <c r="D1507" s="112">
        <f t="shared" si="265"/>
        <v>2.8505909761779913E-2</v>
      </c>
      <c r="E1507" s="112">
        <f t="shared" si="265"/>
        <v>1.6215012457026834E-2</v>
      </c>
      <c r="F1507" s="112">
        <f t="shared" si="265"/>
        <v>1.1008809885230342E-2</v>
      </c>
    </row>
    <row r="1508" spans="1:6">
      <c r="A1508" s="111">
        <f t="shared" si="260"/>
        <v>44825</v>
      </c>
      <c r="B1508" s="112">
        <f t="shared" ref="B1508:F1508" si="266">IFERROR((B266/B265-1),"")</f>
        <v>2.8397098890977635E-3</v>
      </c>
      <c r="C1508" s="112">
        <f t="shared" si="266"/>
        <v>-4.0289364506417291E-3</v>
      </c>
      <c r="D1508" s="112">
        <f t="shared" si="266"/>
        <v>-1.5002371916508661E-2</v>
      </c>
      <c r="E1508" s="112">
        <f t="shared" si="266"/>
        <v>3.151536733687621E-2</v>
      </c>
      <c r="F1508" s="112">
        <f t="shared" si="266"/>
        <v>-5.4949835122430901E-3</v>
      </c>
    </row>
    <row r="1509" spans="1:6">
      <c r="A1509" s="111">
        <f t="shared" si="260"/>
        <v>44826</v>
      </c>
      <c r="B1509" s="112">
        <f t="shared" ref="B1509:F1509" si="267">IFERROR((B267/B266-1),"")</f>
        <v>2.869934565491894E-3</v>
      </c>
      <c r="C1509" s="112">
        <f t="shared" si="267"/>
        <v>2.1835243165208018E-2</v>
      </c>
      <c r="D1509" s="112">
        <f t="shared" si="267"/>
        <v>7.1398470892782839E-3</v>
      </c>
      <c r="E1509" s="112">
        <f t="shared" si="267"/>
        <v>1.6013171696785289E-2</v>
      </c>
      <c r="F1509" s="112">
        <f t="shared" si="267"/>
        <v>-4.9976436857833706E-3</v>
      </c>
    </row>
    <row r="1510" spans="1:6">
      <c r="A1510" s="111">
        <f t="shared" si="260"/>
        <v>44827</v>
      </c>
      <c r="B1510" s="112">
        <f t="shared" ref="B1510:F1510" si="268">IFERROR((B268/B267-1),"")</f>
        <v>-2.9075091575091694E-2</v>
      </c>
      <c r="C1510" s="112">
        <f t="shared" si="268"/>
        <v>-1.7939661515820493E-2</v>
      </c>
      <c r="D1510" s="112">
        <f t="shared" si="268"/>
        <v>-1.0328997704667109E-2</v>
      </c>
      <c r="E1510" s="112">
        <f t="shared" si="268"/>
        <v>-7.6451600256145502E-3</v>
      </c>
      <c r="F1510" s="112">
        <f t="shared" si="268"/>
        <v>-1.7155611521401326E-2</v>
      </c>
    </row>
    <row r="1511" spans="1:6">
      <c r="A1511" s="111">
        <f t="shared" si="260"/>
        <v>44830</v>
      </c>
      <c r="B1511" s="112">
        <f t="shared" ref="B1511:F1511" si="269">IFERROR((B269/B268-1),"")</f>
        <v>-2.8216615578086857E-2</v>
      </c>
      <c r="C1511" s="112">
        <f t="shared" si="269"/>
        <v>1.4296204162982828E-2</v>
      </c>
      <c r="D1511" s="112">
        <f t="shared" si="269"/>
        <v>-2.7420757634325499E-3</v>
      </c>
      <c r="E1511" s="112">
        <f t="shared" si="269"/>
        <v>-2.4231569520899443E-3</v>
      </c>
      <c r="F1511" s="112">
        <f t="shared" si="269"/>
        <v>-1.7951388989083661E-2</v>
      </c>
    </row>
    <row r="1512" spans="1:6">
      <c r="A1512" s="111">
        <f t="shared" si="260"/>
        <v>44831</v>
      </c>
      <c r="B1512" s="112">
        <f t="shared" ref="B1512:F1512" si="270">IFERROR((B270/B269-1),"")</f>
        <v>-5.2571983176974424E-4</v>
      </c>
      <c r="C1512" s="112">
        <f t="shared" si="270"/>
        <v>2.3047942675629818E-2</v>
      </c>
      <c r="D1512" s="112">
        <f t="shared" si="270"/>
        <v>1.3021306491272755E-2</v>
      </c>
      <c r="E1512" s="112">
        <f t="shared" si="270"/>
        <v>9.6765676567656111E-3</v>
      </c>
      <c r="F1512" s="112">
        <f t="shared" si="270"/>
        <v>-5.230279202880217E-4</v>
      </c>
    </row>
    <row r="1513" spans="1:6">
      <c r="A1513" s="111">
        <f t="shared" si="260"/>
        <v>44832</v>
      </c>
      <c r="B1513" s="112">
        <f t="shared" ref="B1513:F1513" si="271">IFERROR((B271/B270-1),"")</f>
        <v>5.3813473599029216E-3</v>
      </c>
      <c r="C1513" s="112">
        <f t="shared" si="271"/>
        <v>-3.4226297927648641E-3</v>
      </c>
      <c r="D1513" s="112">
        <f t="shared" si="271"/>
        <v>2.1068490529940753E-2</v>
      </c>
      <c r="E1513" s="112">
        <f t="shared" si="271"/>
        <v>7.5964593439064032E-3</v>
      </c>
      <c r="F1513" s="112">
        <f t="shared" si="271"/>
        <v>-8.7491327304586308E-3</v>
      </c>
    </row>
    <row r="1514" spans="1:6">
      <c r="A1514" s="111">
        <f t="shared" si="260"/>
        <v>44833</v>
      </c>
      <c r="B1514" s="112">
        <f t="shared" ref="B1514:F1514" si="272">IFERROR((B272/B271-1),"")</f>
        <v>1.2838055376690027E-2</v>
      </c>
      <c r="C1514" s="112">
        <f t="shared" si="272"/>
        <v>-2.5084048226292732E-2</v>
      </c>
      <c r="D1514" s="112">
        <f t="shared" si="272"/>
        <v>2.1312972808394059E-2</v>
      </c>
      <c r="E1514" s="112">
        <f t="shared" si="272"/>
        <v>2.9326274265546459E-3</v>
      </c>
      <c r="F1514" s="112">
        <f t="shared" si="272"/>
        <v>-2.4023347134399797E-3</v>
      </c>
    </row>
    <row r="1515" spans="1:6">
      <c r="A1515" s="111">
        <f t="shared" si="260"/>
        <v>44834</v>
      </c>
      <c r="B1515" s="112">
        <f t="shared" ref="B1515:F1515" si="273">IFERROR((B273/B272-1),"")</f>
        <v>7.8277108912465643E-3</v>
      </c>
      <c r="C1515" s="112">
        <f t="shared" si="273"/>
        <v>-5.6482899059118186E-4</v>
      </c>
      <c r="D1515" s="112">
        <f t="shared" si="273"/>
        <v>-5.7330245144128211E-3</v>
      </c>
      <c r="E1515" s="112">
        <f t="shared" si="273"/>
        <v>-5.5505240005174761E-3</v>
      </c>
      <c r="F1515" s="112">
        <f t="shared" si="273"/>
        <v>1.6425755584756896E-2</v>
      </c>
    </row>
    <row r="1516" spans="1:6">
      <c r="A1516" s="111">
        <f t="shared" si="260"/>
        <v>44837</v>
      </c>
      <c r="B1516" s="112">
        <f t="shared" ref="B1516:F1516" si="274">IFERROR((B274/B273-1),"")</f>
        <v>-1.3286547863113229E-2</v>
      </c>
      <c r="C1516" s="112">
        <f t="shared" si="274"/>
        <v>-9.8454765835304103E-3</v>
      </c>
      <c r="D1516" s="112">
        <f t="shared" si="274"/>
        <v>1.9362502018128502E-2</v>
      </c>
      <c r="E1516" s="112">
        <f t="shared" si="274"/>
        <v>-1.9281560219096883E-2</v>
      </c>
      <c r="F1516" s="112">
        <f t="shared" si="274"/>
        <v>-1.2109264172080247E-2</v>
      </c>
    </row>
    <row r="1517" spans="1:6">
      <c r="A1517" s="111">
        <f t="shared" si="260"/>
        <v>44838</v>
      </c>
      <c r="B1517" s="112">
        <f t="shared" ref="B1517:F1517" si="275">IFERROR((B275/B274-1),"")</f>
        <v>7.1922323890198925E-3</v>
      </c>
      <c r="C1517" s="112">
        <f t="shared" si="275"/>
        <v>4.5255869143998595E-2</v>
      </c>
      <c r="D1517" s="112">
        <f t="shared" si="275"/>
        <v>-1.2896948853415857E-3</v>
      </c>
      <c r="E1517" s="112">
        <f t="shared" si="275"/>
        <v>1.3054033616789917E-2</v>
      </c>
      <c r="F1517" s="112">
        <f t="shared" si="275"/>
        <v>2.2913601009039386E-2</v>
      </c>
    </row>
    <row r="1518" spans="1:6">
      <c r="A1518" s="111">
        <f t="shared" si="260"/>
        <v>44840</v>
      </c>
      <c r="B1518" s="112">
        <f t="shared" ref="B1518:F1518" si="276">IFERROR((B276/B275-1),"")</f>
        <v>-2.7373348672986575E-3</v>
      </c>
      <c r="C1518" s="112">
        <f t="shared" si="276"/>
        <v>4.0997269722661267E-2</v>
      </c>
      <c r="D1518" s="112">
        <f t="shared" si="276"/>
        <v>-3.7154929258373937E-3</v>
      </c>
      <c r="E1518" s="112">
        <f t="shared" si="276"/>
        <v>-1.3252491389809218E-2</v>
      </c>
      <c r="F1518" s="112">
        <f t="shared" si="276"/>
        <v>3.3286442865991805E-3</v>
      </c>
    </row>
    <row r="1519" spans="1:6">
      <c r="A1519" s="111">
        <f t="shared" si="260"/>
        <v>44841</v>
      </c>
      <c r="B1519" s="112">
        <f t="shared" ref="B1519:F1519" si="277">IFERROR((B277/B276-1),"")</f>
        <v>-1.4360728777150222E-2</v>
      </c>
      <c r="C1519" s="112">
        <f t="shared" si="277"/>
        <v>-5.4249547920433017E-3</v>
      </c>
      <c r="D1519" s="112">
        <f t="shared" si="277"/>
        <v>-4.7526463599049107E-3</v>
      </c>
      <c r="E1519" s="112">
        <f t="shared" si="277"/>
        <v>4.8041830898064575E-3</v>
      </c>
      <c r="F1519" s="112">
        <f t="shared" si="277"/>
        <v>-9.8951061055385647E-4</v>
      </c>
    </row>
    <row r="1520" spans="1:6">
      <c r="A1520" s="111">
        <f t="shared" si="260"/>
        <v>44844</v>
      </c>
      <c r="B1520" s="112">
        <f t="shared" ref="B1520:F1520" si="278">IFERROR((B278/B277-1),"")</f>
        <v>3.3498809379668426E-3</v>
      </c>
      <c r="C1520" s="112">
        <f t="shared" si="278"/>
        <v>9.8681471200554594E-3</v>
      </c>
      <c r="D1520" s="112">
        <f t="shared" si="278"/>
        <v>7.6542561091241801E-4</v>
      </c>
      <c r="E1520" s="112">
        <f t="shared" si="278"/>
        <v>3.2226962344643617E-3</v>
      </c>
      <c r="F1520" s="112">
        <f t="shared" si="278"/>
        <v>-4.2536233767359599E-3</v>
      </c>
    </row>
    <row r="1521" spans="1:6">
      <c r="A1521" s="111">
        <f t="shared" si="260"/>
        <v>44845</v>
      </c>
      <c r="B1521" s="112">
        <f t="shared" ref="B1521:F1521" si="279">IFERROR((B279/B278-1),"")</f>
        <v>-1.0820595333869698E-2</v>
      </c>
      <c r="C1521" s="112">
        <f t="shared" si="279"/>
        <v>-1.2437981885900506E-2</v>
      </c>
      <c r="D1521" s="112">
        <f t="shared" si="279"/>
        <v>-2.220319634703205E-2</v>
      </c>
      <c r="E1521" s="112">
        <f t="shared" si="279"/>
        <v>-1.8418315625946202E-2</v>
      </c>
      <c r="F1521" s="112">
        <f t="shared" si="279"/>
        <v>-1.4932428513427354E-2</v>
      </c>
    </row>
    <row r="1522" spans="1:6">
      <c r="A1522" s="111">
        <f t="shared" si="260"/>
        <v>44846</v>
      </c>
      <c r="B1522" s="112">
        <f t="shared" ref="B1522:F1522" si="280">IFERROR((B280/B279-1),"")</f>
        <v>1.4924159245252477E-2</v>
      </c>
      <c r="C1522" s="112">
        <f t="shared" si="280"/>
        <v>7.4871966154532732E-3</v>
      </c>
      <c r="D1522" s="112">
        <f t="shared" si="280"/>
        <v>-9.7133850913547759E-3</v>
      </c>
      <c r="E1522" s="112">
        <f t="shared" si="280"/>
        <v>9.4154886128918758E-3</v>
      </c>
      <c r="F1522" s="112">
        <f t="shared" si="280"/>
        <v>8.2462147195374591E-3</v>
      </c>
    </row>
    <row r="1523" spans="1:6">
      <c r="A1523" s="111">
        <f t="shared" si="260"/>
        <v>44847</v>
      </c>
      <c r="B1523" s="112">
        <f t="shared" ref="B1523:F1523" si="281">IFERROR((B281/B280-1),"")</f>
        <v>2.4040387851576028E-4</v>
      </c>
      <c r="C1523" s="112">
        <f t="shared" si="281"/>
        <v>3.9229770422961607E-3</v>
      </c>
      <c r="D1523" s="112">
        <f t="shared" si="281"/>
        <v>3.1830989236409923E-3</v>
      </c>
      <c r="E1523" s="112">
        <f t="shared" si="281"/>
        <v>5.7401009832580563E-3</v>
      </c>
      <c r="F1523" s="112">
        <f t="shared" si="281"/>
        <v>-6.380083627274602E-3</v>
      </c>
    </row>
    <row r="1524" spans="1:6">
      <c r="A1524" s="111">
        <f t="shared" si="260"/>
        <v>44848</v>
      </c>
      <c r="B1524" s="112">
        <f t="shared" ref="B1524:F1524" si="282">IFERROR((B282/B281-1),"")</f>
        <v>-1.4340650536773025E-2</v>
      </c>
      <c r="C1524" s="112">
        <f t="shared" si="282"/>
        <v>2.9747654035609195E-2</v>
      </c>
      <c r="D1524" s="112">
        <f t="shared" si="282"/>
        <v>1.3197325279400207E-2</v>
      </c>
      <c r="E1524" s="112">
        <f t="shared" si="282"/>
        <v>3.0782645457909652E-3</v>
      </c>
      <c r="F1524" s="112">
        <f t="shared" si="282"/>
        <v>1.0070910731235783E-2</v>
      </c>
    </row>
    <row r="1525" spans="1:6">
      <c r="A1525" s="111">
        <f t="shared" si="260"/>
        <v>44851</v>
      </c>
      <c r="B1525" s="112">
        <f t="shared" ref="B1525:F1525" si="283">IFERROR((B283/B282-1),"")</f>
        <v>-2.4384296513046966E-4</v>
      </c>
      <c r="C1525" s="112">
        <f t="shared" si="283"/>
        <v>5.6386958845537904E-3</v>
      </c>
      <c r="D1525" s="112">
        <f t="shared" si="283"/>
        <v>5.6602022826388598E-3</v>
      </c>
      <c r="E1525" s="112">
        <f t="shared" si="283"/>
        <v>-4.8864010536714408E-3</v>
      </c>
      <c r="F1525" s="112">
        <f t="shared" si="283"/>
        <v>7.337495708641395E-3</v>
      </c>
    </row>
    <row r="1526" spans="1:6">
      <c r="A1526" s="111">
        <f t="shared" si="260"/>
        <v>44852</v>
      </c>
      <c r="B1526" s="112">
        <f t="shared" ref="B1526:F1526" si="284">IFERROR((B284/B283-1),"")</f>
        <v>1.9349593495934903E-2</v>
      </c>
      <c r="C1526" s="112">
        <f t="shared" si="284"/>
        <v>1.9571629773325272E-2</v>
      </c>
      <c r="D1526" s="112">
        <f t="shared" si="284"/>
        <v>4.9248016239158421E-3</v>
      </c>
      <c r="E1526" s="112">
        <f t="shared" si="284"/>
        <v>-2.8721179553696796E-3</v>
      </c>
      <c r="F1526" s="112">
        <f t="shared" si="284"/>
        <v>1.0117376587067906E-2</v>
      </c>
    </row>
    <row r="1527" spans="1:6">
      <c r="A1527" s="111">
        <f t="shared" si="260"/>
        <v>44853</v>
      </c>
      <c r="B1527" s="112">
        <f t="shared" ref="B1527:F1527" si="285">IFERROR((B285/B284-1),"")</f>
        <v>-4.3069070027116352E-3</v>
      </c>
      <c r="C1527" s="112">
        <f t="shared" si="285"/>
        <v>-6.3595490975434377E-3</v>
      </c>
      <c r="D1527" s="112">
        <f t="shared" si="285"/>
        <v>-9.1012383652201434E-3</v>
      </c>
      <c r="E1527" s="112">
        <f t="shared" si="285"/>
        <v>4.3803177721435382E-4</v>
      </c>
      <c r="F1527" s="112">
        <f t="shared" si="285"/>
        <v>1.4467931800570266E-3</v>
      </c>
    </row>
    <row r="1528" spans="1:6">
      <c r="A1528" s="111">
        <f t="shared" si="260"/>
        <v>44854</v>
      </c>
      <c r="B1528" s="112">
        <f t="shared" ref="B1528:F1528" si="286">IFERROR((B286/B285-1),"")</f>
        <v>1.281640499839698E-3</v>
      </c>
      <c r="C1528" s="112">
        <f t="shared" si="286"/>
        <v>1.2052933230159768E-2</v>
      </c>
      <c r="D1528" s="112">
        <f t="shared" si="286"/>
        <v>7.4474738817205122E-3</v>
      </c>
      <c r="E1528" s="112">
        <f t="shared" si="286"/>
        <v>5.7449913758789162E-3</v>
      </c>
      <c r="F1528" s="112">
        <f t="shared" si="286"/>
        <v>2.9522191608730708E-3</v>
      </c>
    </row>
    <row r="1529" spans="1:6">
      <c r="A1529" s="111">
        <f t="shared" si="260"/>
        <v>44855</v>
      </c>
      <c r="B1529" s="112">
        <f t="shared" ref="B1529:F1529" si="287">IFERROR((B287/B286-1),"")</f>
        <v>5.4000000000000714E-3</v>
      </c>
      <c r="C1529" s="112">
        <f t="shared" si="287"/>
        <v>9.8488971826959926E-4</v>
      </c>
      <c r="D1529" s="112">
        <f t="shared" si="287"/>
        <v>-4.1963187362756837E-3</v>
      </c>
      <c r="E1529" s="112">
        <f t="shared" si="287"/>
        <v>6.7279659116392665E-4</v>
      </c>
      <c r="F1529" s="112">
        <f t="shared" si="287"/>
        <v>7.0314479373934091E-4</v>
      </c>
    </row>
    <row r="1530" spans="1:6">
      <c r="A1530" s="111">
        <f t="shared" si="260"/>
        <v>44858</v>
      </c>
      <c r="B1530" s="112">
        <f t="shared" ref="B1530:F1530" si="288">IFERROR((B288/B287-1),"")</f>
        <v>1.1298985478416679E-2</v>
      </c>
      <c r="C1530" s="112">
        <f t="shared" si="288"/>
        <v>3.9356826596930183E-3</v>
      </c>
      <c r="D1530" s="112">
        <f t="shared" si="288"/>
        <v>1.0783227117391769E-2</v>
      </c>
      <c r="E1530" s="112">
        <f t="shared" si="288"/>
        <v>2.4125293326653363E-3</v>
      </c>
      <c r="F1530" s="112">
        <f t="shared" si="288"/>
        <v>8.7874012164108617E-3</v>
      </c>
    </row>
    <row r="1531" spans="1:6">
      <c r="A1531" s="111">
        <f t="shared" si="260"/>
        <v>44859</v>
      </c>
      <c r="B1531" s="112">
        <f t="shared" ref="B1531:F1531" si="289">IFERROR((B289/B288-1),"")</f>
        <v>8.2221959951218615E-3</v>
      </c>
      <c r="C1531" s="112">
        <f t="shared" si="289"/>
        <v>4.6424057978489142E-3</v>
      </c>
      <c r="D1531" s="112">
        <f t="shared" si="289"/>
        <v>1.4814391776127867E-2</v>
      </c>
      <c r="E1531" s="112">
        <f t="shared" si="289"/>
        <v>-2.3343898365269511E-2</v>
      </c>
      <c r="F1531" s="112">
        <f t="shared" si="289"/>
        <v>-4.1960999957701972E-3</v>
      </c>
    </row>
    <row r="1532" spans="1:6">
      <c r="A1532" s="111">
        <f t="shared" si="260"/>
        <v>44861</v>
      </c>
      <c r="B1532" s="112">
        <f t="shared" ref="B1532:F1532" si="290">IFERROR((B290/B289-1),"")</f>
        <v>9.9500546277508928E-3</v>
      </c>
      <c r="C1532" s="112">
        <f t="shared" si="290"/>
        <v>-1.822709419043389E-3</v>
      </c>
      <c r="D1532" s="112">
        <f t="shared" si="290"/>
        <v>1.0996432068612227E-2</v>
      </c>
      <c r="E1532" s="112">
        <f t="shared" si="290"/>
        <v>1.1365166572405938E-2</v>
      </c>
      <c r="F1532" s="112">
        <f t="shared" si="290"/>
        <v>4.5649298977423758E-3</v>
      </c>
    </row>
    <row r="1533" spans="1:6">
      <c r="A1533" s="111">
        <f t="shared" si="260"/>
        <v>44862</v>
      </c>
      <c r="B1533" s="112">
        <f t="shared" ref="B1533:F1533" si="291">IFERROR((B291/B290-1),"")</f>
        <v>1.3522389212996977E-2</v>
      </c>
      <c r="C1533" s="112">
        <f t="shared" si="291"/>
        <v>-3.9015482742657315E-2</v>
      </c>
      <c r="D1533" s="112">
        <f t="shared" si="291"/>
        <v>-6.9580513003206779E-3</v>
      </c>
      <c r="E1533" s="112">
        <f t="shared" si="291"/>
        <v>5.9649029371819928E-3</v>
      </c>
      <c r="F1533" s="112">
        <f t="shared" si="291"/>
        <v>2.8105170280121605E-3</v>
      </c>
    </row>
    <row r="1534" spans="1:6">
      <c r="A1534" s="111">
        <f t="shared" si="260"/>
        <v>44865</v>
      </c>
      <c r="B1534" s="112">
        <f t="shared" ref="B1534:F1534" si="292">IFERROR((B292/B291-1),"")</f>
        <v>2.8170624785575304E-2</v>
      </c>
      <c r="C1534" s="112">
        <f t="shared" si="292"/>
        <v>1.9563762879700297E-2</v>
      </c>
      <c r="D1534" s="112">
        <f t="shared" si="292"/>
        <v>-5.8857162075808267E-3</v>
      </c>
      <c r="E1534" s="112">
        <f t="shared" si="292"/>
        <v>-2.9515313550572131E-3</v>
      </c>
      <c r="F1534" s="112">
        <f t="shared" si="292"/>
        <v>1.2672318798210069E-2</v>
      </c>
    </row>
    <row r="1535" spans="1:6">
      <c r="A1535" s="111">
        <f t="shared" si="260"/>
        <v>44866</v>
      </c>
      <c r="B1535" s="112">
        <f t="shared" ref="B1535:F1535" si="293">IFERROR((B293/B292-1),"")</f>
        <v>4.0412279400861006E-3</v>
      </c>
      <c r="C1535" s="112">
        <f t="shared" si="293"/>
        <v>9.2266904661908455E-3</v>
      </c>
      <c r="D1535" s="112">
        <f t="shared" si="293"/>
        <v>2.2915397974603513E-2</v>
      </c>
      <c r="E1535" s="112">
        <f t="shared" si="293"/>
        <v>5.6948666551619453E-3</v>
      </c>
      <c r="F1535" s="112">
        <f t="shared" si="293"/>
        <v>7.3949878415739967E-3</v>
      </c>
    </row>
    <row r="1536" spans="1:6">
      <c r="A1536" s="111">
        <f t="shared" si="260"/>
        <v>44867</v>
      </c>
      <c r="B1536" s="112">
        <f t="shared" ref="B1536:F1536" si="294">IFERROR((B294/B293-1),"")</f>
        <v>-1.2554927809165228E-3</v>
      </c>
      <c r="C1536" s="112">
        <f t="shared" si="294"/>
        <v>-1.8336692892907402E-3</v>
      </c>
      <c r="D1536" s="112">
        <f t="shared" si="294"/>
        <v>4.4870240116421378E-3</v>
      </c>
      <c r="E1536" s="112">
        <f t="shared" si="294"/>
        <v>-1.6908658922914488E-2</v>
      </c>
      <c r="F1536" s="112">
        <f t="shared" si="294"/>
        <v>-3.4471546507656159E-3</v>
      </c>
    </row>
    <row r="1537" spans="1:6">
      <c r="A1537" s="111">
        <f t="shared" si="260"/>
        <v>44868</v>
      </c>
      <c r="B1537" s="112">
        <f t="shared" ref="B1537:F1537" si="295">IFERROR((B295/B294-1),"")</f>
        <v>-1.2533737567937187E-2</v>
      </c>
      <c r="C1537" s="112">
        <f t="shared" si="295"/>
        <v>-1.1282799593506532E-2</v>
      </c>
      <c r="D1537" s="112">
        <f t="shared" si="295"/>
        <v>7.5181368191148401E-3</v>
      </c>
      <c r="E1537" s="112">
        <f t="shared" si="295"/>
        <v>6.4716228735617332E-3</v>
      </c>
      <c r="F1537" s="112">
        <f t="shared" si="295"/>
        <v>-1.6673256704555772E-3</v>
      </c>
    </row>
    <row r="1538" spans="1:6">
      <c r="A1538" s="111">
        <f t="shared" si="260"/>
        <v>44869</v>
      </c>
      <c r="B1538" s="112">
        <f t="shared" ref="B1538:F1538" si="296">IFERROR((B296/B295-1),"")</f>
        <v>2.1716339673505392E-3</v>
      </c>
      <c r="C1538" s="112">
        <f t="shared" si="296"/>
        <v>-1.4837655492304425E-2</v>
      </c>
      <c r="D1538" s="112">
        <f t="shared" si="296"/>
        <v>-1.4117954639534691E-2</v>
      </c>
      <c r="E1538" s="112">
        <f t="shared" si="296"/>
        <v>1.4981123517562311E-2</v>
      </c>
      <c r="F1538" s="112">
        <f t="shared" si="296"/>
        <v>3.5701030870729511E-3</v>
      </c>
    </row>
    <row r="1539" spans="1:6">
      <c r="A1539" s="111">
        <f t="shared" si="260"/>
        <v>44872</v>
      </c>
      <c r="B1539" s="112">
        <f t="shared" ref="B1539:F1539" si="297">IFERROR((B297/B296-1),"")</f>
        <v>9.7138160352685521E-3</v>
      </c>
      <c r="C1539" s="112">
        <f t="shared" si="297"/>
        <v>-6.540755999036918E-3</v>
      </c>
      <c r="D1539" s="112">
        <f t="shared" si="297"/>
        <v>-8.7622372986231323E-3</v>
      </c>
      <c r="E1539" s="112">
        <f t="shared" si="297"/>
        <v>8.807370800693981E-2</v>
      </c>
      <c r="F1539" s="112">
        <f t="shared" si="297"/>
        <v>4.7275647659812403E-3</v>
      </c>
    </row>
    <row r="1540" spans="1:6">
      <c r="A1540" s="111">
        <f t="shared" si="260"/>
        <v>44874</v>
      </c>
      <c r="B1540" s="112">
        <f t="shared" ref="B1540:F1540" si="298">IFERROR((B298/B297-1),"")</f>
        <v>-1.0175386664693309E-2</v>
      </c>
      <c r="C1540" s="112">
        <f t="shared" si="298"/>
        <v>-8.8457447524673549E-3</v>
      </c>
      <c r="D1540" s="112">
        <f t="shared" si="298"/>
        <v>1.102453488501709E-2</v>
      </c>
      <c r="E1540" s="112">
        <f t="shared" si="298"/>
        <v>8.7213867246482835E-3</v>
      </c>
      <c r="F1540" s="112">
        <f t="shared" si="298"/>
        <v>-2.5160964247258333E-3</v>
      </c>
    </row>
    <row r="1541" spans="1:6">
      <c r="A1541" s="111">
        <f t="shared" si="260"/>
        <v>44875</v>
      </c>
      <c r="B1541" s="112">
        <f t="shared" ref="B1541:F1541" si="299">IFERROR((B299/B298-1),"")</f>
        <v>-2.9419460954730581E-2</v>
      </c>
      <c r="C1541" s="112">
        <f t="shared" si="299"/>
        <v>-1.276896326885324E-3</v>
      </c>
      <c r="D1541" s="112">
        <f t="shared" si="299"/>
        <v>3.2084500209486055E-3</v>
      </c>
      <c r="E1541" s="112">
        <f t="shared" si="299"/>
        <v>-9.7476858227455443E-3</v>
      </c>
      <c r="F1541" s="112">
        <f t="shared" si="299"/>
        <v>-7.0936828771271943E-3</v>
      </c>
    </row>
    <row r="1542" spans="1:6">
      <c r="A1542" s="111">
        <f t="shared" si="260"/>
        <v>44876</v>
      </c>
      <c r="B1542" s="112">
        <f t="shared" ref="B1542:F1542" si="300">IFERROR((B300/B299-1),"")</f>
        <v>-8.550300415960721E-3</v>
      </c>
      <c r="C1542" s="112">
        <f t="shared" si="300"/>
        <v>6.0267674981637986E-2</v>
      </c>
      <c r="D1542" s="112">
        <f t="shared" si="300"/>
        <v>-2.1980678983173352E-3</v>
      </c>
      <c r="E1542" s="112">
        <f t="shared" si="300"/>
        <v>-8.7069038491770501E-3</v>
      </c>
      <c r="F1542" s="112">
        <f t="shared" si="300"/>
        <v>1.7833172474234882E-2</v>
      </c>
    </row>
    <row r="1543" spans="1:6">
      <c r="A1543" s="111">
        <f t="shared" si="260"/>
        <v>44879</v>
      </c>
      <c r="B1543" s="112">
        <f t="shared" ref="B1543:F1543" si="301">IFERROR((B301/B300-1),"")</f>
        <v>-6.9536166576021907E-3</v>
      </c>
      <c r="C1543" s="112">
        <f t="shared" si="301"/>
        <v>3.0967377778918115E-2</v>
      </c>
      <c r="D1543" s="112">
        <f t="shared" si="301"/>
        <v>-3.8727158576479459E-2</v>
      </c>
      <c r="E1543" s="112">
        <f t="shared" si="301"/>
        <v>1.2931087065253255E-3</v>
      </c>
      <c r="F1543" s="112">
        <f t="shared" si="301"/>
        <v>-1.1199093173185348E-3</v>
      </c>
    </row>
    <row r="1544" spans="1:6">
      <c r="A1544" s="111">
        <f t="shared" si="260"/>
        <v>44880</v>
      </c>
      <c r="B1544" s="112">
        <f t="shared" ref="B1544:F1544" si="302">IFERROR((B302/B301-1),"")</f>
        <v>1.0601259633063354E-2</v>
      </c>
      <c r="C1544" s="112">
        <f t="shared" si="302"/>
        <v>-1.1459927582216478E-2</v>
      </c>
      <c r="D1544" s="112">
        <f t="shared" si="302"/>
        <v>1.6053074834141201E-2</v>
      </c>
      <c r="E1544" s="112">
        <f t="shared" si="302"/>
        <v>8.6258360847477622E-3</v>
      </c>
      <c r="F1544" s="112">
        <f t="shared" si="302"/>
        <v>4.0509243472828249E-3</v>
      </c>
    </row>
    <row r="1545" spans="1:6">
      <c r="A1545" s="111">
        <f t="shared" si="260"/>
        <v>44881</v>
      </c>
      <c r="B1545" s="112">
        <f t="shared" ref="B1545:F1545" si="303">IFERROR((B303/B302-1),"")</f>
        <v>-3.8708678485716019E-3</v>
      </c>
      <c r="C1545" s="112">
        <f t="shared" si="303"/>
        <v>-7.0110515318582145E-3</v>
      </c>
      <c r="D1545" s="112">
        <f t="shared" si="303"/>
        <v>1.0668290592507512E-2</v>
      </c>
      <c r="E1545" s="112">
        <f t="shared" si="303"/>
        <v>-1.8964330148454334E-3</v>
      </c>
      <c r="F1545" s="112">
        <f t="shared" si="303"/>
        <v>3.3961115880765114E-4</v>
      </c>
    </row>
    <row r="1546" spans="1:6">
      <c r="A1546" s="111">
        <f t="shared" si="260"/>
        <v>44882</v>
      </c>
      <c r="B1546" s="112">
        <f t="shared" ref="B1546:F1546" si="304">IFERROR((B304/B303-1),"")</f>
        <v>-2.1255926012279547E-2</v>
      </c>
      <c r="C1546" s="112">
        <f t="shared" si="304"/>
        <v>-1.9939408536044367E-2</v>
      </c>
      <c r="D1546" s="112">
        <f t="shared" si="304"/>
        <v>-1.3322918991296673E-2</v>
      </c>
      <c r="E1546" s="112">
        <f t="shared" si="304"/>
        <v>-1.5248699019726475E-3</v>
      </c>
      <c r="F1546" s="112">
        <f t="shared" si="304"/>
        <v>-3.5714964706010655E-3</v>
      </c>
    </row>
    <row r="1547" spans="1:6">
      <c r="A1547" s="111">
        <f t="shared" si="260"/>
        <v>44883</v>
      </c>
      <c r="B1547" s="112">
        <f t="shared" ref="B1547:F1547" si="305">IFERROR((B305/B304-1),"")</f>
        <v>-2.5568745781553881E-2</v>
      </c>
      <c r="C1547" s="112">
        <f t="shared" si="305"/>
        <v>-1.475761808681253E-2</v>
      </c>
      <c r="D1547" s="112">
        <f t="shared" si="305"/>
        <v>-2.7706783072852792E-3</v>
      </c>
      <c r="E1547" s="112">
        <f t="shared" si="305"/>
        <v>-4.6421991661009798E-3</v>
      </c>
      <c r="F1547" s="112">
        <f t="shared" si="305"/>
        <v>-1.9761337556354341E-3</v>
      </c>
    </row>
    <row r="1548" spans="1:6">
      <c r="A1548" s="111">
        <f t="shared" si="260"/>
        <v>44886</v>
      </c>
      <c r="B1548" s="112">
        <f t="shared" ref="B1548:F1548" si="306">IFERROR((B306/B305-1),"")</f>
        <v>-7.2525771095628411E-3</v>
      </c>
      <c r="C1548" s="112">
        <f t="shared" si="306"/>
        <v>-1.2602559894978715E-2</v>
      </c>
      <c r="D1548" s="112">
        <f t="shared" si="306"/>
        <v>-1.3426928703462071E-2</v>
      </c>
      <c r="E1548" s="112">
        <f t="shared" si="306"/>
        <v>3.4096029030332708E-3</v>
      </c>
      <c r="F1548" s="112">
        <f t="shared" si="306"/>
        <v>-8.0676657025888776E-3</v>
      </c>
    </row>
    <row r="1549" spans="1:6">
      <c r="A1549" s="111">
        <f t="shared" si="260"/>
        <v>44887</v>
      </c>
      <c r="B1549" s="112">
        <f t="shared" ref="B1549:F1549" si="307">IFERROR((B307/B306-1),"")</f>
        <v>8.372665709008853E-3</v>
      </c>
      <c r="C1549" s="112">
        <f t="shared" si="307"/>
        <v>1.2524097586917637E-2</v>
      </c>
      <c r="D1549" s="112">
        <f t="shared" si="307"/>
        <v>2.9081462579167994E-3</v>
      </c>
      <c r="E1549" s="112">
        <f t="shared" si="307"/>
        <v>9.113967063506534E-3</v>
      </c>
      <c r="F1549" s="112">
        <f t="shared" si="307"/>
        <v>4.6393299541023225E-3</v>
      </c>
    </row>
    <row r="1550" spans="1:6">
      <c r="A1550" s="111">
        <f t="shared" si="260"/>
        <v>44888</v>
      </c>
      <c r="B1550" s="112">
        <f t="shared" ref="B1550:F1550" si="308">IFERROR((B308/B307-1),"")</f>
        <v>5.9017461028125773E-3</v>
      </c>
      <c r="C1550" s="112">
        <f t="shared" si="308"/>
        <v>1.7463923211260779E-2</v>
      </c>
      <c r="D1550" s="112">
        <f t="shared" si="308"/>
        <v>9.8911174785101252E-3</v>
      </c>
      <c r="E1550" s="112">
        <f t="shared" si="308"/>
        <v>-5.8928227823762391E-4</v>
      </c>
      <c r="F1550" s="112">
        <f t="shared" si="308"/>
        <v>1.2634152223720552E-3</v>
      </c>
    </row>
    <row r="1551" spans="1:6">
      <c r="A1551" s="111">
        <f t="shared" si="260"/>
        <v>44889</v>
      </c>
      <c r="B1551" s="112">
        <f t="shared" ref="B1551:F1551" si="309">IFERROR((B309/B308-1),"")</f>
        <v>1.4849882657602897E-2</v>
      </c>
      <c r="C1551" s="112">
        <f t="shared" si="309"/>
        <v>1.8983829545601294E-2</v>
      </c>
      <c r="D1551" s="112">
        <f t="shared" si="309"/>
        <v>1.8612463541134439E-3</v>
      </c>
      <c r="E1551" s="112">
        <f t="shared" si="309"/>
        <v>8.6759804098528459E-3</v>
      </c>
      <c r="F1551" s="112">
        <f t="shared" si="309"/>
        <v>1.1870971273727493E-2</v>
      </c>
    </row>
    <row r="1552" spans="1:6">
      <c r="A1552" s="111">
        <f t="shared" si="260"/>
        <v>44890</v>
      </c>
      <c r="B1552" s="112">
        <f t="shared" ref="B1552:F1552" si="310">IFERROR((B310/B309-1),"")</f>
        <v>5.3825605039672375E-3</v>
      </c>
      <c r="C1552" s="112">
        <f t="shared" si="310"/>
        <v>-7.8522758935128945E-4</v>
      </c>
      <c r="D1552" s="112">
        <f t="shared" si="310"/>
        <v>9.6287821289808839E-4</v>
      </c>
      <c r="E1552" s="112">
        <f t="shared" si="310"/>
        <v>-1.7894636380988427E-3</v>
      </c>
      <c r="F1552" s="112">
        <f t="shared" si="310"/>
        <v>1.5499807943044619E-3</v>
      </c>
    </row>
    <row r="1553" spans="1:6">
      <c r="A1553" s="111">
        <f t="shared" si="260"/>
        <v>44893</v>
      </c>
      <c r="B1553" s="112">
        <f t="shared" ref="B1553:F1553" si="311">IFERROR((B311/B310-1),"")</f>
        <v>-8.0107868020303785E-3</v>
      </c>
      <c r="C1553" s="112">
        <f t="shared" si="311"/>
        <v>8.7710403569254414E-3</v>
      </c>
      <c r="D1553" s="112">
        <f t="shared" si="311"/>
        <v>-3.6441004051516179E-3</v>
      </c>
      <c r="E1553" s="112">
        <f t="shared" si="311"/>
        <v>7.0153213662549341E-3</v>
      </c>
      <c r="F1553" s="112">
        <f t="shared" si="311"/>
        <v>2.7008413120686026E-3</v>
      </c>
    </row>
    <row r="1554" spans="1:6">
      <c r="A1554" s="111">
        <f t="shared" si="260"/>
        <v>44894</v>
      </c>
      <c r="B1554" s="112">
        <f t="shared" ref="B1554:F1554" si="312">IFERROR((B312/B311-1),"")</f>
        <v>5.1171344047331591E-3</v>
      </c>
      <c r="C1554" s="112">
        <f t="shared" si="312"/>
        <v>-4.1463537216668289E-4</v>
      </c>
      <c r="D1554" s="112">
        <f t="shared" si="312"/>
        <v>1.1665152203543805E-2</v>
      </c>
      <c r="E1554" s="112">
        <f t="shared" si="312"/>
        <v>1.7160964147114433E-2</v>
      </c>
      <c r="F1554" s="112">
        <f t="shared" si="312"/>
        <v>2.9790844567749719E-3</v>
      </c>
    </row>
    <row r="1555" spans="1:6">
      <c r="A1555" s="111">
        <f t="shared" si="260"/>
        <v>44895</v>
      </c>
      <c r="B1555" s="112">
        <f t="shared" ref="B1555:F1555" si="313">IFERROR((B313/B312-1),"")</f>
        <v>3.8580860711160625E-2</v>
      </c>
      <c r="C1555" s="112">
        <f t="shared" si="313"/>
        <v>1.4719376531959094E-2</v>
      </c>
      <c r="D1555" s="112">
        <f t="shared" si="313"/>
        <v>7.5897919543714831E-3</v>
      </c>
      <c r="E1555" s="112">
        <f t="shared" si="313"/>
        <v>1.7956526304735876E-2</v>
      </c>
      <c r="F1555" s="112">
        <f t="shared" si="313"/>
        <v>7.5356978845797506E-3</v>
      </c>
    </row>
    <row r="1556" spans="1:6">
      <c r="A1556" s="111">
        <f t="shared" si="260"/>
        <v>44896</v>
      </c>
      <c r="B1556" s="112">
        <f t="shared" ref="B1556:F1556" si="314">IFERROR((B314/B313-1),"")</f>
        <v>-9.3060661764704511E-3</v>
      </c>
      <c r="C1556" s="112">
        <f t="shared" si="314"/>
        <v>1.9956395708941477E-2</v>
      </c>
      <c r="D1556" s="112">
        <f t="shared" si="314"/>
        <v>-2.8525901741639492E-3</v>
      </c>
      <c r="E1556" s="112">
        <f t="shared" si="314"/>
        <v>8.9287761043486125E-3</v>
      </c>
      <c r="F1556" s="112">
        <f t="shared" si="314"/>
        <v>2.8867144498316843E-3</v>
      </c>
    </row>
    <row r="1557" spans="1:6">
      <c r="A1557" s="111">
        <f t="shared" si="260"/>
        <v>44897</v>
      </c>
      <c r="B1557" s="112">
        <f t="shared" ref="B1557:F1557" si="315">IFERROR((B315/B314-1),"")</f>
        <v>-2.2304689010012035E-2</v>
      </c>
      <c r="C1557" s="112">
        <f t="shared" si="315"/>
        <v>2.9306387164944159E-2</v>
      </c>
      <c r="D1557" s="112">
        <f t="shared" si="315"/>
        <v>8.0570362175511612E-3</v>
      </c>
      <c r="E1557" s="112">
        <f t="shared" si="315"/>
        <v>7.1911388809995369E-3</v>
      </c>
      <c r="F1557" s="112">
        <f t="shared" si="315"/>
        <v>-6.18737541528247E-3</v>
      </c>
    </row>
    <row r="1558" spans="1:6">
      <c r="A1558" s="111">
        <f t="shared" si="260"/>
        <v>44900</v>
      </c>
      <c r="B1558" s="112">
        <f t="shared" ref="B1558:F1558" si="316">IFERROR((B316/B315-1),"")</f>
        <v>-3.7956666139490336E-3</v>
      </c>
      <c r="C1558" s="112">
        <f t="shared" si="316"/>
        <v>-1.0784660766961607E-2</v>
      </c>
      <c r="D1558" s="112">
        <f t="shared" si="316"/>
        <v>-6.8730046115644816E-3</v>
      </c>
      <c r="E1558" s="112">
        <f t="shared" si="316"/>
        <v>-6.6660651041077212E-3</v>
      </c>
      <c r="F1558" s="112">
        <f t="shared" si="316"/>
        <v>2.6476109990847263E-4</v>
      </c>
    </row>
    <row r="1559" spans="1:6">
      <c r="A1559" s="111">
        <f t="shared" si="260"/>
        <v>44901</v>
      </c>
      <c r="B1559" s="112">
        <f t="shared" ref="B1559:F1559" si="317">IFERROR((B317/B316-1),"")</f>
        <v>2.5797745673916683E-3</v>
      </c>
      <c r="C1559" s="112">
        <f t="shared" si="317"/>
        <v>-2.669497590533898E-2</v>
      </c>
      <c r="D1559" s="112">
        <f t="shared" si="317"/>
        <v>-2.3485288208242139E-2</v>
      </c>
      <c r="E1559" s="112">
        <f t="shared" si="317"/>
        <v>4.7690962562594308E-3</v>
      </c>
      <c r="F1559" s="112">
        <f t="shared" si="317"/>
        <v>-3.1174720136034617E-3</v>
      </c>
    </row>
    <row r="1560" spans="1:6">
      <c r="A1560" s="111">
        <f t="shared" si="260"/>
        <v>44902</v>
      </c>
      <c r="B1560" s="112">
        <f t="shared" ref="B1560:F1560" si="318">IFERROR((B318/B317-1),"")</f>
        <v>2.8106567435968177E-3</v>
      </c>
      <c r="C1560" s="112">
        <f t="shared" si="318"/>
        <v>-1.3713571411064107E-2</v>
      </c>
      <c r="D1560" s="112">
        <f t="shared" si="318"/>
        <v>-2.9033880481003083E-3</v>
      </c>
      <c r="E1560" s="112">
        <f t="shared" si="318"/>
        <v>-6.9614745668855615E-3</v>
      </c>
      <c r="F1560" s="112">
        <f t="shared" si="318"/>
        <v>-4.4119027503989328E-3</v>
      </c>
    </row>
    <row r="1561" spans="1:6">
      <c r="A1561" s="111">
        <f t="shared" si="260"/>
        <v>44903</v>
      </c>
      <c r="B1561" s="112">
        <f t="shared" ref="B1561:F1561" si="319">IFERROR((B319/B318-1),"")</f>
        <v>6.1187430917417629E-3</v>
      </c>
      <c r="C1561" s="112">
        <f t="shared" si="319"/>
        <v>-9.4807341045489713E-3</v>
      </c>
      <c r="D1561" s="112">
        <f t="shared" si="319"/>
        <v>-1.215178264358574E-3</v>
      </c>
      <c r="E1561" s="112">
        <f t="shared" si="319"/>
        <v>3.0726860966634462E-4</v>
      </c>
      <c r="F1561" s="112">
        <f t="shared" si="319"/>
        <v>2.6319334069664357E-3</v>
      </c>
    </row>
    <row r="1562" spans="1:6">
      <c r="A1562" s="111">
        <f t="shared" si="260"/>
        <v>44904</v>
      </c>
      <c r="B1562" s="112">
        <f t="shared" ref="B1562:F1562" si="320">IFERROR((B320/B319-1),"")</f>
        <v>-7.0231882920702704E-3</v>
      </c>
      <c r="C1562" s="112">
        <f t="shared" si="320"/>
        <v>-2.7246725876862721E-2</v>
      </c>
      <c r="D1562" s="112">
        <f t="shared" si="320"/>
        <v>1.1684495661356209E-2</v>
      </c>
      <c r="E1562" s="112">
        <f t="shared" si="320"/>
        <v>3.5040615258596919E-3</v>
      </c>
      <c r="F1562" s="112">
        <f t="shared" si="320"/>
        <v>-6.058782278800745E-3</v>
      </c>
    </row>
    <row r="1563" spans="1:6">
      <c r="A1563" s="111">
        <f t="shared" si="260"/>
        <v>44907</v>
      </c>
      <c r="B1563" s="112">
        <f t="shared" ref="B1563:F1563" si="321">IFERROR((B321/B320-1),"")</f>
        <v>-1.1063695274222685E-3</v>
      </c>
      <c r="C1563" s="112">
        <f t="shared" si="321"/>
        <v>7.4925203755287217E-3</v>
      </c>
      <c r="D1563" s="112">
        <f t="shared" si="321"/>
        <v>1.0244832202582321E-2</v>
      </c>
      <c r="E1563" s="112">
        <f t="shared" si="321"/>
        <v>5.0450082760808979E-3</v>
      </c>
      <c r="F1563" s="112">
        <f t="shared" si="321"/>
        <v>2.9735194576385737E-5</v>
      </c>
    </row>
    <row r="1564" spans="1:6">
      <c r="A1564" s="111">
        <f t="shared" si="260"/>
        <v>44908</v>
      </c>
      <c r="B1564" s="112">
        <f t="shared" ref="B1564:F1564" si="322">IFERROR((B322/B321-1),"")</f>
        <v>1.5308544303797467E-2</v>
      </c>
      <c r="C1564" s="112">
        <f t="shared" si="322"/>
        <v>3.1616000000000977E-3</v>
      </c>
      <c r="D1564" s="112">
        <f t="shared" si="322"/>
        <v>1.3251726655061358E-3</v>
      </c>
      <c r="E1564" s="112">
        <f t="shared" si="322"/>
        <v>-1.3536226325704392E-3</v>
      </c>
      <c r="F1564" s="112">
        <f t="shared" si="322"/>
        <v>5.9928151093546767E-3</v>
      </c>
    </row>
    <row r="1565" spans="1:6">
      <c r="A1565" s="111">
        <f t="shared" si="260"/>
        <v>44909</v>
      </c>
      <c r="B1565" s="112">
        <f t="shared" ref="B1565:F1565" si="323">IFERROR((B323/B322-1),"")</f>
        <v>2.4155530447658169E-3</v>
      </c>
      <c r="C1565" s="112">
        <f t="shared" si="323"/>
        <v>1.7021385188587645E-2</v>
      </c>
      <c r="D1565" s="112">
        <f t="shared" si="323"/>
        <v>1.0407904624115449E-2</v>
      </c>
      <c r="E1565" s="112">
        <f t="shared" si="323"/>
        <v>-3.806576227536218E-3</v>
      </c>
      <c r="F1565" s="112">
        <f t="shared" si="323"/>
        <v>2.8106190885639482E-3</v>
      </c>
    </row>
    <row r="1566" spans="1:6">
      <c r="A1566" s="111">
        <f t="shared" si="260"/>
        <v>44910</v>
      </c>
      <c r="B1566" s="112">
        <f t="shared" ref="B1566:F1566" si="324">IFERROR((B324/B323-1),"")</f>
        <v>3.8866648528901315E-4</v>
      </c>
      <c r="C1566" s="112">
        <f t="shared" si="324"/>
        <v>-2.7613981381577335E-2</v>
      </c>
      <c r="D1566" s="112">
        <f t="shared" si="324"/>
        <v>-7.903120178486156E-3</v>
      </c>
      <c r="E1566" s="112">
        <f t="shared" si="324"/>
        <v>1.2642583395695794E-2</v>
      </c>
      <c r="F1566" s="112">
        <f t="shared" si="324"/>
        <v>-1.3150913972444056E-2</v>
      </c>
    </row>
    <row r="1567" spans="1:6">
      <c r="A1567" s="111">
        <f t="shared" ref="A1567:A1630" si="325">A325</f>
        <v>44911</v>
      </c>
      <c r="B1567" s="112">
        <f t="shared" ref="B1567:F1567" si="326">IFERROR((B325/B324-1),"")</f>
        <v>-2.7468044601577479E-2</v>
      </c>
      <c r="C1567" s="112">
        <f t="shared" si="326"/>
        <v>1.9960002580478697E-2</v>
      </c>
      <c r="D1567" s="112">
        <f t="shared" si="326"/>
        <v>-3.576902851900321E-2</v>
      </c>
      <c r="E1567" s="112">
        <f t="shared" si="326"/>
        <v>-4.6467881176589509E-3</v>
      </c>
      <c r="F1567" s="112">
        <f t="shared" si="326"/>
        <v>-7.9229319735649728E-3</v>
      </c>
    </row>
    <row r="1568" spans="1:6">
      <c r="A1568" s="111">
        <f t="shared" si="325"/>
        <v>44914</v>
      </c>
      <c r="B1568" s="112">
        <f t="shared" ref="B1568:F1568" si="327">IFERROR((B326/B325-1),"")</f>
        <v>3.1200063918184862E-2</v>
      </c>
      <c r="C1568" s="112">
        <f t="shared" si="327"/>
        <v>-1.4408237615746611E-2</v>
      </c>
      <c r="D1568" s="112">
        <f t="shared" si="327"/>
        <v>2.0178227472093857E-2</v>
      </c>
      <c r="E1568" s="112">
        <f t="shared" si="327"/>
        <v>1.8403941773348143E-2</v>
      </c>
      <c r="F1568" s="112">
        <f t="shared" si="327"/>
        <v>8.2899994526246523E-3</v>
      </c>
    </row>
    <row r="1569" spans="1:6">
      <c r="A1569" s="111">
        <f t="shared" si="325"/>
        <v>44915</v>
      </c>
      <c r="B1569" s="112">
        <f t="shared" ref="B1569:F1569" si="328">IFERROR((B327/B326-1),"")</f>
        <v>-1.193197226203857E-2</v>
      </c>
      <c r="C1569" s="112">
        <f t="shared" si="328"/>
        <v>7.7008971545167171E-5</v>
      </c>
      <c r="D1569" s="112">
        <f t="shared" si="328"/>
        <v>-5.9826435095141628E-3</v>
      </c>
      <c r="E1569" s="112">
        <f t="shared" si="328"/>
        <v>-3.8550756655252316E-3</v>
      </c>
      <c r="F1569" s="112">
        <f t="shared" si="328"/>
        <v>-1.9082052827157359E-3</v>
      </c>
    </row>
    <row r="1570" spans="1:6">
      <c r="A1570" s="111">
        <f t="shared" si="325"/>
        <v>44916</v>
      </c>
      <c r="B1570" s="112">
        <f t="shared" ref="B1570:F1570" si="329">IFERROR((B328/B327-1),"")</f>
        <v>-7.4887277004508368E-3</v>
      </c>
      <c r="C1570" s="112">
        <f t="shared" si="329"/>
        <v>6.2757478920416609E-3</v>
      </c>
      <c r="D1570" s="112">
        <f t="shared" si="329"/>
        <v>8.6503804565478681E-3</v>
      </c>
      <c r="E1570" s="112">
        <f t="shared" si="329"/>
        <v>-2.0004213747906952E-2</v>
      </c>
      <c r="F1570" s="112">
        <f t="shared" si="329"/>
        <v>-1.0127656334136592E-2</v>
      </c>
    </row>
    <row r="1571" spans="1:6">
      <c r="A1571" s="111">
        <f t="shared" si="325"/>
        <v>44917</v>
      </c>
      <c r="B1571" s="112">
        <f t="shared" ref="B1571:F1571" si="330">IFERROR((B329/B328-1),"")</f>
        <v>-2.5084933238524121E-2</v>
      </c>
      <c r="C1571" s="112">
        <f t="shared" si="330"/>
        <v>-8.8766452402816443E-3</v>
      </c>
      <c r="D1571" s="112">
        <f t="shared" si="330"/>
        <v>-1.3227303150276204E-2</v>
      </c>
      <c r="E1571" s="112">
        <f t="shared" si="330"/>
        <v>-6.2007083290902543E-3</v>
      </c>
      <c r="F1571" s="112">
        <f t="shared" si="330"/>
        <v>-3.9425026512299732E-3</v>
      </c>
    </row>
    <row r="1572" spans="1:6">
      <c r="A1572" s="111">
        <f t="shared" si="325"/>
        <v>44918</v>
      </c>
      <c r="B1572" s="112">
        <f t="shared" ref="B1572:F1572" si="331">IFERROR((B330/B329-1),"")</f>
        <v>-7.5772924348637138E-3</v>
      </c>
      <c r="C1572" s="112">
        <f t="shared" si="331"/>
        <v>-3.8642680667078433E-2</v>
      </c>
      <c r="D1572" s="112">
        <f t="shared" si="331"/>
        <v>-8.9210783468414157E-3</v>
      </c>
      <c r="E1572" s="112">
        <f t="shared" si="331"/>
        <v>-1.3560441312095106E-2</v>
      </c>
      <c r="F1572" s="112">
        <f t="shared" si="331"/>
        <v>-1.7683224519855267E-2</v>
      </c>
    </row>
    <row r="1573" spans="1:6">
      <c r="A1573" s="111">
        <f t="shared" si="325"/>
        <v>44921</v>
      </c>
      <c r="B1573" s="112">
        <f t="shared" ref="B1573:F1573" si="332">IFERROR((B331/B330-1),"")</f>
        <v>1.0166585007349349E-2</v>
      </c>
      <c r="C1573" s="112">
        <f t="shared" si="332"/>
        <v>9.4232287943889492E-3</v>
      </c>
      <c r="D1573" s="112">
        <f t="shared" si="332"/>
        <v>-1.4348849888062731E-2</v>
      </c>
      <c r="E1573" s="112">
        <f t="shared" si="332"/>
        <v>1.0030240771947918E-2</v>
      </c>
      <c r="F1573" s="112">
        <f t="shared" si="332"/>
        <v>1.1669699216029894E-2</v>
      </c>
    </row>
    <row r="1574" spans="1:6">
      <c r="A1574" s="111">
        <f t="shared" si="325"/>
        <v>44922</v>
      </c>
      <c r="B1574" s="112">
        <f t="shared" ref="B1574:F1574" si="333">IFERROR((B332/B331-1),"")</f>
        <v>-2.2634493351116891E-3</v>
      </c>
      <c r="C1574" s="112">
        <f t="shared" si="333"/>
        <v>2.7501889594632178E-2</v>
      </c>
      <c r="D1574" s="112">
        <f t="shared" si="333"/>
        <v>5.2958621663590222E-4</v>
      </c>
      <c r="E1574" s="112">
        <f t="shared" si="333"/>
        <v>-1.3941741803513708E-3</v>
      </c>
      <c r="F1574" s="112">
        <f t="shared" si="333"/>
        <v>6.5335894219133994E-3</v>
      </c>
    </row>
    <row r="1575" spans="1:6">
      <c r="A1575" s="111">
        <f t="shared" si="325"/>
        <v>44923</v>
      </c>
      <c r="B1575" s="112">
        <f t="shared" ref="B1575:F1575" si="334">IFERROR((B333/B332-1),"")</f>
        <v>1.4664776179866168E-2</v>
      </c>
      <c r="C1575" s="112">
        <f t="shared" si="334"/>
        <v>1.0363028637061733E-2</v>
      </c>
      <c r="D1575" s="112">
        <f t="shared" si="334"/>
        <v>4.469694296433957E-4</v>
      </c>
      <c r="E1575" s="112">
        <f t="shared" si="334"/>
        <v>3.8221662756765529E-3</v>
      </c>
      <c r="F1575" s="112">
        <f t="shared" si="334"/>
        <v>-5.4047197542506087E-4</v>
      </c>
    </row>
    <row r="1576" spans="1:6">
      <c r="A1576" s="111">
        <f t="shared" si="325"/>
        <v>44924</v>
      </c>
      <c r="B1576" s="112">
        <f t="shared" ref="B1576:F1576" si="335">IFERROR((B334/B333-1),"")</f>
        <v>7.9849882221423307E-3</v>
      </c>
      <c r="C1576" s="112">
        <f t="shared" si="335"/>
        <v>2.1714139736883631E-4</v>
      </c>
      <c r="D1576" s="112">
        <f t="shared" si="335"/>
        <v>1.845864440656042E-3</v>
      </c>
      <c r="E1576" s="112">
        <f t="shared" si="335"/>
        <v>-8.5842291863791331E-3</v>
      </c>
      <c r="F1576" s="112">
        <f t="shared" si="335"/>
        <v>3.7798317009243299E-3</v>
      </c>
    </row>
    <row r="1577" spans="1:6">
      <c r="A1577" s="111">
        <f t="shared" si="325"/>
        <v>44925</v>
      </c>
      <c r="B1577" s="112">
        <f t="shared" ref="B1577:F1577" si="336">IFERROR((B335/B334-1),"")</f>
        <v>-1.0417079256941353E-2</v>
      </c>
      <c r="C1577" s="112">
        <f t="shared" si="336"/>
        <v>-7.981406515381817E-3</v>
      </c>
      <c r="D1577" s="112">
        <f t="shared" si="336"/>
        <v>-5.4100361451439039E-3</v>
      </c>
      <c r="E1577" s="112">
        <f t="shared" si="336"/>
        <v>-9.394476002115848E-3</v>
      </c>
      <c r="F1577" s="112">
        <f t="shared" si="336"/>
        <v>-4.7111208839536456E-3</v>
      </c>
    </row>
    <row r="1578" spans="1:6">
      <c r="A1578" s="111">
        <f t="shared" si="325"/>
        <v>44928</v>
      </c>
      <c r="B1578" s="112">
        <f t="shared" ref="B1578:F1578" si="337">IFERROR((B336/B335-1),"")</f>
        <v>1.0926993275696351E-2</v>
      </c>
      <c r="C1578" s="112">
        <f t="shared" si="337"/>
        <v>1.7275559331634049E-2</v>
      </c>
      <c r="D1578" s="112">
        <f t="shared" si="337"/>
        <v>-5.8996354025320219E-4</v>
      </c>
      <c r="E1578" s="112">
        <f t="shared" si="337"/>
        <v>-3.5519855134709122E-3</v>
      </c>
      <c r="F1578" s="112">
        <f t="shared" si="337"/>
        <v>5.0896698756719427E-3</v>
      </c>
    </row>
    <row r="1579" spans="1:6">
      <c r="A1579" s="111">
        <f t="shared" si="325"/>
        <v>44929</v>
      </c>
      <c r="B1579" s="112">
        <f t="shared" ref="B1579:F1579" si="338">IFERROR((B337/B336-1),"")</f>
        <v>-1.0729698697390821E-2</v>
      </c>
      <c r="C1579" s="112">
        <f t="shared" si="338"/>
        <v>1.7298542215023138E-2</v>
      </c>
      <c r="D1579" s="112">
        <f t="shared" si="338"/>
        <v>7.792115795561827E-4</v>
      </c>
      <c r="E1579" s="112">
        <f t="shared" si="338"/>
        <v>-1.1719068532087484E-2</v>
      </c>
      <c r="F1579" s="112">
        <f t="shared" si="338"/>
        <v>1.9288416783669327E-3</v>
      </c>
    </row>
    <row r="1580" spans="1:6">
      <c r="A1580" s="111">
        <f t="shared" si="325"/>
        <v>44930</v>
      </c>
      <c r="B1580" s="112">
        <f t="shared" ref="B1580:F1580" si="339">IFERROR((B338/B337-1),"")</f>
        <v>-1.0485872088369375E-2</v>
      </c>
      <c r="C1580" s="112">
        <f t="shared" si="339"/>
        <v>-1.748951997114101E-2</v>
      </c>
      <c r="D1580" s="112">
        <f t="shared" si="339"/>
        <v>3.5745042292403273E-3</v>
      </c>
      <c r="E1580" s="112">
        <f t="shared" si="339"/>
        <v>-1.6148614401736427E-3</v>
      </c>
      <c r="F1580" s="112">
        <f t="shared" si="339"/>
        <v>-1.0398984234240349E-2</v>
      </c>
    </row>
    <row r="1581" spans="1:6">
      <c r="A1581" s="111">
        <f t="shared" si="325"/>
        <v>44931</v>
      </c>
      <c r="B1581" s="112">
        <f t="shared" ref="B1581:F1581" si="340">IFERROR((B339/B338-1),"")</f>
        <v>1.3306908267270767E-2</v>
      </c>
      <c r="C1581" s="112">
        <f t="shared" si="340"/>
        <v>-5.0136101791480314E-3</v>
      </c>
      <c r="D1581" s="112">
        <f t="shared" si="340"/>
        <v>1.03444222405078E-2</v>
      </c>
      <c r="E1581" s="112">
        <f t="shared" si="340"/>
        <v>1.8465171192443952E-2</v>
      </c>
      <c r="F1581" s="112">
        <f t="shared" si="340"/>
        <v>-2.8155041165662809E-3</v>
      </c>
    </row>
    <row r="1582" spans="1:6">
      <c r="A1582" s="111">
        <f t="shared" si="325"/>
        <v>44932</v>
      </c>
      <c r="B1582" s="112">
        <f t="shared" ref="B1582:F1582" si="341">IFERROR((B340/B339-1),"")</f>
        <v>9.7792679519419501E-3</v>
      </c>
      <c r="C1582" s="112">
        <f t="shared" si="341"/>
        <v>-7.240199010039472E-3</v>
      </c>
      <c r="D1582" s="112">
        <f t="shared" si="341"/>
        <v>-5.9918557300755459E-3</v>
      </c>
      <c r="E1582" s="112">
        <f t="shared" si="341"/>
        <v>1.0630158582954685E-2</v>
      </c>
      <c r="F1582" s="112">
        <f t="shared" si="341"/>
        <v>-7.3754387330030591E-3</v>
      </c>
    </row>
    <row r="1583" spans="1:6">
      <c r="A1583" s="111">
        <f t="shared" si="325"/>
        <v>44935</v>
      </c>
      <c r="B1583" s="112">
        <f t="shared" ref="B1583:F1583" si="342">IFERROR((B341/B340-1),"")</f>
        <v>3.593169420507536E-2</v>
      </c>
      <c r="C1583" s="112">
        <f t="shared" si="342"/>
        <v>2.9825685721609929E-2</v>
      </c>
      <c r="D1583" s="112">
        <f t="shared" si="342"/>
        <v>1.4572482003862408E-2</v>
      </c>
      <c r="E1583" s="112">
        <f t="shared" si="342"/>
        <v>1.2043908649821411E-3</v>
      </c>
      <c r="F1583" s="112">
        <f t="shared" si="342"/>
        <v>1.3536251116355702E-2</v>
      </c>
    </row>
    <row r="1584" spans="1:6">
      <c r="A1584" s="111">
        <f t="shared" si="325"/>
        <v>44936</v>
      </c>
      <c r="B1584" s="112">
        <f t="shared" ref="B1584:F1584" si="343">IFERROR((B342/B341-1),"")</f>
        <v>3.4723547143893363E-3</v>
      </c>
      <c r="C1584" s="112">
        <f t="shared" si="343"/>
        <v>-1.0691127235615605E-2</v>
      </c>
      <c r="D1584" s="112">
        <f t="shared" si="343"/>
        <v>-1.0452238117212631E-2</v>
      </c>
      <c r="E1584" s="112">
        <f t="shared" si="343"/>
        <v>-8.580986641614885E-3</v>
      </c>
      <c r="F1584" s="112">
        <f t="shared" si="343"/>
        <v>-1.0333569045146151E-2</v>
      </c>
    </row>
    <row r="1585" spans="1:6">
      <c r="A1585" s="111">
        <f t="shared" si="325"/>
        <v>44937</v>
      </c>
      <c r="B1585" s="112">
        <f t="shared" ref="B1585:F1585" si="344">IFERROR((B343/B342-1),"")</f>
        <v>-1.7491824473345741E-3</v>
      </c>
      <c r="C1585" s="112">
        <f t="shared" si="344"/>
        <v>-9.636674718196403E-3</v>
      </c>
      <c r="D1585" s="112">
        <f t="shared" si="344"/>
        <v>-6.2489798773521787E-3</v>
      </c>
      <c r="E1585" s="112">
        <f t="shared" si="344"/>
        <v>-2.9004934305557617E-3</v>
      </c>
      <c r="F1585" s="112">
        <f t="shared" si="344"/>
        <v>-1.0299121085846075E-3</v>
      </c>
    </row>
    <row r="1586" spans="1:6">
      <c r="A1586" s="111">
        <f t="shared" si="325"/>
        <v>44938</v>
      </c>
      <c r="B1586" s="112">
        <f t="shared" ref="B1586:F1586" si="345">IFERROR((B344/B343-1),"")</f>
        <v>5.5614810300168571E-3</v>
      </c>
      <c r="C1586" s="112">
        <f t="shared" si="345"/>
        <v>-8.1044688905261841E-3</v>
      </c>
      <c r="D1586" s="112">
        <f t="shared" si="345"/>
        <v>1.1426828409864198E-2</v>
      </c>
      <c r="E1586" s="112">
        <f t="shared" si="345"/>
        <v>-3.4883990450362834E-3</v>
      </c>
      <c r="F1586" s="112">
        <f t="shared" si="345"/>
        <v>-2.0954754494096894E-3</v>
      </c>
    </row>
    <row r="1587" spans="1:6">
      <c r="A1587" s="111">
        <f t="shared" si="325"/>
        <v>44939</v>
      </c>
      <c r="B1587" s="112">
        <f t="shared" ref="B1587:F1587" si="346">IFERROR((B345/B344-1),"")</f>
        <v>6.250473520721167E-3</v>
      </c>
      <c r="C1587" s="112">
        <f t="shared" si="346"/>
        <v>-5.0586547820297145E-3</v>
      </c>
      <c r="D1587" s="112">
        <f t="shared" si="346"/>
        <v>2.2734654108478303E-3</v>
      </c>
      <c r="E1587" s="112">
        <f t="shared" si="346"/>
        <v>8.5712624294935758E-3</v>
      </c>
      <c r="F1587" s="112">
        <f t="shared" si="346"/>
        <v>5.5100738036306662E-3</v>
      </c>
    </row>
    <row r="1588" spans="1:6">
      <c r="A1588" s="111">
        <f t="shared" si="325"/>
        <v>44942</v>
      </c>
      <c r="B1588" s="112">
        <f t="shared" ref="B1588:F1588" si="347">IFERROR((B346/B345-1),"")</f>
        <v>-9.4492338967738787E-3</v>
      </c>
      <c r="C1588" s="112">
        <f t="shared" si="347"/>
        <v>3.6169856736476547E-3</v>
      </c>
      <c r="D1588" s="112">
        <f t="shared" si="347"/>
        <v>1.3077492824737913E-3</v>
      </c>
      <c r="E1588" s="112">
        <f t="shared" si="347"/>
        <v>-6.1114826687576063E-3</v>
      </c>
      <c r="F1588" s="112">
        <f t="shared" si="347"/>
        <v>-3.4388469977613134E-3</v>
      </c>
    </row>
    <row r="1589" spans="1:6">
      <c r="A1589" s="111">
        <f t="shared" si="325"/>
        <v>44943</v>
      </c>
      <c r="B1589" s="112">
        <f t="shared" ref="B1589:F1589" si="348">IFERROR((B347/B346-1),"")</f>
        <v>3.9905746427486566E-3</v>
      </c>
      <c r="C1589" s="112">
        <f t="shared" si="348"/>
        <v>5.0019238168526048E-3</v>
      </c>
      <c r="D1589" s="112">
        <f t="shared" si="348"/>
        <v>5.9407542677500924E-3</v>
      </c>
      <c r="E1589" s="112">
        <f t="shared" si="348"/>
        <v>1.2170503062929328E-2</v>
      </c>
      <c r="F1589" s="112">
        <f t="shared" si="348"/>
        <v>8.8545028318203212E-3</v>
      </c>
    </row>
    <row r="1590" spans="1:6">
      <c r="A1590" s="111">
        <f t="shared" si="325"/>
        <v>44944</v>
      </c>
      <c r="B1590" s="112">
        <f t="shared" ref="B1590:F1590" si="349">IFERROR((B348/B347-1),"")</f>
        <v>9.8421471022458462E-4</v>
      </c>
      <c r="C1590" s="112">
        <f t="shared" si="349"/>
        <v>1.9908116385909391E-3</v>
      </c>
      <c r="D1590" s="112">
        <f t="shared" si="349"/>
        <v>2.8953869133108157E-3</v>
      </c>
      <c r="E1590" s="112">
        <f t="shared" si="349"/>
        <v>7.2557627720910567E-3</v>
      </c>
      <c r="F1590" s="112">
        <f t="shared" si="349"/>
        <v>6.2066215041016726E-3</v>
      </c>
    </row>
    <row r="1591" spans="1:6">
      <c r="A1591" s="111">
        <f t="shared" si="325"/>
        <v>44945</v>
      </c>
      <c r="B1591" s="112">
        <f t="shared" ref="B1591:F1591" si="350">IFERROR((B349/B348-1),"")</f>
        <v>-1.9664939681580673E-3</v>
      </c>
      <c r="C1591" s="112">
        <f t="shared" si="350"/>
        <v>1.0380049926129731E-2</v>
      </c>
      <c r="D1591" s="112">
        <f t="shared" si="350"/>
        <v>-7.3665036030565734E-3</v>
      </c>
      <c r="E1591" s="112">
        <f t="shared" si="350"/>
        <v>-4.8478503311559784E-3</v>
      </c>
      <c r="F1591" s="112">
        <f t="shared" si="350"/>
        <v>-3.1653670311885262E-3</v>
      </c>
    </row>
    <row r="1592" spans="1:6">
      <c r="A1592" s="111">
        <f t="shared" si="325"/>
        <v>44946</v>
      </c>
      <c r="B1592" s="112">
        <f t="shared" ref="B1592:F1592" si="351">IFERROR((B350/B349-1),"")</f>
        <v>-3.6376037285438256E-3</v>
      </c>
      <c r="C1592" s="112">
        <f t="shared" si="351"/>
        <v>3.4148063178328858E-2</v>
      </c>
      <c r="D1592" s="112">
        <f t="shared" si="351"/>
        <v>4.2472646692210958E-3</v>
      </c>
      <c r="E1592" s="112">
        <f t="shared" si="351"/>
        <v>-1.2224407647973612E-2</v>
      </c>
      <c r="F1592" s="112">
        <f t="shared" si="351"/>
        <v>-4.4290183539181793E-3</v>
      </c>
    </row>
    <row r="1593" spans="1:6">
      <c r="A1593" s="111">
        <f t="shared" si="325"/>
        <v>44949</v>
      </c>
      <c r="B1593" s="112">
        <f t="shared" ref="B1593:F1593" si="352">IFERROR((B351/B350-1),"")</f>
        <v>1.0420231983266914E-2</v>
      </c>
      <c r="C1593" s="112">
        <f t="shared" si="352"/>
        <v>6.2627986348122944E-2</v>
      </c>
      <c r="D1593" s="112">
        <f t="shared" si="352"/>
        <v>-2.9306302578954169E-3</v>
      </c>
      <c r="E1593" s="112">
        <f t="shared" si="352"/>
        <v>4.3760636265759434E-3</v>
      </c>
      <c r="F1593" s="112">
        <f t="shared" si="352"/>
        <v>5.0422545367809768E-3</v>
      </c>
    </row>
    <row r="1594" spans="1:6">
      <c r="A1594" s="111">
        <f t="shared" si="325"/>
        <v>44950</v>
      </c>
      <c r="B1594" s="112">
        <f t="shared" ref="B1594:F1594" si="353">IFERROR((B352/B351-1),"")</f>
        <v>-3.4250442244720958E-3</v>
      </c>
      <c r="C1594" s="112">
        <f t="shared" si="353"/>
        <v>-8.0066071715341192E-3</v>
      </c>
      <c r="D1594" s="112">
        <f t="shared" si="353"/>
        <v>-1.9618013532049394E-2</v>
      </c>
      <c r="E1594" s="112">
        <f t="shared" si="353"/>
        <v>1.341678481275288E-2</v>
      </c>
      <c r="F1594" s="112">
        <f t="shared" si="353"/>
        <v>-1.3798013637988937E-5</v>
      </c>
    </row>
    <row r="1595" spans="1:6">
      <c r="A1595" s="111">
        <f t="shared" si="325"/>
        <v>44951</v>
      </c>
      <c r="B1595" s="112">
        <f t="shared" ref="B1595:F1595" si="354">IFERROR((B353/B352-1),"")</f>
        <v>-9.3662663343153651E-3</v>
      </c>
      <c r="C1595" s="112">
        <f t="shared" si="354"/>
        <v>-1.1864014801110101E-2</v>
      </c>
      <c r="D1595" s="112">
        <f t="shared" si="354"/>
        <v>-1.2180353888660123E-2</v>
      </c>
      <c r="E1595" s="112">
        <f t="shared" si="354"/>
        <v>-1.7970678222496428E-3</v>
      </c>
      <c r="F1595" s="112">
        <f t="shared" si="354"/>
        <v>-1.2492893924926696E-2</v>
      </c>
    </row>
    <row r="1596" spans="1:6">
      <c r="A1596" s="111">
        <f t="shared" si="325"/>
        <v>44953</v>
      </c>
      <c r="B1596" s="112">
        <f t="shared" ref="B1596:F1596" si="355">IFERROR((B354/B353-1),"")</f>
        <v>6.6336256195196341E-3</v>
      </c>
      <c r="C1596" s="112">
        <f t="shared" si="355"/>
        <v>5.0085426077188799E-3</v>
      </c>
      <c r="D1596" s="112">
        <f t="shared" si="355"/>
        <v>2.6910579749818364E-2</v>
      </c>
      <c r="E1596" s="112">
        <f t="shared" si="355"/>
        <v>-1.7661201189567155E-3</v>
      </c>
      <c r="F1596" s="112">
        <f t="shared" si="355"/>
        <v>-1.6074268036742945E-2</v>
      </c>
    </row>
    <row r="1597" spans="1:6">
      <c r="A1597" s="111">
        <f t="shared" si="325"/>
        <v>44956</v>
      </c>
      <c r="B1597" s="112">
        <f t="shared" ref="B1597:F1597" si="356">IFERROR((B355/B354-1),"")</f>
        <v>8.6350552946521386E-3</v>
      </c>
      <c r="C1597" s="112">
        <f t="shared" si="356"/>
        <v>2.9004913718823522E-2</v>
      </c>
      <c r="D1597" s="112">
        <f t="shared" si="356"/>
        <v>3.4306907742234216E-3</v>
      </c>
      <c r="E1597" s="112">
        <f t="shared" si="356"/>
        <v>6.0154323806045351E-3</v>
      </c>
      <c r="F1597" s="112">
        <f t="shared" si="356"/>
        <v>2.5334647402490695E-3</v>
      </c>
    </row>
    <row r="1598" spans="1:6">
      <c r="A1598" s="111">
        <f t="shared" si="325"/>
        <v>44957</v>
      </c>
      <c r="B1598" s="112">
        <f t="shared" ref="B1598:F1598" si="357">IFERROR((B356/B355-1),"")</f>
        <v>3.5408531090417528E-2</v>
      </c>
      <c r="C1598" s="112">
        <f t="shared" si="357"/>
        <v>-8.9959603046180225E-3</v>
      </c>
      <c r="D1598" s="112">
        <f t="shared" si="357"/>
        <v>-1.0742007022730427E-3</v>
      </c>
      <c r="E1598" s="112">
        <f t="shared" si="357"/>
        <v>-2.0230328473364589E-2</v>
      </c>
      <c r="F1598" s="112">
        <f t="shared" si="357"/>
        <v>7.4791984792299537E-4</v>
      </c>
    </row>
    <row r="1599" spans="1:6">
      <c r="A1599" s="111">
        <f t="shared" si="325"/>
        <v>44958</v>
      </c>
      <c r="B1599" s="112">
        <f t="shared" ref="B1599:F1599" si="358">IFERROR((B357/B356-1),"")</f>
        <v>-1.9365367180417037E-2</v>
      </c>
      <c r="C1599" s="112">
        <f t="shared" si="358"/>
        <v>-5.9718194067003294E-3</v>
      </c>
      <c r="D1599" s="112">
        <f t="shared" si="358"/>
        <v>6.3249424742433114E-3</v>
      </c>
      <c r="E1599" s="112">
        <f t="shared" si="358"/>
        <v>1.2356401704650688E-2</v>
      </c>
      <c r="F1599" s="112">
        <f t="shared" si="358"/>
        <v>-2.5959466995808533E-3</v>
      </c>
    </row>
    <row r="1600" spans="1:6">
      <c r="A1600" s="111">
        <f t="shared" si="325"/>
        <v>44959</v>
      </c>
      <c r="B1600" s="112">
        <f t="shared" ref="B1600:F1600" si="359">IFERROR((B358/B357-1),"")</f>
        <v>2.5886616619219538E-4</v>
      </c>
      <c r="C1600" s="112">
        <f t="shared" si="359"/>
        <v>1.8643386364941783E-2</v>
      </c>
      <c r="D1600" s="112">
        <f t="shared" si="359"/>
        <v>4.2743881420199692E-3</v>
      </c>
      <c r="E1600" s="112">
        <f t="shared" si="359"/>
        <v>4.6237088047220931E-2</v>
      </c>
      <c r="F1600" s="112">
        <f t="shared" si="359"/>
        <v>-3.3491709382771351E-4</v>
      </c>
    </row>
    <row r="1601" spans="1:6">
      <c r="A1601" s="111">
        <f t="shared" si="325"/>
        <v>44960</v>
      </c>
      <c r="B1601" s="112">
        <f t="shared" ref="B1601:F1601" si="360">IFERROR((B359/B358-1),"")</f>
        <v>2.632357290742382E-2</v>
      </c>
      <c r="C1601" s="112">
        <f t="shared" si="360"/>
        <v>-2.8259545772344796E-2</v>
      </c>
      <c r="D1601" s="112">
        <f t="shared" si="360"/>
        <v>-2.688725658451796E-3</v>
      </c>
      <c r="E1601" s="112">
        <f t="shared" si="360"/>
        <v>1.2201922130744336E-2</v>
      </c>
      <c r="F1601" s="112">
        <f t="shared" si="360"/>
        <v>1.3835574433289199E-2</v>
      </c>
    </row>
    <row r="1602" spans="1:6">
      <c r="A1602" s="111">
        <f t="shared" si="325"/>
        <v>44963</v>
      </c>
      <c r="B1602" s="112">
        <f t="shared" ref="B1602:F1602" si="361">IFERROR((B360/B359-1),"")</f>
        <v>-8.6455331412104153E-3</v>
      </c>
      <c r="C1602" s="112">
        <f t="shared" si="361"/>
        <v>2.1352643550107686E-3</v>
      </c>
      <c r="D1602" s="112">
        <f t="shared" si="361"/>
        <v>-2.0191127376185669E-3</v>
      </c>
      <c r="E1602" s="112">
        <f t="shared" si="361"/>
        <v>-6.9131641768493957E-4</v>
      </c>
      <c r="F1602" s="112">
        <f t="shared" si="361"/>
        <v>-5.0100677437332486E-3</v>
      </c>
    </row>
    <row r="1603" spans="1:6">
      <c r="A1603" s="111">
        <f t="shared" si="325"/>
        <v>44964</v>
      </c>
      <c r="B1603" s="112">
        <f t="shared" ref="B1603:F1603" si="362">IFERROR((B361/B360-1),"")</f>
        <v>-6.7587209302325535E-3</v>
      </c>
      <c r="C1603" s="112">
        <f t="shared" si="362"/>
        <v>-3.5203112696280403E-3</v>
      </c>
      <c r="D1603" s="112">
        <f t="shared" si="362"/>
        <v>2.085273189180481E-2</v>
      </c>
      <c r="E1603" s="112">
        <f t="shared" si="362"/>
        <v>-4.0642936668358054E-3</v>
      </c>
      <c r="F1603" s="112">
        <f t="shared" si="362"/>
        <v>-2.4261734010334601E-3</v>
      </c>
    </row>
    <row r="1604" spans="1:6">
      <c r="A1604" s="111">
        <f t="shared" si="325"/>
        <v>44965</v>
      </c>
      <c r="B1604" s="112">
        <f t="shared" ref="B1604:F1604" si="363">IFERROR((B362/B361-1),"")</f>
        <v>4.6462281407770867E-3</v>
      </c>
      <c r="C1604" s="112">
        <f t="shared" si="363"/>
        <v>6.2404127736717108E-3</v>
      </c>
      <c r="D1604" s="112">
        <f t="shared" si="363"/>
        <v>1.0708856483306217E-2</v>
      </c>
      <c r="E1604" s="112">
        <f t="shared" si="363"/>
        <v>-2.6156701433734941E-3</v>
      </c>
      <c r="F1604" s="112">
        <f t="shared" si="363"/>
        <v>8.475580509550662E-3</v>
      </c>
    </row>
    <row r="1605" spans="1:6">
      <c r="A1605" s="111">
        <f t="shared" si="325"/>
        <v>44966</v>
      </c>
      <c r="B1605" s="112">
        <f t="shared" ref="B1605:F1605" si="364">IFERROR((B363/B362-1),"")</f>
        <v>-6.1905975747411635E-4</v>
      </c>
      <c r="C1605" s="112">
        <f t="shared" si="364"/>
        <v>2.5522872420284948E-3</v>
      </c>
      <c r="D1605" s="112">
        <f t="shared" si="364"/>
        <v>-6.6847898747668388E-5</v>
      </c>
      <c r="E1605" s="112">
        <f t="shared" si="364"/>
        <v>9.260468355532403E-3</v>
      </c>
      <c r="F1605" s="112">
        <f t="shared" si="364"/>
        <v>1.2170078951638796E-3</v>
      </c>
    </row>
    <row r="1606" spans="1:6">
      <c r="A1606" s="111">
        <f t="shared" si="325"/>
        <v>44967</v>
      </c>
      <c r="B1606" s="112">
        <f t="shared" ref="B1606:F1606" si="365">IFERROR((B364/B363-1),"")</f>
        <v>-4.9191080017489952E-3</v>
      </c>
      <c r="C1606" s="112">
        <f t="shared" si="365"/>
        <v>-1.4284068655684434E-3</v>
      </c>
      <c r="D1606" s="112">
        <f t="shared" si="365"/>
        <v>2.6963788300835567E-3</v>
      </c>
      <c r="E1606" s="112">
        <f t="shared" si="365"/>
        <v>-3.1591318317575334E-3</v>
      </c>
      <c r="F1606" s="112">
        <f t="shared" si="365"/>
        <v>-2.0650014390740656E-3</v>
      </c>
    </row>
    <row r="1607" spans="1:6">
      <c r="A1607" s="111">
        <f t="shared" si="325"/>
        <v>44970</v>
      </c>
      <c r="B1607" s="112">
        <f t="shared" ref="B1607:F1607" si="366">IFERROR((B365/B364-1),"")</f>
        <v>-9.1178732286060216E-3</v>
      </c>
      <c r="C1607" s="112">
        <f t="shared" si="366"/>
        <v>-6.9688300302240269E-2</v>
      </c>
      <c r="D1607" s="112">
        <f t="shared" si="366"/>
        <v>5.578273624322172E-3</v>
      </c>
      <c r="E1607" s="112">
        <f t="shared" si="366"/>
        <v>-7.5064356328552462E-3</v>
      </c>
      <c r="F1607" s="112">
        <f t="shared" si="366"/>
        <v>-4.7937725758125938E-3</v>
      </c>
    </row>
    <row r="1608" spans="1:6">
      <c r="A1608" s="111">
        <f t="shared" si="325"/>
        <v>44971</v>
      </c>
      <c r="B1608" s="112">
        <f t="shared" ref="B1608:F1608" si="367">IFERROR((B366/B365-1),"")</f>
        <v>7.5018477457502453E-3</v>
      </c>
      <c r="C1608" s="112">
        <f t="shared" si="367"/>
        <v>1.1817223634447149E-2</v>
      </c>
      <c r="D1608" s="112">
        <f t="shared" si="367"/>
        <v>3.0278250491744263E-3</v>
      </c>
      <c r="E1608" s="112">
        <f t="shared" si="367"/>
        <v>2.5828247602441845E-3</v>
      </c>
      <c r="F1608" s="112">
        <f t="shared" si="367"/>
        <v>8.9443978639234256E-3</v>
      </c>
    </row>
    <row r="1609" spans="1:6">
      <c r="A1609" s="111">
        <f t="shared" si="325"/>
        <v>44972</v>
      </c>
      <c r="B1609" s="112">
        <f t="shared" ref="B1609:F1609" si="368">IFERROR((B367/B366-1),"")</f>
        <v>1.1884238711806994E-2</v>
      </c>
      <c r="C1609" s="112">
        <f t="shared" si="368"/>
        <v>8.6031520380400739E-3</v>
      </c>
      <c r="D1609" s="112">
        <f t="shared" si="368"/>
        <v>-4.08734355720064E-3</v>
      </c>
      <c r="E1609" s="112">
        <f t="shared" si="368"/>
        <v>-2.4783416850551188E-3</v>
      </c>
      <c r="F1609" s="112">
        <f t="shared" si="368"/>
        <v>4.7964706899388254E-3</v>
      </c>
    </row>
    <row r="1610" spans="1:6">
      <c r="A1610" s="111">
        <f t="shared" si="325"/>
        <v>44973</v>
      </c>
      <c r="B1610" s="112">
        <f t="shared" ref="B1610:F1610" si="369">IFERROR((B368/B367-1),"")</f>
        <v>-8.1197665567113164E-3</v>
      </c>
      <c r="C1610" s="112">
        <f t="shared" si="369"/>
        <v>2.7776427703523732E-2</v>
      </c>
      <c r="D1610" s="112">
        <f t="shared" si="369"/>
        <v>-1.2168545416335608E-4</v>
      </c>
      <c r="E1610" s="112">
        <f t="shared" si="369"/>
        <v>-3.5850886464927623E-3</v>
      </c>
      <c r="F1610" s="112">
        <f t="shared" si="369"/>
        <v>1.1101335768226583E-3</v>
      </c>
    </row>
    <row r="1611" spans="1:6">
      <c r="A1611" s="111">
        <f t="shared" si="325"/>
        <v>44974</v>
      </c>
      <c r="B1611" s="112">
        <f t="shared" ref="B1611:F1611" si="370">IFERROR((B369/B368-1),"")</f>
        <v>-1.9478858312319658E-2</v>
      </c>
      <c r="C1611" s="112">
        <f t="shared" si="370"/>
        <v>-5.9584328375853479E-3</v>
      </c>
      <c r="D1611" s="112">
        <f t="shared" si="370"/>
        <v>-1.980395193945883E-3</v>
      </c>
      <c r="E1611" s="112">
        <f t="shared" si="370"/>
        <v>-8.4755030621171956E-3</v>
      </c>
      <c r="F1611" s="112">
        <f t="shared" si="370"/>
        <v>-5.0815459210404867E-3</v>
      </c>
    </row>
    <row r="1612" spans="1:6">
      <c r="A1612" s="111">
        <f t="shared" si="325"/>
        <v>44977</v>
      </c>
      <c r="B1612" s="112">
        <f t="shared" ref="B1612:F1612" si="371">IFERROR((B370/B369-1),"")</f>
        <v>3.5408125232947452E-3</v>
      </c>
      <c r="C1612" s="112">
        <f t="shared" si="371"/>
        <v>3.1243310102043287E-2</v>
      </c>
      <c r="D1612" s="112">
        <f t="shared" si="371"/>
        <v>-7.8818716951012391E-3</v>
      </c>
      <c r="E1612" s="112">
        <f t="shared" si="371"/>
        <v>-1.7526057464291589E-2</v>
      </c>
      <c r="F1612" s="112">
        <f t="shared" si="371"/>
        <v>-5.5505400073562194E-3</v>
      </c>
    </row>
    <row r="1613" spans="1:6">
      <c r="A1613" s="111">
        <f t="shared" si="325"/>
        <v>44978</v>
      </c>
      <c r="B1613" s="112">
        <f t="shared" ref="B1613:F1613" si="372">IFERROR((B371/B370-1),"")</f>
        <v>4.1597028783657564E-3</v>
      </c>
      <c r="C1613" s="112">
        <f t="shared" si="372"/>
        <v>1.0379545375911459E-3</v>
      </c>
      <c r="D1613" s="112">
        <f t="shared" si="372"/>
        <v>2.536426208992637E-3</v>
      </c>
      <c r="E1613" s="112">
        <f t="shared" si="372"/>
        <v>1.1125331177870512E-2</v>
      </c>
      <c r="F1613" s="112">
        <f t="shared" si="372"/>
        <v>-1.0031045806573324E-3</v>
      </c>
    </row>
    <row r="1614" spans="1:6">
      <c r="A1614" s="111">
        <f t="shared" si="325"/>
        <v>44979</v>
      </c>
      <c r="B1614" s="112">
        <f t="shared" ref="B1614:F1614" si="373">IFERROR((B372/B371-1),"")</f>
        <v>-2.3745238007175318E-2</v>
      </c>
      <c r="C1614" s="112">
        <f t="shared" si="373"/>
        <v>5.9908524291762966E-4</v>
      </c>
      <c r="D1614" s="112">
        <f t="shared" si="373"/>
        <v>-2.1064832874513328E-3</v>
      </c>
      <c r="E1614" s="112">
        <f t="shared" si="373"/>
        <v>-4.1857728135722416E-3</v>
      </c>
      <c r="F1614" s="112">
        <f t="shared" si="373"/>
        <v>-1.528045011134993E-2</v>
      </c>
    </row>
    <row r="1615" spans="1:6">
      <c r="A1615" s="111">
        <f t="shared" si="325"/>
        <v>44980</v>
      </c>
      <c r="B1615" s="112">
        <f t="shared" ref="B1615:F1615" si="374">IFERROR((B373/B372-1),"")</f>
        <v>-4.3947717370713679E-3</v>
      </c>
      <c r="C1615" s="112">
        <f t="shared" si="374"/>
        <v>1.8042394445659804E-2</v>
      </c>
      <c r="D1615" s="112">
        <f t="shared" si="374"/>
        <v>-6.0535662429915815E-3</v>
      </c>
      <c r="E1615" s="112">
        <f t="shared" si="374"/>
        <v>-7.3586798974244472E-3</v>
      </c>
      <c r="F1615" s="112">
        <f t="shared" si="374"/>
        <v>-2.4523905823643499E-3</v>
      </c>
    </row>
    <row r="1616" spans="1:6">
      <c r="A1616" s="111">
        <f t="shared" si="325"/>
        <v>44981</v>
      </c>
      <c r="B1616" s="112">
        <f t="shared" ref="B1616:F1616" si="375">IFERROR((B374/B373-1),"")</f>
        <v>-2.5685908900643151E-2</v>
      </c>
      <c r="C1616" s="112">
        <f t="shared" si="375"/>
        <v>-9.817005587097638E-3</v>
      </c>
      <c r="D1616" s="112">
        <f t="shared" si="375"/>
        <v>9.3266810499821329E-3</v>
      </c>
      <c r="E1616" s="112">
        <f t="shared" si="375"/>
        <v>-2.0105582387959231E-3</v>
      </c>
      <c r="F1616" s="112">
        <f t="shared" si="375"/>
        <v>-2.5954743379256184E-3</v>
      </c>
    </row>
    <row r="1617" spans="1:6">
      <c r="A1617" s="111">
        <f t="shared" si="325"/>
        <v>44984</v>
      </c>
      <c r="B1617" s="112">
        <f t="shared" ref="B1617:F1617" si="376">IFERROR((B375/B374-1),"")</f>
        <v>-1.7809717231682565E-2</v>
      </c>
      <c r="C1617" s="112">
        <f t="shared" si="376"/>
        <v>-2.3655054254711594E-2</v>
      </c>
      <c r="D1617" s="112">
        <f t="shared" si="376"/>
        <v>-1.5608648215359233E-2</v>
      </c>
      <c r="E1617" s="112">
        <f t="shared" si="376"/>
        <v>-1.2222709930107767E-2</v>
      </c>
      <c r="F1617" s="112">
        <f t="shared" si="376"/>
        <v>-4.1853221724741374E-3</v>
      </c>
    </row>
    <row r="1618" spans="1:6">
      <c r="A1618" s="111">
        <f t="shared" si="325"/>
        <v>44985</v>
      </c>
      <c r="B1618" s="112">
        <f t="shared" ref="B1618:F1618" si="377">IFERROR((B376/B375-1),"")</f>
        <v>9.7025608398280117E-3</v>
      </c>
      <c r="C1618" s="112">
        <f t="shared" si="377"/>
        <v>5.7791972297289718E-3</v>
      </c>
      <c r="D1618" s="112">
        <f t="shared" si="377"/>
        <v>-2.3614566840081452E-2</v>
      </c>
      <c r="E1618" s="112">
        <f t="shared" si="377"/>
        <v>1.6749273628439587E-2</v>
      </c>
      <c r="F1618" s="112">
        <f t="shared" si="377"/>
        <v>-5.1027155070805241E-3</v>
      </c>
    </row>
    <row r="1619" spans="1:6">
      <c r="A1619" s="111">
        <f t="shared" si="325"/>
        <v>44986</v>
      </c>
      <c r="B1619" s="112">
        <f t="shared" ref="B1619:F1619" si="378">IFERROR((B377/B376-1),"")</f>
        <v>2.0085066162571774E-3</v>
      </c>
      <c r="C1619" s="112">
        <f t="shared" si="378"/>
        <v>3.9547299733633245E-4</v>
      </c>
      <c r="D1619" s="112">
        <f t="shared" si="378"/>
        <v>6.3939211416392805E-3</v>
      </c>
      <c r="E1619" s="112">
        <f t="shared" si="378"/>
        <v>-1.8367232588110016E-2</v>
      </c>
      <c r="F1619" s="112">
        <f t="shared" si="378"/>
        <v>8.4922806642413473E-3</v>
      </c>
    </row>
    <row r="1620" spans="1:6">
      <c r="A1620" s="111">
        <f t="shared" si="325"/>
        <v>44987</v>
      </c>
      <c r="B1620" s="112">
        <f t="shared" ref="B1620:F1620" si="379">IFERROR((B378/B377-1),"")</f>
        <v>-1.6193058994615539E-2</v>
      </c>
      <c r="C1620" s="112">
        <f t="shared" si="379"/>
        <v>-1.1778111083981524E-2</v>
      </c>
      <c r="D1620" s="112">
        <f t="shared" si="379"/>
        <v>1.0680907877169465E-2</v>
      </c>
      <c r="E1620" s="112">
        <f t="shared" si="379"/>
        <v>3.2878213617060226E-3</v>
      </c>
      <c r="F1620" s="112">
        <f t="shared" si="379"/>
        <v>-7.3921688852723877E-3</v>
      </c>
    </row>
    <row r="1621" spans="1:6">
      <c r="A1621" s="111">
        <f t="shared" si="325"/>
        <v>44988</v>
      </c>
      <c r="B1621" s="112">
        <f t="shared" ref="B1621:F1621" si="380">IFERROR((B379/B378-1),"")</f>
        <v>1.3623107346889762E-2</v>
      </c>
      <c r="C1621" s="112">
        <f t="shared" si="380"/>
        <v>2.047203331999814E-3</v>
      </c>
      <c r="D1621" s="112">
        <f t="shared" si="380"/>
        <v>1.0784403042864321E-2</v>
      </c>
      <c r="E1621" s="112">
        <f t="shared" si="380"/>
        <v>4.0394155932821363E-3</v>
      </c>
      <c r="F1621" s="112">
        <f t="shared" si="380"/>
        <v>1.5728644086387522E-2</v>
      </c>
    </row>
    <row r="1622" spans="1:6">
      <c r="A1622" s="111">
        <f t="shared" si="325"/>
        <v>44991</v>
      </c>
      <c r="B1622" s="112">
        <f t="shared" ref="B1622:F1622" si="381">IFERROR((B380/B379-1),"")</f>
        <v>1.4583004887278594E-3</v>
      </c>
      <c r="C1622" s="112">
        <f t="shared" si="381"/>
        <v>1.6426357317302243E-2</v>
      </c>
      <c r="D1622" s="112">
        <f t="shared" si="381"/>
        <v>2.8166157798081848E-4</v>
      </c>
      <c r="E1622" s="112">
        <f t="shared" si="381"/>
        <v>-2.0875123244823546E-2</v>
      </c>
      <c r="F1622" s="112">
        <f t="shared" si="381"/>
        <v>6.6555456723325079E-3</v>
      </c>
    </row>
    <row r="1623" spans="1:6">
      <c r="A1623" s="111">
        <f t="shared" si="325"/>
        <v>44993</v>
      </c>
      <c r="B1623" s="112">
        <f t="shared" ref="B1623:F1623" si="382">IFERROR((B381/B380-1),"")</f>
        <v>1.5348892124837699E-2</v>
      </c>
      <c r="C1623" s="112">
        <f t="shared" si="382"/>
        <v>-1.1262952395254544E-2</v>
      </c>
      <c r="D1623" s="112">
        <f t="shared" si="382"/>
        <v>-2.9171922868985734E-3</v>
      </c>
      <c r="E1623" s="112">
        <f t="shared" si="382"/>
        <v>4.5834924823777712E-3</v>
      </c>
      <c r="F1623" s="112">
        <f t="shared" si="382"/>
        <v>2.4249849673516621E-3</v>
      </c>
    </row>
    <row r="1624" spans="1:6">
      <c r="A1624" s="111">
        <f t="shared" si="325"/>
        <v>44994</v>
      </c>
      <c r="B1624" s="112">
        <f t="shared" ref="B1624:F1624" si="383">IFERROR((B382/B381-1),"")</f>
        <v>-3.2404356758013786E-2</v>
      </c>
      <c r="C1624" s="112">
        <f t="shared" si="383"/>
        <v>-5.6664174221888741E-3</v>
      </c>
      <c r="D1624" s="112">
        <f t="shared" si="383"/>
        <v>-1.0234397062976464E-2</v>
      </c>
      <c r="E1624" s="112">
        <f t="shared" si="383"/>
        <v>-1.1049278167594156E-2</v>
      </c>
      <c r="F1624" s="112">
        <f t="shared" si="383"/>
        <v>-9.2822061010230383E-3</v>
      </c>
    </row>
    <row r="1625" spans="1:6">
      <c r="A1625" s="111">
        <f t="shared" si="325"/>
        <v>44995</v>
      </c>
      <c r="B1625" s="112">
        <f t="shared" ref="B1625:F1625" si="384">IFERROR((B383/B382-1),"")</f>
        <v>-1.71854344429756E-2</v>
      </c>
      <c r="C1625" s="112">
        <f t="shared" si="384"/>
        <v>-2.7964797255219942E-2</v>
      </c>
      <c r="D1625" s="112">
        <f t="shared" si="384"/>
        <v>3.3326105068534062E-3</v>
      </c>
      <c r="E1625" s="112">
        <f t="shared" si="384"/>
        <v>4.4970524500780318E-3</v>
      </c>
      <c r="F1625" s="112">
        <f t="shared" si="384"/>
        <v>-1.0045708827943645E-2</v>
      </c>
    </row>
    <row r="1626" spans="1:6">
      <c r="A1626" s="111">
        <f t="shared" si="325"/>
        <v>44998</v>
      </c>
      <c r="B1626" s="112">
        <f t="shared" ref="B1626:F1626" si="385">IFERROR((B384/B383-1),"")</f>
        <v>-2.7105241705388416E-2</v>
      </c>
      <c r="C1626" s="112">
        <f t="shared" si="385"/>
        <v>-1.2498942304205451E-2</v>
      </c>
      <c r="D1626" s="112">
        <f t="shared" si="385"/>
        <v>-5.7216958059855827E-3</v>
      </c>
      <c r="E1626" s="112">
        <f t="shared" si="385"/>
        <v>-7.8868012062160986E-4</v>
      </c>
      <c r="F1626" s="112">
        <f t="shared" si="385"/>
        <v>-1.4851058697862074E-2</v>
      </c>
    </row>
    <row r="1627" spans="1:6">
      <c r="A1627" s="111">
        <f t="shared" si="325"/>
        <v>44999</v>
      </c>
      <c r="B1627" s="112">
        <f t="shared" ref="B1627:F1627" si="386">IFERROR((B385/B384-1),"")</f>
        <v>-2.7357660563911423E-2</v>
      </c>
      <c r="C1627" s="112">
        <f t="shared" si="386"/>
        <v>-3.9905499859228977E-2</v>
      </c>
      <c r="D1627" s="112">
        <f t="shared" si="386"/>
        <v>-4.770730367929743E-3</v>
      </c>
      <c r="E1627" s="112">
        <f t="shared" si="386"/>
        <v>-3.4009657349801659E-3</v>
      </c>
      <c r="F1627" s="112">
        <f t="shared" si="386"/>
        <v>-6.4706808205522437E-3</v>
      </c>
    </row>
    <row r="1628" spans="1:6">
      <c r="A1628" s="111">
        <f t="shared" si="325"/>
        <v>45000</v>
      </c>
      <c r="B1628" s="112">
        <f t="shared" ref="B1628:F1628" si="387">IFERROR((B386/B385-1),"")</f>
        <v>-3.8766368022058462E-4</v>
      </c>
      <c r="C1628" s="112">
        <f t="shared" si="387"/>
        <v>7.2290999961750479E-3</v>
      </c>
      <c r="D1628" s="112">
        <f t="shared" si="387"/>
        <v>1.0334402409444721E-2</v>
      </c>
      <c r="E1628" s="112">
        <f t="shared" si="387"/>
        <v>-1.1612061635937865E-2</v>
      </c>
      <c r="F1628" s="112">
        <f t="shared" si="387"/>
        <v>-4.1746610104849147E-3</v>
      </c>
    </row>
    <row r="1629" spans="1:6">
      <c r="A1629" s="111">
        <f t="shared" si="325"/>
        <v>45001</v>
      </c>
      <c r="B1629" s="112">
        <f t="shared" ref="B1629:F1629" si="388">IFERROR((B387/B386-1),"")</f>
        <v>5.7741198776231073E-3</v>
      </c>
      <c r="C1629" s="112">
        <f t="shared" si="388"/>
        <v>-2.4797468354430419E-2</v>
      </c>
      <c r="D1629" s="112">
        <f t="shared" si="388"/>
        <v>-2.4462396177039603E-3</v>
      </c>
      <c r="E1629" s="112">
        <f t="shared" si="388"/>
        <v>1.6049586387311132E-2</v>
      </c>
      <c r="F1629" s="112">
        <f t="shared" si="388"/>
        <v>7.9247473066157426E-4</v>
      </c>
    </row>
    <row r="1630" spans="1:6">
      <c r="A1630" s="111">
        <f t="shared" si="325"/>
        <v>45002</v>
      </c>
      <c r="B1630" s="112">
        <f t="shared" ref="B1630:F1630" si="389">IFERROR((B388/B387-1),"")</f>
        <v>3.8130328606316155E-3</v>
      </c>
      <c r="C1630" s="112">
        <f t="shared" si="389"/>
        <v>1.2707519372801679E-2</v>
      </c>
      <c r="D1630" s="112">
        <f t="shared" si="389"/>
        <v>1.1953236384374177E-2</v>
      </c>
      <c r="E1630" s="112">
        <f t="shared" si="389"/>
        <v>1.1910836889961196E-2</v>
      </c>
      <c r="F1630" s="112">
        <f t="shared" si="389"/>
        <v>6.7380604747551143E-3</v>
      </c>
    </row>
    <row r="1631" spans="1:6">
      <c r="A1631" s="111">
        <f t="shared" ref="A1631:A1694" si="390">A389</f>
        <v>45005</v>
      </c>
      <c r="B1631" s="112">
        <f t="shared" ref="B1631:F1631" si="391">IFERROR((B389/B388-1),"")</f>
        <v>-3.2863849765257802E-3</v>
      </c>
      <c r="C1631" s="112">
        <f t="shared" si="391"/>
        <v>-3.2389130992053428E-2</v>
      </c>
      <c r="D1631" s="112">
        <f t="shared" si="391"/>
        <v>7.4388828150540043E-4</v>
      </c>
      <c r="E1631" s="112">
        <f t="shared" si="391"/>
        <v>-7.0371686284397272E-3</v>
      </c>
      <c r="F1631" s="112">
        <f t="shared" si="391"/>
        <v>-6.5292206747932235E-3</v>
      </c>
    </row>
    <row r="1632" spans="1:6">
      <c r="A1632" s="111">
        <f t="shared" si="390"/>
        <v>45006</v>
      </c>
      <c r="B1632" s="112">
        <f t="shared" ref="B1632:F1632" si="392">IFERROR((B390/B389-1),"")</f>
        <v>-6.29469447180242E-3</v>
      </c>
      <c r="C1632" s="112">
        <f t="shared" si="392"/>
        <v>-1.6438610202270332E-2</v>
      </c>
      <c r="D1632" s="112">
        <f t="shared" si="392"/>
        <v>-4.5275878768765709E-3</v>
      </c>
      <c r="E1632" s="112">
        <f t="shared" si="392"/>
        <v>-1.5501460115193377E-2</v>
      </c>
      <c r="F1632" s="112">
        <f t="shared" si="392"/>
        <v>7.0106661015751914E-3</v>
      </c>
    </row>
    <row r="1633" spans="1:6">
      <c r="A1633" s="111">
        <f t="shared" si="390"/>
        <v>45007</v>
      </c>
      <c r="B1633" s="112">
        <f t="shared" ref="B1633:F1633" si="393">IFERROR((B391/B390-1),"")</f>
        <v>3.2750150823062096E-3</v>
      </c>
      <c r="C1633" s="112">
        <f t="shared" si="393"/>
        <v>7.0166460162690569E-3</v>
      </c>
      <c r="D1633" s="112">
        <f t="shared" si="393"/>
        <v>1.2581035672666774E-2</v>
      </c>
      <c r="E1633" s="112">
        <f t="shared" si="393"/>
        <v>-4.7482824114239985E-3</v>
      </c>
      <c r="F1633" s="112">
        <f t="shared" si="393"/>
        <v>2.5953529153881494E-3</v>
      </c>
    </row>
    <row r="1634" spans="1:6">
      <c r="A1634" s="111">
        <f t="shared" si="390"/>
        <v>45008</v>
      </c>
      <c r="B1634" s="112">
        <f t="shared" ref="B1634:F1634" si="394">IFERROR((B392/B391-1),"")</f>
        <v>7.3017781977502416E-4</v>
      </c>
      <c r="C1634" s="112">
        <f t="shared" si="394"/>
        <v>2.6613884690998013E-3</v>
      </c>
      <c r="D1634" s="112">
        <f t="shared" si="394"/>
        <v>-6.2570531514318795E-3</v>
      </c>
      <c r="E1634" s="112">
        <f t="shared" si="394"/>
        <v>-4.1230312525764035E-4</v>
      </c>
      <c r="F1634" s="112">
        <f t="shared" si="394"/>
        <v>-4.3726934042292998E-3</v>
      </c>
    </row>
    <row r="1635" spans="1:6">
      <c r="A1635" s="111">
        <f t="shared" si="390"/>
        <v>45009</v>
      </c>
      <c r="B1635" s="112">
        <f t="shared" ref="B1635:F1635" si="395">IFERROR((B393/B392-1),"")</f>
        <v>-1.2146444053392935E-2</v>
      </c>
      <c r="C1635" s="112">
        <f t="shared" si="395"/>
        <v>-1.2831457077308817E-2</v>
      </c>
      <c r="D1635" s="112">
        <f t="shared" si="395"/>
        <v>3.8678195167474172E-3</v>
      </c>
      <c r="E1635" s="112">
        <f t="shared" si="395"/>
        <v>-1.0076130765785951E-2</v>
      </c>
      <c r="F1635" s="112">
        <f t="shared" si="395"/>
        <v>-7.7209563796709624E-3</v>
      </c>
    </row>
    <row r="1636" spans="1:6">
      <c r="A1636" s="111">
        <f t="shared" si="390"/>
        <v>45012</v>
      </c>
      <c r="B1636" s="112">
        <f t="shared" ref="B1636:F1636" si="396">IFERROR((B394/B393-1),"")</f>
        <v>-1.1209593326381495E-2</v>
      </c>
      <c r="C1636" s="112">
        <f t="shared" si="396"/>
        <v>-1.7497635454668314E-2</v>
      </c>
      <c r="D1636" s="112">
        <f t="shared" si="396"/>
        <v>4.81614641085093E-3</v>
      </c>
      <c r="E1636" s="112">
        <f t="shared" si="396"/>
        <v>3.5357563780522572E-3</v>
      </c>
      <c r="F1636" s="112">
        <f t="shared" si="396"/>
        <v>2.3989306611666983E-3</v>
      </c>
    </row>
    <row r="1637" spans="1:6">
      <c r="A1637" s="111">
        <f t="shared" si="390"/>
        <v>45013</v>
      </c>
      <c r="B1637" s="112">
        <f t="shared" ref="B1637:F1637" si="397">IFERROR((B395/B394-1),"")</f>
        <v>-8.4365937252834922E-3</v>
      </c>
      <c r="C1637" s="112">
        <f t="shared" si="397"/>
        <v>-1.036924981090559E-2</v>
      </c>
      <c r="D1637" s="112">
        <f t="shared" si="397"/>
        <v>9.1736983491801372E-3</v>
      </c>
      <c r="E1637" s="112">
        <f t="shared" si="397"/>
        <v>-3.5114358925690814E-3</v>
      </c>
      <c r="F1637" s="112">
        <f t="shared" si="397"/>
        <v>-2.0016837692883316E-3</v>
      </c>
    </row>
    <row r="1638" spans="1:6">
      <c r="A1638" s="111">
        <f t="shared" si="390"/>
        <v>45014</v>
      </c>
      <c r="B1638" s="112">
        <f t="shared" ref="B1638:F1638" si="398">IFERROR((B396/B395-1),"")</f>
        <v>1.4180625720109807E-2</v>
      </c>
      <c r="C1638" s="112">
        <f t="shared" si="398"/>
        <v>1.7314934478398047E-2</v>
      </c>
      <c r="D1638" s="112">
        <f t="shared" si="398"/>
        <v>9.057170628258282E-3</v>
      </c>
      <c r="E1638" s="112">
        <f t="shared" si="398"/>
        <v>1.8142857142857016E-2</v>
      </c>
      <c r="F1638" s="112">
        <f t="shared" si="398"/>
        <v>7.6098562386073265E-3</v>
      </c>
    </row>
    <row r="1639" spans="1:6">
      <c r="A1639" s="111">
        <f t="shared" si="390"/>
        <v>45016</v>
      </c>
      <c r="B1639" s="112">
        <f t="shared" ref="B1639:F1639" si="399">IFERROR((B397/B396-1),"")</f>
        <v>1.2584112557895821E-2</v>
      </c>
      <c r="C1639" s="112">
        <f t="shared" si="399"/>
        <v>4.2004179928148977E-2</v>
      </c>
      <c r="D1639" s="112">
        <f t="shared" si="399"/>
        <v>1.2029861202329295E-2</v>
      </c>
      <c r="E1639" s="112">
        <f t="shared" si="399"/>
        <v>1.0745521724895957E-2</v>
      </c>
      <c r="F1639" s="112">
        <f t="shared" si="399"/>
        <v>1.6337152458622883E-2</v>
      </c>
    </row>
    <row r="1640" spans="1:6">
      <c r="A1640" s="111">
        <f t="shared" si="390"/>
        <v>45019</v>
      </c>
      <c r="B1640" s="112">
        <f t="shared" ref="B1640:F1640" si="400">IFERROR((B398/B397-1),"")</f>
        <v>9.666005005609879E-3</v>
      </c>
      <c r="C1640" s="112">
        <f t="shared" si="400"/>
        <v>9.7663931202642829E-3</v>
      </c>
      <c r="D1640" s="112">
        <f t="shared" si="400"/>
        <v>7.3008490617056943E-3</v>
      </c>
      <c r="E1640" s="112">
        <f t="shared" si="400"/>
        <v>4.3959603438126216E-4</v>
      </c>
      <c r="F1640" s="112">
        <f t="shared" si="400"/>
        <v>2.2062529702329137E-3</v>
      </c>
    </row>
    <row r="1641" spans="1:6">
      <c r="A1641" s="111">
        <f t="shared" si="390"/>
        <v>45021</v>
      </c>
      <c r="B1641" s="112">
        <f t="shared" ref="B1641:F1641" si="401">IFERROR((B399/B398-1),"")</f>
        <v>-1.235148303273792E-2</v>
      </c>
      <c r="C1641" s="112">
        <f t="shared" si="401"/>
        <v>5.9161073389850438E-2</v>
      </c>
      <c r="D1641" s="112">
        <f t="shared" si="401"/>
        <v>5.6480188983141222E-3</v>
      </c>
      <c r="E1641" s="112">
        <f t="shared" si="401"/>
        <v>8.0942634798386592E-4</v>
      </c>
      <c r="F1641" s="112">
        <f t="shared" si="401"/>
        <v>9.1389552277409969E-3</v>
      </c>
    </row>
    <row r="1642" spans="1:6">
      <c r="A1642" s="111">
        <f t="shared" si="390"/>
        <v>45022</v>
      </c>
      <c r="B1642" s="112">
        <f t="shared" ref="B1642:F1642" si="402">IFERROR((B400/B399-1),"")</f>
        <v>1.3674326020165273E-2</v>
      </c>
      <c r="C1642" s="112">
        <f t="shared" si="402"/>
        <v>-1.9391057070013762E-2</v>
      </c>
      <c r="D1642" s="112">
        <f t="shared" si="402"/>
        <v>3.5448876740411528E-3</v>
      </c>
      <c r="E1642" s="112">
        <f t="shared" si="402"/>
        <v>-6.4124042472069043E-3</v>
      </c>
      <c r="F1642" s="112">
        <f t="shared" si="402"/>
        <v>2.3978971410345551E-3</v>
      </c>
    </row>
    <row r="1643" spans="1:6">
      <c r="A1643" s="111">
        <f t="shared" si="390"/>
        <v>45026</v>
      </c>
      <c r="B1643" s="112">
        <f t="shared" ref="B1643:F1643" si="403">IFERROR((B401/B400-1),"")</f>
        <v>1.4813233724653152E-2</v>
      </c>
      <c r="C1643" s="112">
        <f t="shared" si="403"/>
        <v>1.5299617509562324E-2</v>
      </c>
      <c r="D1643" s="112">
        <f t="shared" si="403"/>
        <v>1.2820785632208231E-2</v>
      </c>
      <c r="E1643" s="112">
        <f t="shared" si="403"/>
        <v>-7.7678031536352332E-3</v>
      </c>
      <c r="F1643" s="112">
        <f t="shared" si="403"/>
        <v>1.4148410576646508E-3</v>
      </c>
    </row>
    <row r="1644" spans="1:6">
      <c r="A1644" s="111">
        <f t="shared" si="390"/>
        <v>45027</v>
      </c>
      <c r="B1644" s="112">
        <f t="shared" ref="B1644:F1644" si="404">IFERROR((B402/B401-1),"")</f>
        <v>1.1021369678613668E-2</v>
      </c>
      <c r="C1644" s="112">
        <f t="shared" si="404"/>
        <v>-1.3899490310984142E-2</v>
      </c>
      <c r="D1644" s="112">
        <f t="shared" si="404"/>
        <v>7.773680837876995E-4</v>
      </c>
      <c r="E1644" s="112">
        <f t="shared" si="404"/>
        <v>2.5665666604164361E-3</v>
      </c>
      <c r="F1644" s="112">
        <f t="shared" si="404"/>
        <v>5.5747685690858972E-3</v>
      </c>
    </row>
    <row r="1645" spans="1:6">
      <c r="A1645" s="111">
        <f t="shared" si="390"/>
        <v>45028</v>
      </c>
      <c r="B1645" s="112">
        <f t="shared" ref="B1645:F1645" si="405">IFERROR((B403/B402-1),"")</f>
        <v>4.7016726304400791E-3</v>
      </c>
      <c r="C1645" s="112">
        <f t="shared" si="405"/>
        <v>1.5069228560370407E-2</v>
      </c>
      <c r="D1645" s="112">
        <f t="shared" si="405"/>
        <v>2.4699003852330925E-2</v>
      </c>
      <c r="E1645" s="112">
        <f t="shared" si="405"/>
        <v>-1.4144271570014633E-3</v>
      </c>
      <c r="F1645" s="112">
        <f t="shared" si="405"/>
        <v>5.083990227002344E-3</v>
      </c>
    </row>
    <row r="1646" spans="1:6">
      <c r="A1646" s="111">
        <f t="shared" si="390"/>
        <v>45029</v>
      </c>
      <c r="B1646" s="112">
        <f t="shared" ref="B1646:F1646" si="406">IFERROR((B404/B403-1),"")</f>
        <v>-2.3191286702280989E-3</v>
      </c>
      <c r="C1646" s="112">
        <f t="shared" si="406"/>
        <v>-8.9786480369968835E-3</v>
      </c>
      <c r="D1646" s="112">
        <f t="shared" si="406"/>
        <v>-5.757017004712206E-3</v>
      </c>
      <c r="E1646" s="112">
        <f t="shared" si="406"/>
        <v>-1.6622573923630313E-3</v>
      </c>
      <c r="F1646" s="112">
        <f t="shared" si="406"/>
        <v>8.7579439042451135E-4</v>
      </c>
    </row>
    <row r="1647" spans="1:6">
      <c r="A1647" s="111">
        <f t="shared" si="390"/>
        <v>45033</v>
      </c>
      <c r="B1647" s="112">
        <f t="shared" ref="B1647:F1647" si="407">IFERROR((B405/B404-1),"")</f>
        <v>6.9735585903449859E-3</v>
      </c>
      <c r="C1647" s="112">
        <f t="shared" si="407"/>
        <v>-3.3956363094794884E-2</v>
      </c>
      <c r="D1647" s="112">
        <f t="shared" si="407"/>
        <v>-1.2363741268106576E-4</v>
      </c>
      <c r="E1647" s="112">
        <f t="shared" si="407"/>
        <v>1.7447586886168764E-2</v>
      </c>
      <c r="F1647" s="112">
        <f t="shared" si="407"/>
        <v>-6.7954902400718664E-3</v>
      </c>
    </row>
    <row r="1648" spans="1:6">
      <c r="A1648" s="111">
        <f t="shared" si="390"/>
        <v>45034</v>
      </c>
      <c r="B1648" s="112">
        <f t="shared" ref="B1648:F1648" si="408">IFERROR((B406/B405-1),"")</f>
        <v>-6.8015994064059004E-3</v>
      </c>
      <c r="C1648" s="112">
        <f t="shared" si="408"/>
        <v>3.5021454816413611E-2</v>
      </c>
      <c r="D1648" s="112">
        <f t="shared" si="408"/>
        <v>1.238587886157072E-2</v>
      </c>
      <c r="E1648" s="112">
        <f t="shared" si="408"/>
        <v>-8.4704743465634502E-3</v>
      </c>
      <c r="F1648" s="112">
        <f t="shared" si="408"/>
        <v>-2.6373973914048943E-3</v>
      </c>
    </row>
    <row r="1649" spans="1:6">
      <c r="A1649" s="111">
        <f t="shared" si="390"/>
        <v>45035</v>
      </c>
      <c r="B1649" s="112">
        <f t="shared" ref="B1649:F1649" si="409">IFERROR((B407/B406-1),"")</f>
        <v>8.9648875238648174E-3</v>
      </c>
      <c r="C1649" s="112">
        <f t="shared" si="409"/>
        <v>-3.1341542127997668E-2</v>
      </c>
      <c r="D1649" s="112">
        <f t="shared" si="409"/>
        <v>-6.2087777868258254E-4</v>
      </c>
      <c r="E1649" s="112">
        <f t="shared" si="409"/>
        <v>-1.8596650278368543E-3</v>
      </c>
      <c r="F1649" s="112">
        <f t="shared" si="409"/>
        <v>-2.3442609490860189E-3</v>
      </c>
    </row>
    <row r="1650" spans="1:6">
      <c r="A1650" s="111">
        <f t="shared" si="390"/>
        <v>45036</v>
      </c>
      <c r="B1650" s="112">
        <f t="shared" ref="B1650:F1650" si="410">IFERROR((B408/B407-1),"")</f>
        <v>2.550390785684753E-3</v>
      </c>
      <c r="C1650" s="112">
        <f t="shared" si="410"/>
        <v>-2.2680967208703273E-2</v>
      </c>
      <c r="D1650" s="112">
        <f t="shared" si="410"/>
        <v>-1.0418894558342773E-2</v>
      </c>
      <c r="E1650" s="112">
        <f t="shared" si="410"/>
        <v>-8.7217764942885134E-3</v>
      </c>
      <c r="F1650" s="112">
        <f t="shared" si="410"/>
        <v>3.2351897836124799E-4</v>
      </c>
    </row>
    <row r="1651" spans="1:6">
      <c r="A1651" s="111">
        <f t="shared" si="390"/>
        <v>45037</v>
      </c>
      <c r="B1651" s="112">
        <f t="shared" ref="B1651:F1651" si="411">IFERROR((B409/B408-1),"")</f>
        <v>-4.8005908419497256E-3</v>
      </c>
      <c r="C1651" s="112">
        <f t="shared" si="411"/>
        <v>4.5365744929131147E-3</v>
      </c>
      <c r="D1651" s="112">
        <f t="shared" si="411"/>
        <v>2.1715861841835604E-3</v>
      </c>
      <c r="E1651" s="112">
        <f t="shared" si="411"/>
        <v>1.6774739216239176E-2</v>
      </c>
      <c r="F1651" s="112">
        <f t="shared" si="411"/>
        <v>-2.2695743697065396E-5</v>
      </c>
    </row>
    <row r="1652" spans="1:6">
      <c r="A1652" s="111">
        <f t="shared" si="390"/>
        <v>45040</v>
      </c>
      <c r="B1652" s="112">
        <f t="shared" ref="B1652:F1652" si="412">IFERROR((B410/B409-1),"")</f>
        <v>-4.1228612657183694E-3</v>
      </c>
      <c r="C1652" s="112">
        <f t="shared" si="412"/>
        <v>1.5884617894668329E-2</v>
      </c>
      <c r="D1652" s="112">
        <f t="shared" si="412"/>
        <v>-1.2867779204107754E-2</v>
      </c>
      <c r="E1652" s="112">
        <f t="shared" si="412"/>
        <v>-3.8818799389990222E-3</v>
      </c>
      <c r="F1652" s="112">
        <f t="shared" si="412"/>
        <v>6.7719962210730511E-3</v>
      </c>
    </row>
    <row r="1653" spans="1:6">
      <c r="A1653" s="111">
        <f t="shared" si="390"/>
        <v>45041</v>
      </c>
      <c r="B1653" s="112">
        <f t="shared" ref="B1653:F1653" si="413">IFERROR((B411/B410-1),"")</f>
        <v>1.7387704409024263E-3</v>
      </c>
      <c r="C1653" s="112">
        <f t="shared" si="413"/>
        <v>9.8545585363345456E-3</v>
      </c>
      <c r="D1653" s="112">
        <f t="shared" si="413"/>
        <v>5.659474417927246E-3</v>
      </c>
      <c r="E1653" s="112">
        <f t="shared" si="413"/>
        <v>2.1236372071445242E-2</v>
      </c>
      <c r="F1653" s="112">
        <f t="shared" si="413"/>
        <v>1.4568797411995682E-3</v>
      </c>
    </row>
    <row r="1654" spans="1:6">
      <c r="A1654" s="111">
        <f t="shared" si="390"/>
        <v>45042</v>
      </c>
      <c r="B1654" s="112">
        <f t="shared" ref="B1654:F1654" si="414">IFERROR((B412/B411-1),"")</f>
        <v>3.0582303591355497E-3</v>
      </c>
      <c r="C1654" s="112">
        <f t="shared" si="414"/>
        <v>3.4987722490107398E-3</v>
      </c>
      <c r="D1654" s="112">
        <f t="shared" si="414"/>
        <v>2.4413961475595602E-3</v>
      </c>
      <c r="E1654" s="112">
        <f t="shared" si="414"/>
        <v>5.5649566728366295E-4</v>
      </c>
      <c r="F1654" s="112">
        <f t="shared" si="414"/>
        <v>2.4958847447134058E-3</v>
      </c>
    </row>
    <row r="1655" spans="1:6">
      <c r="A1655" s="111">
        <f t="shared" si="390"/>
        <v>45043</v>
      </c>
      <c r="B1655" s="112">
        <f t="shared" ref="B1655:F1655" si="415">IFERROR((B413/B412-1),"")</f>
        <v>8.6110996662684958E-3</v>
      </c>
      <c r="C1655" s="112">
        <f t="shared" si="415"/>
        <v>2.7284022618353276E-2</v>
      </c>
      <c r="D1655" s="112">
        <f t="shared" si="415"/>
        <v>1.5159645827743651E-2</v>
      </c>
      <c r="E1655" s="112">
        <f t="shared" si="415"/>
        <v>2.4631101021568291E-3</v>
      </c>
      <c r="F1655" s="112">
        <f t="shared" si="415"/>
        <v>5.6950868998968396E-3</v>
      </c>
    </row>
    <row r="1656" spans="1:6">
      <c r="A1656" s="111">
        <f t="shared" si="390"/>
        <v>45044</v>
      </c>
      <c r="B1656" s="112">
        <f t="shared" ref="B1656:F1656" si="416">IFERROR((B414/B413-1),"")</f>
        <v>2.3692810457516256E-3</v>
      </c>
      <c r="C1656" s="112">
        <f t="shared" si="416"/>
        <v>3.2878335349147081E-2</v>
      </c>
      <c r="D1656" s="112">
        <f t="shared" si="416"/>
        <v>2.2974250541318852E-3</v>
      </c>
      <c r="E1656" s="112">
        <f t="shared" si="416"/>
        <v>3.1183124426780839E-2</v>
      </c>
      <c r="F1656" s="112">
        <f t="shared" si="416"/>
        <v>8.3700575772884811E-3</v>
      </c>
    </row>
    <row r="1657" spans="1:6">
      <c r="A1657" s="111">
        <f t="shared" si="390"/>
        <v>45048</v>
      </c>
      <c r="B1657" s="112">
        <f t="shared" ref="B1657:F1657" si="417">IFERROR((B415/B414-1),"")</f>
        <v>8.4766484636074058E-3</v>
      </c>
      <c r="C1657" s="112">
        <f t="shared" si="417"/>
        <v>-1.2868921018042712E-2</v>
      </c>
      <c r="D1657" s="112">
        <f t="shared" si="417"/>
        <v>4.1684838281084158E-3</v>
      </c>
      <c r="E1657" s="112">
        <f t="shared" si="417"/>
        <v>-9.3333772551086325E-3</v>
      </c>
      <c r="F1657" s="112">
        <f t="shared" si="417"/>
        <v>4.5751453086078087E-3</v>
      </c>
    </row>
    <row r="1658" spans="1:6">
      <c r="A1658" s="111">
        <f t="shared" si="390"/>
        <v>45049</v>
      </c>
      <c r="B1658" s="112">
        <f t="shared" ref="B1658:F1658" si="418">IFERROR((B416/B415-1),"")</f>
        <v>-1.4951911420026942E-3</v>
      </c>
      <c r="C1658" s="112">
        <f t="shared" si="418"/>
        <v>-7.6017091741008569E-3</v>
      </c>
      <c r="D1658" s="112">
        <f t="shared" si="418"/>
        <v>3.7370717517770657E-4</v>
      </c>
      <c r="E1658" s="112">
        <f t="shared" si="418"/>
        <v>3.5579299719576962E-3</v>
      </c>
      <c r="F1658" s="112">
        <f t="shared" si="418"/>
        <v>-3.1849853837826458E-3</v>
      </c>
    </row>
    <row r="1659" spans="1:6">
      <c r="A1659" s="111">
        <f t="shared" si="390"/>
        <v>45050</v>
      </c>
      <c r="B1659" s="112">
        <f t="shared" ref="B1659:F1659" si="419">IFERROR((B417/B416-1),"")</f>
        <v>-3.0353312558176748E-3</v>
      </c>
      <c r="C1659" s="112">
        <f t="shared" si="419"/>
        <v>1.3904982618770934E-3</v>
      </c>
      <c r="D1659" s="112">
        <f t="shared" si="419"/>
        <v>3.180372557928246E-3</v>
      </c>
      <c r="E1659" s="112">
        <f t="shared" si="419"/>
        <v>1.3242473106403585E-2</v>
      </c>
      <c r="F1659" s="112">
        <f t="shared" si="419"/>
        <v>9.1736526284076358E-3</v>
      </c>
    </row>
    <row r="1660" spans="1:6">
      <c r="A1660" s="111">
        <f t="shared" si="390"/>
        <v>45051</v>
      </c>
      <c r="B1660" s="112">
        <f t="shared" ref="B1660:F1660" si="420">IFERROR((B418/B417-1),"")</f>
        <v>-1.6643663229682581E-2</v>
      </c>
      <c r="C1660" s="112">
        <f t="shared" si="420"/>
        <v>3.0816453306372615E-3</v>
      </c>
      <c r="D1660" s="112">
        <f t="shared" si="420"/>
        <v>-5.132850241545861E-3</v>
      </c>
      <c r="E1660" s="112">
        <f t="shared" si="420"/>
        <v>8.4912961489409522E-3</v>
      </c>
      <c r="F1660" s="112">
        <f t="shared" si="420"/>
        <v>-1.0232364508813596E-2</v>
      </c>
    </row>
    <row r="1661" spans="1:6">
      <c r="A1661" s="111">
        <f t="shared" si="390"/>
        <v>45054</v>
      </c>
      <c r="B1661" s="112">
        <f t="shared" ref="B1661:F1661" si="421">IFERROR((B419/B418-1),"")</f>
        <v>1.7007926023778097E-2</v>
      </c>
      <c r="C1661" s="112">
        <f t="shared" si="421"/>
        <v>-3.2786088983871586E-4</v>
      </c>
      <c r="D1661" s="112">
        <f t="shared" si="421"/>
        <v>-7.1623672230652913E-3</v>
      </c>
      <c r="E1661" s="112">
        <f t="shared" si="421"/>
        <v>-5.9662775616083907E-3</v>
      </c>
      <c r="F1661" s="112">
        <f t="shared" si="421"/>
        <v>1.0814101499806439E-2</v>
      </c>
    </row>
    <row r="1662" spans="1:6">
      <c r="A1662" s="111">
        <f t="shared" si="390"/>
        <v>45055</v>
      </c>
      <c r="B1662" s="112">
        <f t="shared" ref="B1662:F1662" si="422">IFERROR((B420/B419-1),"")</f>
        <v>1.1081344374086699E-2</v>
      </c>
      <c r="C1662" s="112">
        <f t="shared" si="422"/>
        <v>2.1378682052839437E-3</v>
      </c>
      <c r="D1662" s="112">
        <f t="shared" si="422"/>
        <v>5.3290130627050569E-3</v>
      </c>
      <c r="E1662" s="112">
        <f t="shared" si="422"/>
        <v>-7.0676757132914769E-4</v>
      </c>
      <c r="F1662" s="112">
        <f t="shared" si="422"/>
        <v>8.4864545235596722E-5</v>
      </c>
    </row>
    <row r="1663" spans="1:6">
      <c r="A1663" s="111">
        <f t="shared" si="390"/>
        <v>45056</v>
      </c>
      <c r="B1663" s="112">
        <f t="shared" ref="B1663:F1663" si="423">IFERROR((B421/B420-1),"")</f>
        <v>2.5693524428922476E-3</v>
      </c>
      <c r="C1663" s="112">
        <f t="shared" si="423"/>
        <v>8.4847456394587795E-5</v>
      </c>
      <c r="D1663" s="112">
        <f t="shared" si="423"/>
        <v>-1.3368469061977306E-2</v>
      </c>
      <c r="E1663" s="112">
        <f t="shared" si="423"/>
        <v>2.1326833726864614E-3</v>
      </c>
      <c r="F1663" s="112">
        <f t="shared" si="423"/>
        <v>2.6907990003255389E-3</v>
      </c>
    </row>
    <row r="1664" spans="1:6">
      <c r="A1664" s="111">
        <f t="shared" si="390"/>
        <v>45057</v>
      </c>
      <c r="B1664" s="112">
        <f t="shared" ref="B1664:F1664" si="424">IFERROR((B422/B421-1),"")</f>
        <v>2.1222920754413455E-3</v>
      </c>
      <c r="C1664" s="112">
        <f t="shared" si="424"/>
        <v>-1.4544044213893326E-4</v>
      </c>
      <c r="D1664" s="112">
        <f t="shared" si="424"/>
        <v>-6.8888295358823237E-2</v>
      </c>
      <c r="E1664" s="112">
        <f t="shared" si="424"/>
        <v>6.5581602406106221E-3</v>
      </c>
      <c r="F1664" s="112">
        <f t="shared" si="424"/>
        <v>-9.8825559238002736E-4</v>
      </c>
    </row>
    <row r="1665" spans="1:6">
      <c r="A1665" s="111">
        <f t="shared" si="390"/>
        <v>45058</v>
      </c>
      <c r="B1665" s="112">
        <f t="shared" ref="B1665:F1665" si="425">IFERROR((B423/B422-1),"")</f>
        <v>1.9699512506992756E-2</v>
      </c>
      <c r="C1665" s="112">
        <f t="shared" si="425"/>
        <v>-9.4913692785105752E-3</v>
      </c>
      <c r="D1665" s="112">
        <f t="shared" si="425"/>
        <v>-1.4541041482789008E-2</v>
      </c>
      <c r="E1665" s="112">
        <f t="shared" si="425"/>
        <v>-4.0236022566690899E-3</v>
      </c>
      <c r="F1665" s="112">
        <f t="shared" si="425"/>
        <v>9.7283707711648404E-4</v>
      </c>
    </row>
    <row r="1666" spans="1:6">
      <c r="A1666" s="111">
        <f t="shared" si="390"/>
        <v>45061</v>
      </c>
      <c r="B1666" s="112">
        <f t="shared" ref="B1666:F1666" si="426">IFERROR((B424/B423-1),"")</f>
        <v>7.6021787687605702E-3</v>
      </c>
      <c r="C1666" s="112">
        <f t="shared" si="426"/>
        <v>1.1173252726004446E-2</v>
      </c>
      <c r="D1666" s="112">
        <f t="shared" si="426"/>
        <v>1.1744027227334808E-2</v>
      </c>
      <c r="E1666" s="112">
        <f t="shared" si="426"/>
        <v>3.1084154662623931E-3</v>
      </c>
      <c r="F1666" s="112">
        <f t="shared" si="426"/>
        <v>4.5891847030816724E-3</v>
      </c>
    </row>
    <row r="1667" spans="1:6">
      <c r="A1667" s="111">
        <f t="shared" si="390"/>
        <v>45062</v>
      </c>
      <c r="B1667" s="112">
        <f t="shared" ref="B1667:F1667" si="427">IFERROR((B425/B424-1),"")</f>
        <v>-1.8045346711780041E-2</v>
      </c>
      <c r="C1667" s="112">
        <f t="shared" si="427"/>
        <v>1.7597366446396867E-2</v>
      </c>
      <c r="D1667" s="112">
        <f t="shared" si="427"/>
        <v>-7.7458476723735181E-4</v>
      </c>
      <c r="E1667" s="112">
        <f t="shared" si="427"/>
        <v>-5.171836703845023E-3</v>
      </c>
      <c r="F1667" s="112">
        <f t="shared" si="427"/>
        <v>-6.1063599083637232E-3</v>
      </c>
    </row>
    <row r="1668" spans="1:6">
      <c r="A1668" s="111">
        <f t="shared" si="390"/>
        <v>45063</v>
      </c>
      <c r="B1668" s="112">
        <f t="shared" ref="B1668:F1668" si="428">IFERROR((B426/B425-1),"")</f>
        <v>5.1487187611387597E-4</v>
      </c>
      <c r="C1668" s="112">
        <f t="shared" si="428"/>
        <v>2.3786869647954845E-3</v>
      </c>
      <c r="D1668" s="112">
        <f t="shared" si="428"/>
        <v>-7.4307039789149876E-3</v>
      </c>
      <c r="E1668" s="112">
        <f t="shared" si="428"/>
        <v>5.4266426447284744E-3</v>
      </c>
      <c r="F1668" s="112">
        <f t="shared" si="428"/>
        <v>-5.7282694884204233E-3</v>
      </c>
    </row>
    <row r="1669" spans="1:6">
      <c r="A1669" s="111">
        <f t="shared" si="390"/>
        <v>45064</v>
      </c>
      <c r="B1669" s="112">
        <f t="shared" ref="B1669:F1669" si="429">IFERROR((B427/B426-1),"")</f>
        <v>-1.3933971973715376E-2</v>
      </c>
      <c r="C1669" s="112">
        <f t="shared" si="429"/>
        <v>-1.8628381585191756E-3</v>
      </c>
      <c r="D1669" s="112">
        <f t="shared" si="429"/>
        <v>-1.3031351110119327E-2</v>
      </c>
      <c r="E1669" s="112">
        <f t="shared" si="429"/>
        <v>-1.4583648178932873E-2</v>
      </c>
      <c r="F1669" s="112">
        <f t="shared" si="429"/>
        <v>-2.8490106837900653E-3</v>
      </c>
    </row>
    <row r="1670" spans="1:6">
      <c r="A1670" s="111">
        <f t="shared" si="390"/>
        <v>45065</v>
      </c>
      <c r="B1670" s="112">
        <f t="shared" ref="B1670:F1670" si="430">IFERROR((B428/B427-1),"")</f>
        <v>1.1963067041348863E-2</v>
      </c>
      <c r="C1670" s="112">
        <f t="shared" si="430"/>
        <v>1.7117791804857063E-2</v>
      </c>
      <c r="D1670" s="112">
        <f t="shared" si="430"/>
        <v>-7.0425719517985819E-3</v>
      </c>
      <c r="E1670" s="112">
        <f t="shared" si="430"/>
        <v>-1.4131256367281186E-2</v>
      </c>
      <c r="F1670" s="112">
        <f t="shared" si="430"/>
        <v>4.0513073670915833E-3</v>
      </c>
    </row>
    <row r="1671" spans="1:6">
      <c r="A1671" s="111">
        <f t="shared" si="390"/>
        <v>45068</v>
      </c>
      <c r="B1671" s="112">
        <f t="shared" ref="B1671:F1671" si="431">IFERROR((B429/B428-1),"")</f>
        <v>4.0860044430337528E-3</v>
      </c>
      <c r="C1671" s="112">
        <f t="shared" si="431"/>
        <v>2.1691619040940635E-2</v>
      </c>
      <c r="D1671" s="112">
        <f t="shared" si="431"/>
        <v>1.4959186693837667E-2</v>
      </c>
      <c r="E1671" s="112">
        <f t="shared" si="431"/>
        <v>-2.000066668890188E-4</v>
      </c>
      <c r="F1671" s="112">
        <f t="shared" si="431"/>
        <v>6.0977619565576457E-3</v>
      </c>
    </row>
    <row r="1672" spans="1:6">
      <c r="A1672" s="111">
        <f t="shared" si="390"/>
        <v>45069</v>
      </c>
      <c r="B1672" s="112">
        <f t="shared" ref="B1672:F1672" si="432">IFERROR((B430/B429-1),"")</f>
        <v>2.3705108450871037E-3</v>
      </c>
      <c r="C1672" s="112">
        <f t="shared" si="432"/>
        <v>-1.5202644733982362E-2</v>
      </c>
      <c r="D1672" s="112">
        <f t="shared" si="432"/>
        <v>6.5056700279297885E-4</v>
      </c>
      <c r="E1672" s="112">
        <f t="shared" si="432"/>
        <v>5.0456217561876127E-3</v>
      </c>
      <c r="F1672" s="112">
        <f t="shared" si="432"/>
        <v>1.834621936836589E-3</v>
      </c>
    </row>
    <row r="1673" spans="1:6">
      <c r="A1673" s="111">
        <f t="shared" si="390"/>
        <v>45070</v>
      </c>
      <c r="B1673" s="112">
        <f t="shared" ref="B1673:F1673" si="433">IFERROR((B431/B430-1),"")</f>
        <v>5.636356469985504E-3</v>
      </c>
      <c r="C1673" s="112">
        <f t="shared" si="433"/>
        <v>-1.1406667441050011E-2</v>
      </c>
      <c r="D1673" s="112">
        <f t="shared" si="433"/>
        <v>1.3159812130790982E-2</v>
      </c>
      <c r="E1673" s="112">
        <f t="shared" si="433"/>
        <v>-4.0914268021619016E-4</v>
      </c>
      <c r="F1673" s="112">
        <f t="shared" si="433"/>
        <v>-3.4118160017440058E-3</v>
      </c>
    </row>
    <row r="1674" spans="1:6">
      <c r="A1674" s="111">
        <f t="shared" si="390"/>
        <v>45071</v>
      </c>
      <c r="B1674" s="112">
        <f t="shared" ref="B1674:F1674" si="434">IFERROR((B432/B431-1),"")</f>
        <v>1.6461550521280621E-3</v>
      </c>
      <c r="C1674" s="112">
        <f t="shared" si="434"/>
        <v>9.8345631433003344E-3</v>
      </c>
      <c r="D1674" s="112">
        <f t="shared" si="434"/>
        <v>-3.3855175084361866E-3</v>
      </c>
      <c r="E1674" s="112">
        <f t="shared" si="434"/>
        <v>9.6243196601619729E-3</v>
      </c>
      <c r="F1674" s="112">
        <f t="shared" si="434"/>
        <v>1.955111728482839E-3</v>
      </c>
    </row>
    <row r="1675" spans="1:6">
      <c r="A1675" s="111">
        <f t="shared" si="390"/>
        <v>45072</v>
      </c>
      <c r="B1675" s="112">
        <f t="shared" ref="B1675:F1675" si="435">IFERROR((B433/B432-1),"")</f>
        <v>3.1695100954765021E-3</v>
      </c>
      <c r="C1675" s="112">
        <f t="shared" si="435"/>
        <v>3.7861423003083372E-2</v>
      </c>
      <c r="D1675" s="112">
        <f t="shared" si="435"/>
        <v>5.9947379522420352E-3</v>
      </c>
      <c r="E1675" s="112">
        <f t="shared" si="435"/>
        <v>7.2096947384567844E-3</v>
      </c>
      <c r="F1675" s="112">
        <f t="shared" si="435"/>
        <v>9.7264636772254054E-3</v>
      </c>
    </row>
    <row r="1676" spans="1:6">
      <c r="A1676" s="111">
        <f t="shared" si="390"/>
        <v>45075</v>
      </c>
      <c r="B1676" s="112">
        <f t="shared" ref="B1676:F1676" si="436">IFERROR((B434/B433-1),"")</f>
        <v>3.767991574677243E-2</v>
      </c>
      <c r="C1676" s="112">
        <f t="shared" si="436"/>
        <v>-8.9238668594939785E-3</v>
      </c>
      <c r="D1676" s="112">
        <f t="shared" si="436"/>
        <v>5.5838179631202411E-3</v>
      </c>
      <c r="E1676" s="112">
        <f t="shared" si="436"/>
        <v>-4.558113223967597E-3</v>
      </c>
      <c r="F1676" s="112">
        <f t="shared" si="436"/>
        <v>5.3677561644058791E-3</v>
      </c>
    </row>
    <row r="1677" spans="1:6">
      <c r="A1677" s="111">
        <f t="shared" si="390"/>
        <v>45076</v>
      </c>
      <c r="B1677" s="112">
        <f t="shared" ref="B1677:F1677" si="437">IFERROR((B435/B434-1),"")</f>
        <v>-1.2780513475924016E-3</v>
      </c>
      <c r="C1677" s="112">
        <f t="shared" si="437"/>
        <v>-4.5247333235297615E-3</v>
      </c>
      <c r="D1677" s="112">
        <f t="shared" si="437"/>
        <v>-8.1975308641976108E-3</v>
      </c>
      <c r="E1677" s="112">
        <f t="shared" si="437"/>
        <v>-4.3713458280969508E-4</v>
      </c>
      <c r="F1677" s="112">
        <f t="shared" si="437"/>
        <v>1.8926104851695325E-3</v>
      </c>
    </row>
    <row r="1678" spans="1:6">
      <c r="A1678" s="111">
        <f t="shared" si="390"/>
        <v>45077</v>
      </c>
      <c r="B1678" s="112">
        <f t="shared" ref="B1678:F1678" si="438">IFERROR((B436/B435-1),"")</f>
        <v>-7.1135533892883185E-3</v>
      </c>
      <c r="C1678" s="112">
        <f t="shared" si="438"/>
        <v>3.5214708589479837E-2</v>
      </c>
      <c r="D1678" s="112">
        <f t="shared" si="438"/>
        <v>-3.9500763460132982E-3</v>
      </c>
      <c r="E1678" s="112">
        <f t="shared" si="438"/>
        <v>1.8323949051549882E-2</v>
      </c>
      <c r="F1678" s="112">
        <f t="shared" si="438"/>
        <v>-5.3370613158310043E-3</v>
      </c>
    </row>
    <row r="1679" spans="1:6">
      <c r="A1679" s="111">
        <f t="shared" si="390"/>
        <v>45078</v>
      </c>
      <c r="B1679" s="112">
        <f t="shared" ref="B1679:F1679" si="439">IFERROR((B437/B436-1),"")</f>
        <v>-7.5815011372215579E-5</v>
      </c>
      <c r="C1679" s="112">
        <f t="shared" si="439"/>
        <v>1.547715747184375E-3</v>
      </c>
      <c r="D1679" s="112">
        <f t="shared" si="439"/>
        <v>1.1330689505781866E-2</v>
      </c>
      <c r="E1679" s="112">
        <f t="shared" si="439"/>
        <v>-4.6810749294081688E-3</v>
      </c>
      <c r="F1679" s="112">
        <f t="shared" si="439"/>
        <v>-2.5169414709945714E-3</v>
      </c>
    </row>
    <row r="1680" spans="1:6">
      <c r="A1680" s="111">
        <f t="shared" si="390"/>
        <v>45079</v>
      </c>
      <c r="B1680" s="112">
        <f t="shared" ref="B1680:F1680" si="440">IFERROR((B438/B437-1),"")</f>
        <v>1.7059670937902727E-2</v>
      </c>
      <c r="C1680" s="112">
        <f t="shared" si="440"/>
        <v>6.27993380314118E-3</v>
      </c>
      <c r="D1680" s="112">
        <f t="shared" si="440"/>
        <v>1.2829384562999202E-2</v>
      </c>
      <c r="E1680" s="112">
        <f t="shared" si="440"/>
        <v>4.0774499757294524E-3</v>
      </c>
      <c r="F1680" s="112">
        <f t="shared" si="440"/>
        <v>2.507065489310456E-3</v>
      </c>
    </row>
    <row r="1681" spans="1:6">
      <c r="A1681" s="111">
        <f t="shared" si="390"/>
        <v>45082</v>
      </c>
      <c r="B1681" s="112">
        <f t="shared" ref="B1681:F1681" si="441">IFERROR((B439/B438-1),"")</f>
        <v>4.025644848665566E-2</v>
      </c>
      <c r="C1681" s="112">
        <f t="shared" si="441"/>
        <v>3.5941448113629981E-4</v>
      </c>
      <c r="D1681" s="112">
        <f t="shared" si="441"/>
        <v>-1.4966001149562258E-3</v>
      </c>
      <c r="E1681" s="112">
        <f t="shared" si="441"/>
        <v>6.1128240387613442E-3</v>
      </c>
      <c r="F1681" s="112">
        <f t="shared" si="441"/>
        <v>3.223787505193032E-3</v>
      </c>
    </row>
    <row r="1682" spans="1:6">
      <c r="A1682" s="111">
        <f t="shared" si="390"/>
        <v>45083</v>
      </c>
      <c r="B1682" s="112">
        <f t="shared" ref="B1682:F1682" si="442">IFERROR((B440/B439-1),"")</f>
        <v>1.1322918159667461E-2</v>
      </c>
      <c r="C1682" s="112">
        <f t="shared" si="442"/>
        <v>-3.8530631797842108E-2</v>
      </c>
      <c r="D1682" s="112">
        <f t="shared" si="442"/>
        <v>7.1901032898524786E-3</v>
      </c>
      <c r="E1682" s="112">
        <f t="shared" si="442"/>
        <v>4.8690898218937129E-3</v>
      </c>
      <c r="F1682" s="112">
        <f t="shared" si="442"/>
        <v>2.7697330031184464E-4</v>
      </c>
    </row>
    <row r="1683" spans="1:6">
      <c r="A1683" s="111">
        <f t="shared" si="390"/>
        <v>45084</v>
      </c>
      <c r="B1683" s="112">
        <f t="shared" ref="B1683:F1683" si="443">IFERROR((B441/B440-1),"")</f>
        <v>-3.4013605442176909E-3</v>
      </c>
      <c r="C1683" s="112">
        <f t="shared" si="443"/>
        <v>8.2776582493488959E-3</v>
      </c>
      <c r="D1683" s="112">
        <f t="shared" si="443"/>
        <v>8.0014665760839154E-3</v>
      </c>
      <c r="E1683" s="112">
        <f t="shared" si="443"/>
        <v>3.9900964848897047E-2</v>
      </c>
      <c r="F1683" s="112">
        <f t="shared" si="443"/>
        <v>6.8498306360558203E-3</v>
      </c>
    </row>
    <row r="1684" spans="1:6">
      <c r="A1684" s="111">
        <f t="shared" si="390"/>
        <v>45085</v>
      </c>
      <c r="B1684" s="112">
        <f t="shared" ref="B1684:F1684" si="444">IFERROR((B442/B441-1),"")</f>
        <v>-1.8024744027303807E-2</v>
      </c>
      <c r="C1684" s="112">
        <f t="shared" si="444"/>
        <v>-1.4936939162857543E-2</v>
      </c>
      <c r="D1684" s="112">
        <f t="shared" si="444"/>
        <v>-5.2099491842738654E-3</v>
      </c>
      <c r="E1684" s="112">
        <f t="shared" si="444"/>
        <v>-3.69904867007953E-3</v>
      </c>
      <c r="F1684" s="112">
        <f t="shared" si="444"/>
        <v>-4.9048402255640333E-3</v>
      </c>
    </row>
    <row r="1685" spans="1:6">
      <c r="A1685" s="111">
        <f t="shared" si="390"/>
        <v>45086</v>
      </c>
      <c r="B1685" s="112">
        <f t="shared" ref="B1685:F1685" si="445">IFERROR((B443/B442-1),"")</f>
        <v>-7.5305021541579586E-3</v>
      </c>
      <c r="C1685" s="112">
        <f t="shared" si="445"/>
        <v>5.119084265371443E-3</v>
      </c>
      <c r="D1685" s="112">
        <f t="shared" si="445"/>
        <v>3.7424183765646379E-3</v>
      </c>
      <c r="E1685" s="112">
        <f t="shared" si="445"/>
        <v>7.5896657470186923E-4</v>
      </c>
      <c r="F1685" s="112">
        <f t="shared" si="445"/>
        <v>-3.8181764518058214E-3</v>
      </c>
    </row>
    <row r="1686" spans="1:6">
      <c r="A1686" s="111">
        <f t="shared" si="390"/>
        <v>45089</v>
      </c>
      <c r="B1686" s="112">
        <f t="shared" ref="B1686:F1686" si="446">IFERROR((B444/B443-1),"")</f>
        <v>7.8429941998321429E-3</v>
      </c>
      <c r="C1686" s="112">
        <f t="shared" si="446"/>
        <v>2.2300362976406474E-2</v>
      </c>
      <c r="D1686" s="112">
        <f t="shared" si="446"/>
        <v>1.8963743893032348E-3</v>
      </c>
      <c r="E1686" s="112">
        <f t="shared" si="446"/>
        <v>4.4068665129388673E-3</v>
      </c>
      <c r="F1686" s="112">
        <f t="shared" si="446"/>
        <v>2.0524257409741953E-3</v>
      </c>
    </row>
    <row r="1687" spans="1:6">
      <c r="A1687" s="111">
        <f t="shared" si="390"/>
        <v>45090</v>
      </c>
      <c r="B1687" s="112">
        <f t="shared" ref="B1687:F1687" si="447">IFERROR((B445/B444-1),"")</f>
        <v>-5.9722021137975645E-3</v>
      </c>
      <c r="C1687" s="112">
        <f t="shared" si="447"/>
        <v>1.3669751237156857E-2</v>
      </c>
      <c r="D1687" s="112">
        <f t="shared" si="447"/>
        <v>5.6355800797749378E-3</v>
      </c>
      <c r="E1687" s="112">
        <f t="shared" si="447"/>
        <v>8.1322381511148567E-3</v>
      </c>
      <c r="F1687" s="112">
        <f t="shared" si="447"/>
        <v>6.1634814396689386E-3</v>
      </c>
    </row>
    <row r="1688" spans="1:6">
      <c r="A1688" s="111">
        <f t="shared" si="390"/>
        <v>45091</v>
      </c>
      <c r="B1688" s="112">
        <f t="shared" ref="B1688:F1688" si="448">IFERROR((B446/B445-1),"")</f>
        <v>4.0053890689291105E-3</v>
      </c>
      <c r="C1688" s="112">
        <f t="shared" si="448"/>
        <v>1.1318111167057054E-2</v>
      </c>
      <c r="D1688" s="112">
        <f t="shared" si="448"/>
        <v>-6.3802637175669474E-4</v>
      </c>
      <c r="E1688" s="112">
        <f t="shared" si="448"/>
        <v>3.1375883079265421E-4</v>
      </c>
      <c r="F1688" s="112">
        <f t="shared" si="448"/>
        <v>2.123834228727528E-3</v>
      </c>
    </row>
    <row r="1689" spans="1:6">
      <c r="A1689" s="111">
        <f t="shared" si="390"/>
        <v>45092</v>
      </c>
      <c r="B1689" s="112">
        <f t="shared" ref="B1689:F1689" si="449">IFERROR((B447/B446-1),"")</f>
        <v>1.0227396366010222E-2</v>
      </c>
      <c r="C1689" s="112">
        <f t="shared" si="449"/>
        <v>-7.9335873235777399E-3</v>
      </c>
      <c r="D1689" s="112">
        <f t="shared" si="449"/>
        <v>2.2228133645456616E-2</v>
      </c>
      <c r="E1689" s="112">
        <f t="shared" si="449"/>
        <v>6.8398207076583173E-3</v>
      </c>
      <c r="F1689" s="112">
        <f t="shared" si="449"/>
        <v>-3.6148625232594878E-3</v>
      </c>
    </row>
    <row r="1690" spans="1:6">
      <c r="A1690" s="111">
        <f t="shared" si="390"/>
        <v>45093</v>
      </c>
      <c r="B1690" s="112">
        <f t="shared" ref="B1690:F1690" si="450">IFERROR((B448/B447-1),"")</f>
        <v>7.9698438341411215E-3</v>
      </c>
      <c r="C1690" s="112">
        <f t="shared" si="450"/>
        <v>2.4656607643547268E-3</v>
      </c>
      <c r="D1690" s="112">
        <f t="shared" si="450"/>
        <v>2.3233301064859546E-2</v>
      </c>
      <c r="E1690" s="112">
        <f t="shared" si="450"/>
        <v>1.3918339044709516E-2</v>
      </c>
      <c r="F1690" s="112">
        <f t="shared" si="450"/>
        <v>7.3790272954448177E-3</v>
      </c>
    </row>
    <row r="1691" spans="1:6">
      <c r="A1691" s="111">
        <f t="shared" si="390"/>
        <v>45096</v>
      </c>
      <c r="B1691" s="112">
        <f t="shared" ref="B1691:F1691" si="451">IFERROR((B449/B448-1),"")</f>
        <v>-9.2602486020587627E-4</v>
      </c>
      <c r="C1691" s="112">
        <f t="shared" si="451"/>
        <v>-6.8237470751482121E-3</v>
      </c>
      <c r="D1691" s="112">
        <f t="shared" si="451"/>
        <v>-7.3346151107314128E-3</v>
      </c>
      <c r="E1691" s="112">
        <f t="shared" si="451"/>
        <v>-4.6880884889091146E-3</v>
      </c>
      <c r="F1691" s="112">
        <f t="shared" si="451"/>
        <v>-3.7474768936576197E-3</v>
      </c>
    </row>
    <row r="1692" spans="1:6">
      <c r="A1692" s="111">
        <f t="shared" si="390"/>
        <v>45097</v>
      </c>
      <c r="B1692" s="112">
        <f t="shared" ref="B1692:F1692" si="452">IFERROR((B450/B449-1),"")</f>
        <v>-4.3492210616377092E-3</v>
      </c>
      <c r="C1692" s="112">
        <f t="shared" si="452"/>
        <v>-7.999298691622192E-4</v>
      </c>
      <c r="D1692" s="112">
        <f t="shared" si="452"/>
        <v>4.5501127280180853E-3</v>
      </c>
      <c r="E1692" s="112">
        <f t="shared" si="452"/>
        <v>7.0503181605441334E-3</v>
      </c>
      <c r="F1692" s="112">
        <f t="shared" si="452"/>
        <v>3.2657174314665305E-3</v>
      </c>
    </row>
    <row r="1693" spans="1:6">
      <c r="A1693" s="111">
        <f t="shared" si="390"/>
        <v>45098</v>
      </c>
      <c r="B1693" s="112">
        <f t="shared" ref="B1693:F1693" si="453">IFERROR((B451/B450-1),"")</f>
        <v>-1.589745425901401E-2</v>
      </c>
      <c r="C1693" s="112">
        <f t="shared" si="453"/>
        <v>1.0001645007402526E-2</v>
      </c>
      <c r="D1693" s="112">
        <f t="shared" si="453"/>
        <v>1.8770913245735876E-3</v>
      </c>
      <c r="E1693" s="112">
        <f t="shared" si="453"/>
        <v>2.5907504276716509E-3</v>
      </c>
      <c r="F1693" s="112">
        <f t="shared" si="453"/>
        <v>2.1337428985952478E-3</v>
      </c>
    </row>
    <row r="1694" spans="1:6">
      <c r="A1694" s="111">
        <f t="shared" si="390"/>
        <v>45099</v>
      </c>
      <c r="B1694" s="112">
        <f t="shared" ref="B1694:F1694" si="454">IFERROR((B452/B451-1),"")</f>
        <v>3.2381298890304944E-3</v>
      </c>
      <c r="C1694" s="112">
        <f t="shared" si="454"/>
        <v>-1.5233938130449376E-2</v>
      </c>
      <c r="D1694" s="112">
        <f t="shared" si="454"/>
        <v>-2.2299608993158193E-3</v>
      </c>
      <c r="E1694" s="112">
        <f t="shared" si="454"/>
        <v>-1.6273633754475214E-2</v>
      </c>
      <c r="F1694" s="112">
        <f t="shared" si="454"/>
        <v>-4.5394644386521632E-3</v>
      </c>
    </row>
    <row r="1695" spans="1:6">
      <c r="A1695" s="111">
        <f t="shared" ref="A1695:A1758" si="455">A453</f>
        <v>45100</v>
      </c>
      <c r="B1695" s="112">
        <f t="shared" ref="B1695:F1695" si="456">IFERROR((B453/B452-1),"")</f>
        <v>-3.9529992021469784E-3</v>
      </c>
      <c r="C1695" s="112">
        <f t="shared" si="456"/>
        <v>-7.773391845105615E-3</v>
      </c>
      <c r="D1695" s="112">
        <f t="shared" si="456"/>
        <v>1.9277674024635427E-2</v>
      </c>
      <c r="E1695" s="112">
        <f t="shared" si="456"/>
        <v>-3.2584393579370152E-3</v>
      </c>
      <c r="F1695" s="112">
        <f t="shared" si="456"/>
        <v>-5.6336152360657588E-3</v>
      </c>
    </row>
    <row r="1696" spans="1:6">
      <c r="A1696" s="111">
        <f t="shared" si="455"/>
        <v>45103</v>
      </c>
      <c r="B1696" s="112">
        <f t="shared" ref="B1696:F1696" si="457">IFERROR((B454/B453-1),"")</f>
        <v>1.7768068450755514E-2</v>
      </c>
      <c r="C1696" s="112">
        <f t="shared" si="457"/>
        <v>2.383624665236872E-2</v>
      </c>
      <c r="D1696" s="112">
        <f t="shared" si="457"/>
        <v>9.5516530166803726E-3</v>
      </c>
      <c r="E1696" s="112">
        <f t="shared" si="457"/>
        <v>7.7251146696708517E-3</v>
      </c>
      <c r="F1696" s="112">
        <f t="shared" si="457"/>
        <v>1.3768717687712151E-3</v>
      </c>
    </row>
    <row r="1697" spans="1:6">
      <c r="A1697" s="111">
        <f t="shared" si="455"/>
        <v>45104</v>
      </c>
      <c r="B1697" s="112">
        <f t="shared" ref="B1697:F1697" si="458">IFERROR((B455/B454-1),"")</f>
        <v>3.3985618717131683E-3</v>
      </c>
      <c r="C1697" s="112">
        <f t="shared" si="458"/>
        <v>1.9265417761087145E-2</v>
      </c>
      <c r="D1697" s="112">
        <f t="shared" si="458"/>
        <v>-3.1735956839099577E-3</v>
      </c>
      <c r="E1697" s="112">
        <f t="shared" si="458"/>
        <v>-1.0969815539407457E-2</v>
      </c>
      <c r="F1697" s="112">
        <f t="shared" si="458"/>
        <v>6.7518404382811426E-3</v>
      </c>
    </row>
    <row r="1698" spans="1:6">
      <c r="A1698" s="111">
        <f t="shared" si="455"/>
        <v>45105</v>
      </c>
      <c r="B1698" s="112">
        <f t="shared" ref="B1698:F1698" si="459">IFERROR((B456/B455-1),"")</f>
        <v>-5.2766685681688852E-3</v>
      </c>
      <c r="C1698" s="112">
        <f t="shared" si="459"/>
        <v>-5.6544101204357711E-3</v>
      </c>
      <c r="D1698" s="112">
        <f t="shared" si="459"/>
        <v>1.6366205030245107E-2</v>
      </c>
      <c r="E1698" s="112">
        <f t="shared" si="459"/>
        <v>7.6499974769137502E-3</v>
      </c>
      <c r="F1698" s="112">
        <f t="shared" si="459"/>
        <v>8.2211145004089659E-3</v>
      </c>
    </row>
    <row r="1699" spans="1:6">
      <c r="A1699" s="111">
        <f t="shared" si="455"/>
        <v>45107</v>
      </c>
      <c r="B1699" s="112">
        <f t="shared" ref="B1699:F1699" si="460">IFERROR((B457/B456-1),"")</f>
        <v>4.2007168458781274E-2</v>
      </c>
      <c r="C1699" s="112">
        <f t="shared" si="460"/>
        <v>9.0813682023602738E-3</v>
      </c>
      <c r="D1699" s="112">
        <f t="shared" si="460"/>
        <v>1.013146431473122E-2</v>
      </c>
      <c r="E1699" s="112">
        <f t="shared" si="460"/>
        <v>6.4901895976683388E-3</v>
      </c>
      <c r="F1699" s="112">
        <f t="shared" si="460"/>
        <v>1.1435212759789426E-2</v>
      </c>
    </row>
    <row r="1700" spans="1:6">
      <c r="A1700" s="111">
        <f t="shared" si="455"/>
        <v>45110</v>
      </c>
      <c r="B1700" s="112">
        <f t="shared" ref="B1700:F1700" si="461">IFERROR((B458/B457-1),"")</f>
        <v>9.8720418271878163E-3</v>
      </c>
      <c r="C1700" s="112">
        <f t="shared" si="461"/>
        <v>-5.7202895166938994E-3</v>
      </c>
      <c r="D1700" s="112">
        <f t="shared" si="461"/>
        <v>-1.188076595084897E-2</v>
      </c>
      <c r="E1700" s="112">
        <f t="shared" si="461"/>
        <v>-3.2341204684996905E-3</v>
      </c>
      <c r="F1700" s="112">
        <f t="shared" si="461"/>
        <v>6.9570927169402275E-3</v>
      </c>
    </row>
    <row r="1701" spans="1:6">
      <c r="A1701" s="111">
        <f t="shared" si="455"/>
        <v>45111</v>
      </c>
      <c r="B1701" s="112">
        <f t="shared" ref="B1701:F1701" si="462">IFERROR((B459/B458-1),"")</f>
        <v>-2.3842773936442185E-3</v>
      </c>
      <c r="C1701" s="112">
        <f t="shared" si="462"/>
        <v>5.1768121510988863E-3</v>
      </c>
      <c r="D1701" s="112">
        <f t="shared" si="462"/>
        <v>1.7672557519173182E-2</v>
      </c>
      <c r="E1701" s="112">
        <f t="shared" si="462"/>
        <v>3.6938681788223349E-4</v>
      </c>
      <c r="F1701" s="112">
        <f t="shared" si="462"/>
        <v>3.4389870902133968E-3</v>
      </c>
    </row>
    <row r="1702" spans="1:6">
      <c r="A1702" s="111">
        <f t="shared" si="455"/>
        <v>45112</v>
      </c>
      <c r="B1702" s="112">
        <f t="shared" ref="B1702:F1702" si="463">IFERROR((B460/B459-1),"")</f>
        <v>7.4430673631737942E-3</v>
      </c>
      <c r="C1702" s="112">
        <f t="shared" si="463"/>
        <v>3.5785583825340694E-3</v>
      </c>
      <c r="D1702" s="112">
        <f t="shared" si="463"/>
        <v>-1.9370133374451148E-3</v>
      </c>
      <c r="E1702" s="112">
        <f t="shared" si="463"/>
        <v>1.7155174994760714E-2</v>
      </c>
      <c r="F1702" s="112">
        <f t="shared" si="463"/>
        <v>4.8996853886218439E-4</v>
      </c>
    </row>
    <row r="1703" spans="1:6">
      <c r="A1703" s="111">
        <f t="shared" si="455"/>
        <v>45113</v>
      </c>
      <c r="B1703" s="112">
        <f t="shared" ref="B1703:F1703" si="464">IFERROR((B461/B460-1),"")</f>
        <v>4.9784796827871292E-2</v>
      </c>
      <c r="C1703" s="112">
        <f t="shared" si="464"/>
        <v>4.2006581383782216E-3</v>
      </c>
      <c r="D1703" s="112">
        <f t="shared" si="464"/>
        <v>1.032182065715892E-2</v>
      </c>
      <c r="E1703" s="112">
        <f t="shared" si="464"/>
        <v>1.5197896430603652E-2</v>
      </c>
      <c r="F1703" s="112">
        <f t="shared" si="464"/>
        <v>5.0931773075237885E-3</v>
      </c>
    </row>
    <row r="1704" spans="1:6">
      <c r="A1704" s="111">
        <f t="shared" si="455"/>
        <v>45114</v>
      </c>
      <c r="B1704" s="112">
        <f t="shared" ref="B1704:F1704" si="465">IFERROR((B462/B461-1),"")</f>
        <v>9.9108987603306886E-3</v>
      </c>
      <c r="C1704" s="112">
        <f t="shared" si="465"/>
        <v>-1.1305923756137592E-2</v>
      </c>
      <c r="D1704" s="112">
        <f t="shared" si="465"/>
        <v>-9.4231430865093779E-3</v>
      </c>
      <c r="E1704" s="112">
        <f t="shared" si="465"/>
        <v>-2.3011278522484635E-2</v>
      </c>
      <c r="F1704" s="112">
        <f t="shared" si="465"/>
        <v>-8.4883547978438223E-3</v>
      </c>
    </row>
    <row r="1705" spans="1:6">
      <c r="A1705" s="111">
        <f t="shared" si="455"/>
        <v>45117</v>
      </c>
      <c r="B1705" s="112">
        <f t="shared" ref="B1705:F1705" si="466">IFERROR((B463/B462-1),"")</f>
        <v>-8.1513921299107839E-3</v>
      </c>
      <c r="C1705" s="112">
        <f t="shared" si="466"/>
        <v>-1.7126170963307152E-2</v>
      </c>
      <c r="D1705" s="112">
        <f t="shared" si="466"/>
        <v>-5.3159671972985434E-3</v>
      </c>
      <c r="E1705" s="112">
        <f t="shared" si="466"/>
        <v>-4.4811554060737446E-3</v>
      </c>
      <c r="F1705" s="112">
        <f t="shared" si="466"/>
        <v>1.2466505964268126E-3</v>
      </c>
    </row>
    <row r="1706" spans="1:6">
      <c r="A1706" s="111">
        <f t="shared" si="455"/>
        <v>45118</v>
      </c>
      <c r="B1706" s="112">
        <f t="shared" ref="B1706:F1706" si="467">IFERROR((B464/B463-1),"")</f>
        <v>1.1634652571870463E-2</v>
      </c>
      <c r="C1706" s="112">
        <f t="shared" si="467"/>
        <v>1.8573937935072449E-2</v>
      </c>
      <c r="D1706" s="112">
        <f t="shared" si="467"/>
        <v>2.1144724973085616E-3</v>
      </c>
      <c r="E1706" s="112">
        <f t="shared" si="467"/>
        <v>1.0344108031837163E-2</v>
      </c>
      <c r="F1706" s="112">
        <f t="shared" si="467"/>
        <v>4.3139301194985435E-3</v>
      </c>
    </row>
    <row r="1707" spans="1:6">
      <c r="A1707" s="111">
        <f t="shared" si="455"/>
        <v>45119</v>
      </c>
      <c r="B1707" s="112">
        <f t="shared" ref="B1707:F1707" si="468">IFERROR((B465/B464-1),"")</f>
        <v>8.9203224059364317E-4</v>
      </c>
      <c r="C1707" s="112">
        <f t="shared" si="468"/>
        <v>-1.003842919341269E-2</v>
      </c>
      <c r="D1707" s="112">
        <f t="shared" si="468"/>
        <v>4.4813535042633745E-3</v>
      </c>
      <c r="E1707" s="112">
        <f t="shared" si="468"/>
        <v>-1.9669938433092282E-3</v>
      </c>
      <c r="F1707" s="112">
        <f t="shared" si="468"/>
        <v>-2.8344496229308902E-3</v>
      </c>
    </row>
    <row r="1708" spans="1:6">
      <c r="A1708" s="111">
        <f t="shared" si="455"/>
        <v>45120</v>
      </c>
      <c r="B1708" s="112">
        <f t="shared" ref="B1708:F1708" si="469">IFERROR((B466/B465-1),"")</f>
        <v>-2.5145621797114659E-3</v>
      </c>
      <c r="C1708" s="112">
        <f t="shared" si="469"/>
        <v>2.2732160523033285E-2</v>
      </c>
      <c r="D1708" s="112">
        <f t="shared" si="469"/>
        <v>-8.9708999807284195E-3</v>
      </c>
      <c r="E1708" s="112">
        <f t="shared" si="469"/>
        <v>3.2420820276317652E-3</v>
      </c>
      <c r="F1708" s="112">
        <f t="shared" si="469"/>
        <v>1.5192707500399916E-3</v>
      </c>
    </row>
    <row r="1709" spans="1:6">
      <c r="A1709" s="111">
        <f t="shared" si="455"/>
        <v>45121</v>
      </c>
      <c r="B1709" s="112">
        <f t="shared" ref="B1709:F1709" si="470">IFERROR((B467/B466-1),"")</f>
        <v>-1.2987427404429264E-2</v>
      </c>
      <c r="C1709" s="112">
        <f t="shared" si="470"/>
        <v>3.5811166018294482E-2</v>
      </c>
      <c r="D1709" s="112">
        <f t="shared" si="470"/>
        <v>-9.8007758947583623E-3</v>
      </c>
      <c r="E1709" s="112">
        <f t="shared" si="470"/>
        <v>8.4178887502823763E-3</v>
      </c>
      <c r="F1709" s="112">
        <f t="shared" si="470"/>
        <v>7.7651149314275081E-3</v>
      </c>
    </row>
    <row r="1710" spans="1:6">
      <c r="A1710" s="111">
        <f t="shared" si="455"/>
        <v>45124</v>
      </c>
      <c r="B1710" s="112">
        <f t="shared" ref="B1710:F1710" si="471">IFERROR((B468/B467-1),"")</f>
        <v>-6.6276551032944386E-3</v>
      </c>
      <c r="C1710" s="112">
        <f t="shared" si="471"/>
        <v>6.5674611230663871E-3</v>
      </c>
      <c r="D1710" s="112">
        <f t="shared" si="471"/>
        <v>2.7042153945856962E-2</v>
      </c>
      <c r="E1710" s="112">
        <f t="shared" si="471"/>
        <v>1.9968051118210983E-3</v>
      </c>
      <c r="F1710" s="112">
        <f t="shared" si="471"/>
        <v>7.5110531830611116E-3</v>
      </c>
    </row>
    <row r="1711" spans="1:6">
      <c r="A1711" s="111">
        <f t="shared" si="455"/>
        <v>45125</v>
      </c>
      <c r="B1711" s="112">
        <f t="shared" ref="B1711:F1711" si="472">IFERROR((B469/B468-1),"")</f>
        <v>-1.0414632558743975E-3</v>
      </c>
      <c r="C1711" s="112">
        <f t="shared" si="472"/>
        <v>1.5529985982674077E-3</v>
      </c>
      <c r="D1711" s="112">
        <f t="shared" si="472"/>
        <v>-7.4095320043978674E-3</v>
      </c>
      <c r="E1711" s="112">
        <f t="shared" si="472"/>
        <v>-1.5417667130039225E-2</v>
      </c>
      <c r="F1711" s="112">
        <f t="shared" si="472"/>
        <v>1.9176671427012515E-3</v>
      </c>
    </row>
    <row r="1712" spans="1:6">
      <c r="A1712" s="111">
        <f t="shared" si="455"/>
        <v>45126</v>
      </c>
      <c r="B1712" s="112">
        <f t="shared" ref="B1712:F1712" si="473">IFERROR((B470/B469-1),"")</f>
        <v>6.3530331660910377E-3</v>
      </c>
      <c r="C1712" s="112">
        <f t="shared" si="473"/>
        <v>-1.810364791526109E-2</v>
      </c>
      <c r="D1712" s="112">
        <f t="shared" si="473"/>
        <v>5.8466576767481904E-3</v>
      </c>
      <c r="E1712" s="112">
        <f t="shared" si="473"/>
        <v>3.4556638330229816E-4</v>
      </c>
      <c r="F1712" s="112">
        <f t="shared" si="473"/>
        <v>4.248262592250418E-3</v>
      </c>
    </row>
    <row r="1713" spans="1:6">
      <c r="A1713" s="111">
        <f t="shared" si="455"/>
        <v>45127</v>
      </c>
      <c r="B1713" s="112">
        <f t="shared" ref="B1713:F1713" si="474">IFERROR((B471/B470-1),"")</f>
        <v>5.827317167923507E-4</v>
      </c>
      <c r="C1713" s="112">
        <f t="shared" si="474"/>
        <v>-1.1587485515643148E-2</v>
      </c>
      <c r="D1713" s="112">
        <f t="shared" si="474"/>
        <v>2.2589943213919605E-2</v>
      </c>
      <c r="E1713" s="112">
        <f t="shared" si="474"/>
        <v>-2.6352671785860871E-3</v>
      </c>
      <c r="F1713" s="112">
        <f t="shared" si="474"/>
        <v>7.3614125844860823E-3</v>
      </c>
    </row>
    <row r="1714" spans="1:6">
      <c r="A1714" s="111">
        <f t="shared" si="455"/>
        <v>45128</v>
      </c>
      <c r="B1714" s="112">
        <f t="shared" ref="B1714:F1714" si="475">IFERROR((B472/B471-1),"")</f>
        <v>-1.413919176885492E-2</v>
      </c>
      <c r="C1714" s="112">
        <f t="shared" si="475"/>
        <v>-3.7172291444044436E-2</v>
      </c>
      <c r="D1714" s="112">
        <f t="shared" si="475"/>
        <v>-9.5705429550688725E-3</v>
      </c>
      <c r="E1714" s="112">
        <f t="shared" si="475"/>
        <v>-1.0984552354751376E-3</v>
      </c>
      <c r="F1714" s="112">
        <f t="shared" si="475"/>
        <v>-1.1719717805812602E-2</v>
      </c>
    </row>
    <row r="1715" spans="1:6">
      <c r="A1715" s="111">
        <f t="shared" si="455"/>
        <v>45131</v>
      </c>
      <c r="B1715" s="112">
        <f t="shared" ref="B1715:F1715" si="476">IFERROR((B473/B472-1),"")</f>
        <v>1.5326550705611952E-2</v>
      </c>
      <c r="C1715" s="112">
        <f t="shared" si="476"/>
        <v>1.8403982501131511E-2</v>
      </c>
      <c r="D1715" s="112">
        <f t="shared" si="476"/>
        <v>1.9571877009190164E-2</v>
      </c>
      <c r="E1715" s="112">
        <f t="shared" si="476"/>
        <v>-1.54745393302953E-2</v>
      </c>
      <c r="F1715" s="112">
        <f t="shared" si="476"/>
        <v>-3.679412509496105E-3</v>
      </c>
    </row>
    <row r="1716" spans="1:6">
      <c r="A1716" s="111">
        <f t="shared" si="455"/>
        <v>45132</v>
      </c>
      <c r="B1716" s="112">
        <f t="shared" ref="B1716:F1716" si="477">IFERROR((B474/B473-1),"")</f>
        <v>1.2218379286937919E-2</v>
      </c>
      <c r="C1716" s="112">
        <f t="shared" si="477"/>
        <v>-8.030556319698734E-3</v>
      </c>
      <c r="D1716" s="112">
        <f t="shared" si="477"/>
        <v>6.2503477567372734E-3</v>
      </c>
      <c r="E1716" s="112">
        <f t="shared" si="477"/>
        <v>-1.6764273782929662E-2</v>
      </c>
      <c r="F1716" s="112">
        <f t="shared" si="477"/>
        <v>4.1937033450500927E-4</v>
      </c>
    </row>
    <row r="1717" spans="1:6">
      <c r="A1717" s="111">
        <f t="shared" si="455"/>
        <v>45133</v>
      </c>
      <c r="B1717" s="112">
        <f t="shared" ref="B1717:F1717" si="478">IFERROR((B475/B474-1),"")</f>
        <v>-1.3348235669806807E-2</v>
      </c>
      <c r="C1717" s="112">
        <f t="shared" si="478"/>
        <v>6.0583435550105591E-3</v>
      </c>
      <c r="D1717" s="112">
        <f t="shared" si="478"/>
        <v>9.2619898993624439E-3</v>
      </c>
      <c r="E1717" s="112">
        <f t="shared" si="478"/>
        <v>2.0058948747339045E-2</v>
      </c>
      <c r="F1717" s="112">
        <f t="shared" si="478"/>
        <v>4.9642795443227694E-3</v>
      </c>
    </row>
    <row r="1718" spans="1:6">
      <c r="A1718" s="111">
        <f t="shared" si="455"/>
        <v>45134</v>
      </c>
      <c r="B1718" s="112">
        <f t="shared" ref="B1718:F1718" si="479">IFERROR((B476/B475-1),"")</f>
        <v>-6.3080557982975627E-2</v>
      </c>
      <c r="C1718" s="112">
        <f t="shared" si="479"/>
        <v>-4.9722761150515771E-3</v>
      </c>
      <c r="D1718" s="112">
        <f t="shared" si="479"/>
        <v>5.7253476756184973E-3</v>
      </c>
      <c r="E1718" s="112">
        <f t="shared" si="479"/>
        <v>-2.2112529095433153E-2</v>
      </c>
      <c r="F1718" s="112">
        <f t="shared" si="479"/>
        <v>-5.9863587871554769E-3</v>
      </c>
    </row>
    <row r="1719" spans="1:6">
      <c r="A1719" s="111">
        <f t="shared" si="455"/>
        <v>45135</v>
      </c>
      <c r="B1719" s="112">
        <f t="shared" ref="B1719:F1719" si="480">IFERROR((B477/B476-1),"")</f>
        <v>1.4094237943899302E-2</v>
      </c>
      <c r="C1719" s="112">
        <f t="shared" si="480"/>
        <v>-4.3471775310588434E-3</v>
      </c>
      <c r="D1719" s="112">
        <f t="shared" si="480"/>
        <v>1.3800617396041215E-2</v>
      </c>
      <c r="E1719" s="112">
        <f t="shared" si="480"/>
        <v>6.1456067632454925E-3</v>
      </c>
      <c r="F1719" s="112">
        <f t="shared" si="480"/>
        <v>-7.044796769059003E-4</v>
      </c>
    </row>
    <row r="1720" spans="1:6">
      <c r="A1720" s="111">
        <f t="shared" si="455"/>
        <v>45138</v>
      </c>
      <c r="B1720" s="112">
        <f t="shared" ref="B1720:F1720" si="481">IFERROR((B478/B477-1),"")</f>
        <v>5.0415587954761865E-3</v>
      </c>
      <c r="C1720" s="112">
        <f t="shared" si="481"/>
        <v>6.7204588746441196E-3</v>
      </c>
      <c r="D1720" s="112">
        <f t="shared" si="481"/>
        <v>1.0290166577109128E-2</v>
      </c>
      <c r="E1720" s="112">
        <f t="shared" si="481"/>
        <v>-2.2311276984102846E-2</v>
      </c>
      <c r="F1720" s="112">
        <f t="shared" si="481"/>
        <v>5.4845630546598301E-3</v>
      </c>
    </row>
    <row r="1721" spans="1:6">
      <c r="A1721" s="111">
        <f t="shared" si="455"/>
        <v>45139</v>
      </c>
      <c r="B1721" s="112">
        <f t="shared" ref="B1721:F1721" si="482">IFERROR((B479/B478-1),"")</f>
        <v>1.2303416485900165E-2</v>
      </c>
      <c r="C1721" s="112">
        <f t="shared" si="482"/>
        <v>3.0135850500669692E-2</v>
      </c>
      <c r="D1721" s="112">
        <f t="shared" si="482"/>
        <v>4.7159357852655237E-3</v>
      </c>
      <c r="E1721" s="112">
        <f t="shared" si="482"/>
        <v>4.8811522856935241E-3</v>
      </c>
      <c r="F1721" s="112">
        <f t="shared" si="482"/>
        <v>-1.0251192175683155E-3</v>
      </c>
    </row>
    <row r="1722" spans="1:6">
      <c r="A1722" s="111">
        <f t="shared" si="455"/>
        <v>45140</v>
      </c>
      <c r="B1722" s="112">
        <f t="shared" ref="B1722:F1722" si="483">IFERROR((B480/B479-1),"")</f>
        <v>-5.3905648374459325E-3</v>
      </c>
      <c r="C1722" s="112">
        <f t="shared" si="483"/>
        <v>-1.8233600594372068E-2</v>
      </c>
      <c r="D1722" s="112">
        <f t="shared" si="483"/>
        <v>-1.1646270987551999E-3</v>
      </c>
      <c r="E1722" s="112">
        <f t="shared" si="483"/>
        <v>-1.6399057573148745E-3</v>
      </c>
      <c r="F1722" s="112">
        <f t="shared" si="483"/>
        <v>-1.0489749690248296E-2</v>
      </c>
    </row>
    <row r="1723" spans="1:6">
      <c r="A1723" s="111">
        <f t="shared" si="455"/>
        <v>45141</v>
      </c>
      <c r="B1723" s="112">
        <f t="shared" ref="B1723:F1723" si="484">IFERROR((B481/B480-1),"")</f>
        <v>-1.0873224264458248E-2</v>
      </c>
      <c r="C1723" s="112">
        <f t="shared" si="484"/>
        <v>1.7132286477055114E-3</v>
      </c>
      <c r="D1723" s="112">
        <f t="shared" si="484"/>
        <v>-1.6783117949970006E-4</v>
      </c>
      <c r="E1723" s="112">
        <f t="shared" si="484"/>
        <v>-2.1832018214140714E-3</v>
      </c>
      <c r="F1723" s="112">
        <f t="shared" si="484"/>
        <v>-7.4206657089961325E-3</v>
      </c>
    </row>
    <row r="1724" spans="1:6">
      <c r="A1724" s="111">
        <f t="shared" si="455"/>
        <v>45142</v>
      </c>
      <c r="B1724" s="112">
        <f t="shared" ref="B1724:F1724" si="485">IFERROR((B482/B481-1),"")</f>
        <v>-3.0629956097062427E-3</v>
      </c>
      <c r="C1724" s="112">
        <f t="shared" si="485"/>
        <v>2.5790881905461527E-2</v>
      </c>
      <c r="D1724" s="112">
        <f t="shared" si="485"/>
        <v>-1.7581058397384552E-3</v>
      </c>
      <c r="E1724" s="112">
        <f t="shared" si="485"/>
        <v>-9.3770512299529152E-5</v>
      </c>
      <c r="F1724" s="112">
        <f t="shared" si="485"/>
        <v>6.983409565233023E-3</v>
      </c>
    </row>
    <row r="1725" spans="1:6">
      <c r="A1725" s="111">
        <f t="shared" si="455"/>
        <v>45145</v>
      </c>
      <c r="B1725" s="112">
        <f t="shared" ref="B1725:F1725" si="486">IFERROR((B483/B482-1),"")</f>
        <v>4.2501621547810009E-2</v>
      </c>
      <c r="C1725" s="112">
        <f t="shared" si="486"/>
        <v>1.1149412354367172E-2</v>
      </c>
      <c r="D1725" s="112">
        <f t="shared" si="486"/>
        <v>-3.3365489286757422E-3</v>
      </c>
      <c r="E1725" s="112">
        <f t="shared" si="486"/>
        <v>-2.8915286026883424E-2</v>
      </c>
      <c r="F1725" s="112">
        <f t="shared" si="486"/>
        <v>4.1143618383971958E-3</v>
      </c>
    </row>
    <row r="1726" spans="1:6">
      <c r="A1726" s="111">
        <f t="shared" si="455"/>
        <v>45146</v>
      </c>
      <c r="B1726" s="112">
        <f t="shared" ref="B1726:F1726" si="487">IFERROR((B484/B483-1),"")</f>
        <v>-1.7813871242386536E-2</v>
      </c>
      <c r="C1726" s="112">
        <f t="shared" si="487"/>
        <v>7.7387636187065123E-3</v>
      </c>
      <c r="D1726" s="112">
        <f t="shared" si="487"/>
        <v>4.8395403768624057E-3</v>
      </c>
      <c r="E1726" s="112">
        <f t="shared" si="487"/>
        <v>-1.167444605397272E-2</v>
      </c>
      <c r="F1726" s="112">
        <f t="shared" si="487"/>
        <v>-1.3496757206350463E-3</v>
      </c>
    </row>
    <row r="1727" spans="1:6">
      <c r="A1727" s="111">
        <f t="shared" si="455"/>
        <v>45147</v>
      </c>
      <c r="B1727" s="112">
        <f t="shared" ref="B1727:F1727" si="488">IFERROR((B485/B484-1),"")</f>
        <v>2.3371340934853713E-2</v>
      </c>
      <c r="C1727" s="112">
        <f t="shared" si="488"/>
        <v>1.7476761227890547E-2</v>
      </c>
      <c r="D1727" s="112">
        <f t="shared" si="488"/>
        <v>3.7654981044371372E-2</v>
      </c>
      <c r="E1727" s="112">
        <f t="shared" si="488"/>
        <v>-9.6626749324169037E-4</v>
      </c>
      <c r="F1727" s="112">
        <f t="shared" si="488"/>
        <v>3.152647943242215E-3</v>
      </c>
    </row>
    <row r="1728" spans="1:6">
      <c r="A1728" s="111">
        <f t="shared" si="455"/>
        <v>45148</v>
      </c>
      <c r="B1728" s="112">
        <f t="shared" ref="B1728:F1728" si="489">IFERROR((B486/B485-1),"")</f>
        <v>6.9392409187165605E-3</v>
      </c>
      <c r="C1728" s="112">
        <f t="shared" si="489"/>
        <v>1.5578291024970659E-2</v>
      </c>
      <c r="D1728" s="112">
        <f t="shared" si="489"/>
        <v>-3.3810253789814393E-3</v>
      </c>
      <c r="E1728" s="112">
        <f t="shared" si="489"/>
        <v>-1.3138733726010043E-2</v>
      </c>
      <c r="F1728" s="112">
        <f t="shared" si="489"/>
        <v>-4.5562089489139534E-3</v>
      </c>
    </row>
    <row r="1729" spans="1:6">
      <c r="A1729" s="111">
        <f t="shared" si="455"/>
        <v>45149</v>
      </c>
      <c r="B1729" s="112">
        <f t="shared" ref="B1729:F1729" si="490">IFERROR((B487/B486-1),"")</f>
        <v>6.7943574479101265E-4</v>
      </c>
      <c r="C1729" s="112">
        <f t="shared" si="490"/>
        <v>2.3509296858302831E-2</v>
      </c>
      <c r="D1729" s="112">
        <f t="shared" si="490"/>
        <v>-4.8110200558865168E-3</v>
      </c>
      <c r="E1729" s="112">
        <f t="shared" si="490"/>
        <v>-6.6403109823914841E-3</v>
      </c>
      <c r="F1729" s="112">
        <f t="shared" si="490"/>
        <v>-5.8741960077981492E-3</v>
      </c>
    </row>
    <row r="1730" spans="1:6">
      <c r="A1730" s="111">
        <f t="shared" si="455"/>
        <v>45152</v>
      </c>
      <c r="B1730" s="112">
        <f t="shared" ref="B1730:F1730" si="491">IFERROR((B488/B487-1),"")</f>
        <v>2.5865692392246231E-4</v>
      </c>
      <c r="C1730" s="112">
        <f t="shared" si="491"/>
        <v>1.7369350215457047E-3</v>
      </c>
      <c r="D1730" s="112">
        <f t="shared" si="491"/>
        <v>6.0106474326193648E-5</v>
      </c>
      <c r="E1730" s="112">
        <f t="shared" si="491"/>
        <v>-2.372347737401026E-3</v>
      </c>
      <c r="F1730" s="112">
        <f t="shared" si="491"/>
        <v>3.2169567074835648E-4</v>
      </c>
    </row>
    <row r="1731" spans="1:6">
      <c r="A1731" s="111">
        <f t="shared" si="455"/>
        <v>45154</v>
      </c>
      <c r="B1731" s="112">
        <f t="shared" ref="B1731:F1731" si="492">IFERROR((B489/B488-1),"")</f>
        <v>1.535378349549088E-2</v>
      </c>
      <c r="C1731" s="112">
        <f t="shared" si="492"/>
        <v>-3.8108412844297446E-2</v>
      </c>
      <c r="D1731" s="112">
        <f t="shared" si="492"/>
        <v>5.9244249444048158E-3</v>
      </c>
      <c r="E1731" s="112">
        <f t="shared" si="492"/>
        <v>-2.4446617477114074E-4</v>
      </c>
      <c r="F1731" s="112">
        <f t="shared" si="492"/>
        <v>1.5667972759854099E-3</v>
      </c>
    </row>
    <row r="1732" spans="1:6">
      <c r="A1732" s="111">
        <f t="shared" si="455"/>
        <v>45155</v>
      </c>
      <c r="B1732" s="112">
        <f t="shared" ref="B1732:F1732" si="493">IFERROR((B490/B489-1),"")</f>
        <v>1.8464281166434837E-3</v>
      </c>
      <c r="C1732" s="112">
        <f t="shared" si="493"/>
        <v>-1.3938277563805834E-2</v>
      </c>
      <c r="D1732" s="112">
        <f t="shared" si="493"/>
        <v>3.8922130133069999E-3</v>
      </c>
      <c r="E1732" s="112">
        <f t="shared" si="493"/>
        <v>6.8911859508724582E-4</v>
      </c>
      <c r="F1732" s="112">
        <f t="shared" si="493"/>
        <v>-5.1245825841254034E-3</v>
      </c>
    </row>
    <row r="1733" spans="1:6">
      <c r="A1733" s="111">
        <f t="shared" si="455"/>
        <v>45156</v>
      </c>
      <c r="B1733" s="112">
        <f t="shared" ref="B1733:F1733" si="494">IFERROR((B491/B490-1),"")</f>
        <v>-1.325071496663488E-2</v>
      </c>
      <c r="C1733" s="112">
        <f t="shared" si="494"/>
        <v>-1.6992327978901933E-2</v>
      </c>
      <c r="D1733" s="112">
        <f t="shared" si="494"/>
        <v>-1.0543052213616289E-3</v>
      </c>
      <c r="E1733" s="112">
        <f t="shared" si="494"/>
        <v>7.4306913097565985E-3</v>
      </c>
      <c r="F1733" s="112">
        <f t="shared" si="494"/>
        <v>-2.8453027975366973E-3</v>
      </c>
    </row>
    <row r="1734" spans="1:6">
      <c r="A1734" s="111">
        <f t="shared" si="455"/>
        <v>45159</v>
      </c>
      <c r="B1734" s="112">
        <f t="shared" ref="B1734:F1734" si="495">IFERROR((B492/B491-1),"")</f>
        <v>-9.0812481885809149E-3</v>
      </c>
      <c r="C1734" s="112">
        <f t="shared" si="495"/>
        <v>1.5517819578671377E-2</v>
      </c>
      <c r="D1734" s="112">
        <f t="shared" si="495"/>
        <v>6.1963247623182394E-3</v>
      </c>
      <c r="E1734" s="112">
        <f t="shared" si="495"/>
        <v>-5.4133912525772265E-3</v>
      </c>
      <c r="F1734" s="112">
        <f t="shared" si="495"/>
        <v>4.3215614586109563E-3</v>
      </c>
    </row>
    <row r="1735" spans="1:6">
      <c r="A1735" s="111">
        <f t="shared" si="455"/>
        <v>45160</v>
      </c>
      <c r="B1735" s="112">
        <f t="shared" ref="B1735:F1735" si="496">IFERROR((B493/B492-1),"")</f>
        <v>7.7670533944298459E-3</v>
      </c>
      <c r="C1735" s="112">
        <f t="shared" si="496"/>
        <v>-7.1049734814369048E-3</v>
      </c>
      <c r="D1735" s="112">
        <f t="shared" si="496"/>
        <v>2.4869519612236157E-3</v>
      </c>
      <c r="E1735" s="112">
        <f t="shared" si="496"/>
        <v>2.5496064737828839E-4</v>
      </c>
      <c r="F1735" s="112">
        <f t="shared" si="496"/>
        <v>1.4695569672484865E-4</v>
      </c>
    </row>
    <row r="1736" spans="1:6">
      <c r="A1736" s="111">
        <f t="shared" si="455"/>
        <v>45161</v>
      </c>
      <c r="B1736" s="112">
        <f t="shared" ref="B1736:F1736" si="497">IFERROR((B494/B493-1),"")</f>
        <v>-5.1918735891647305E-3</v>
      </c>
      <c r="C1736" s="112">
        <f t="shared" si="497"/>
        <v>-9.6553114291474396E-3</v>
      </c>
      <c r="D1736" s="112">
        <f t="shared" si="497"/>
        <v>4.6915476200521944E-3</v>
      </c>
      <c r="E1736" s="112">
        <f t="shared" si="497"/>
        <v>1.7731871931569998E-4</v>
      </c>
      <c r="F1736" s="112">
        <f t="shared" si="497"/>
        <v>2.4514795233148146E-3</v>
      </c>
    </row>
    <row r="1737" spans="1:6">
      <c r="A1737" s="111">
        <f t="shared" si="455"/>
        <v>45162</v>
      </c>
      <c r="B1737" s="112">
        <f t="shared" ref="B1737:F1737" si="498">IFERROR((B495/B494-1),"")</f>
        <v>-1.6207980809745948E-4</v>
      </c>
      <c r="C1737" s="112">
        <f t="shared" si="498"/>
        <v>9.7240031751847145E-2</v>
      </c>
      <c r="D1737" s="112">
        <f t="shared" si="498"/>
        <v>-7.7603366171987709E-3</v>
      </c>
      <c r="E1737" s="112">
        <f t="shared" si="498"/>
        <v>6.7258362973552366E-3</v>
      </c>
      <c r="F1737" s="112">
        <f t="shared" si="498"/>
        <v>-2.9469245011314316E-3</v>
      </c>
    </row>
    <row r="1738" spans="1:6">
      <c r="A1738" s="111">
        <f t="shared" si="455"/>
        <v>45163</v>
      </c>
      <c r="B1738" s="112">
        <f t="shared" ref="B1738:F1738" si="499">IFERROR((B496/B495-1),"")</f>
        <v>-1.4362598884710254E-2</v>
      </c>
      <c r="C1738" s="112">
        <f t="shared" si="499"/>
        <v>-2.4977508185165642E-2</v>
      </c>
      <c r="D1738" s="112">
        <f t="shared" si="499"/>
        <v>-2.1651727144223698E-2</v>
      </c>
      <c r="E1738" s="112">
        <f t="shared" si="499"/>
        <v>-3.7421854362947871E-3</v>
      </c>
      <c r="F1738" s="112">
        <f t="shared" si="499"/>
        <v>-6.2362341192674364E-3</v>
      </c>
    </row>
    <row r="1739" spans="1:6">
      <c r="A1739" s="111">
        <f t="shared" si="455"/>
        <v>45166</v>
      </c>
      <c r="B1739" s="112">
        <f t="shared" ref="B1739:F1739" si="500">IFERROR((B497/B496-1),"")</f>
        <v>1.9209894411368111E-2</v>
      </c>
      <c r="C1739" s="112">
        <f t="shared" si="500"/>
        <v>-1.6038202503709797E-2</v>
      </c>
      <c r="D1739" s="112">
        <f t="shared" si="500"/>
        <v>-5.7965999048303907E-4</v>
      </c>
      <c r="E1739" s="112">
        <f t="shared" si="500"/>
        <v>-3.2811878562907237E-3</v>
      </c>
      <c r="F1739" s="112">
        <f t="shared" si="500"/>
        <v>2.0891943236200916E-3</v>
      </c>
    </row>
    <row r="1740" spans="1:6">
      <c r="A1740" s="111">
        <f t="shared" si="455"/>
        <v>45167</v>
      </c>
      <c r="B1740" s="112">
        <f t="shared" ref="B1740:F1740" si="501">IFERROR((B498/B497-1),"")</f>
        <v>7.4874939486848646E-3</v>
      </c>
      <c r="C1740" s="112">
        <f t="shared" si="501"/>
        <v>1.0383031381117069E-2</v>
      </c>
      <c r="D1740" s="112">
        <f t="shared" si="501"/>
        <v>-9.0202392700705625E-3</v>
      </c>
      <c r="E1740" s="112">
        <f t="shared" si="501"/>
        <v>4.3893193229807004E-3</v>
      </c>
      <c r="F1740" s="112">
        <f t="shared" si="501"/>
        <v>1.8957787843707496E-3</v>
      </c>
    </row>
    <row r="1741" spans="1:6">
      <c r="A1741" s="111">
        <f t="shared" si="455"/>
        <v>45168</v>
      </c>
      <c r="B1741" s="112">
        <f t="shared" ref="B1741:F1741" si="502">IFERROR((B499/B498-1),"")</f>
        <v>1.4319120991767464E-2</v>
      </c>
      <c r="C1741" s="112">
        <f t="shared" si="502"/>
        <v>1.3902709736681063E-2</v>
      </c>
      <c r="D1741" s="112">
        <f t="shared" si="502"/>
        <v>-1.2937209546105666E-2</v>
      </c>
      <c r="E1741" s="112">
        <f t="shared" si="502"/>
        <v>4.4253158969265183E-3</v>
      </c>
      <c r="F1741" s="112">
        <f t="shared" si="502"/>
        <v>2.4815627641494586E-4</v>
      </c>
    </row>
    <row r="1742" spans="1:6">
      <c r="A1742" s="111">
        <f t="shared" si="455"/>
        <v>45169</v>
      </c>
      <c r="B1742" s="112">
        <f t="shared" ref="B1742:F1742" si="503">IFERROR((B500/B499-1),"")</f>
        <v>-4.9267306720565118E-3</v>
      </c>
      <c r="C1742" s="112">
        <f t="shared" si="503"/>
        <v>3.174633133581839E-2</v>
      </c>
      <c r="D1742" s="112">
        <f t="shared" si="503"/>
        <v>-7.4162573565202949E-3</v>
      </c>
      <c r="E1742" s="112">
        <f t="shared" si="503"/>
        <v>-1.824953854267386E-2</v>
      </c>
      <c r="F1742" s="112">
        <f t="shared" si="503"/>
        <v>-4.840431167931758E-3</v>
      </c>
    </row>
    <row r="1743" spans="1:6">
      <c r="A1743" s="111">
        <f t="shared" si="455"/>
        <v>45170</v>
      </c>
      <c r="B1743" s="112">
        <f t="shared" ref="B1743:F1743" si="504">IFERROR((B501/B500-1),"")</f>
        <v>1.0505268503237186E-2</v>
      </c>
      <c r="C1743" s="112">
        <f t="shared" si="504"/>
        <v>-2.6616908596985844E-3</v>
      </c>
      <c r="D1743" s="112">
        <f t="shared" si="504"/>
        <v>-5.2248187808160429E-3</v>
      </c>
      <c r="E1743" s="112">
        <f t="shared" si="504"/>
        <v>3.7155167589950633E-3</v>
      </c>
      <c r="F1743" s="112">
        <f t="shared" si="504"/>
        <v>9.4267105714196386E-3</v>
      </c>
    </row>
    <row r="1744" spans="1:6">
      <c r="A1744" s="111">
        <f t="shared" si="455"/>
        <v>45173</v>
      </c>
      <c r="B1744" s="112">
        <f t="shared" ref="B1744:F1744" si="505">IFERROR((B502/B501-1),"")</f>
        <v>-9.7678947203115873E-3</v>
      </c>
      <c r="C1744" s="112">
        <f t="shared" si="505"/>
        <v>6.8049670756982206E-3</v>
      </c>
      <c r="D1744" s="112">
        <f t="shared" si="505"/>
        <v>1.45019763200116E-2</v>
      </c>
      <c r="E1744" s="112">
        <f t="shared" si="505"/>
        <v>5.0954987902369631E-3</v>
      </c>
      <c r="F1744" s="112">
        <f t="shared" si="505"/>
        <v>4.8108338950261231E-3</v>
      </c>
    </row>
    <row r="1745" spans="1:6">
      <c r="A1745" s="111">
        <f t="shared" si="455"/>
        <v>45174</v>
      </c>
      <c r="B1745" s="112">
        <f t="shared" ref="B1745:F1745" si="506">IFERROR((B503/B502-1),"")</f>
        <v>-3.3303730017761879E-3</v>
      </c>
      <c r="C1745" s="112">
        <f t="shared" si="506"/>
        <v>2.2317361996720742E-2</v>
      </c>
      <c r="D1745" s="112">
        <f t="shared" si="506"/>
        <v>-1.4232831812278635E-2</v>
      </c>
      <c r="E1745" s="112">
        <f t="shared" si="506"/>
        <v>1.719471068512668E-3</v>
      </c>
      <c r="F1745" s="112">
        <f t="shared" si="506"/>
        <v>2.3606161156857208E-3</v>
      </c>
    </row>
    <row r="1746" spans="1:6">
      <c r="A1746" s="111">
        <f t="shared" si="455"/>
        <v>45175</v>
      </c>
      <c r="B1746" s="112">
        <f t="shared" ref="B1746:F1746" si="507">IFERROR((B504/B503-1),"")</f>
        <v>3.723387327753569E-3</v>
      </c>
      <c r="C1746" s="112">
        <f t="shared" si="507"/>
        <v>2.512697139802178E-3</v>
      </c>
      <c r="D1746" s="112">
        <f t="shared" si="507"/>
        <v>7.8868594167325057E-4</v>
      </c>
      <c r="E1746" s="112">
        <f t="shared" si="507"/>
        <v>1.2004562619741144E-2</v>
      </c>
      <c r="F1746" s="112">
        <f t="shared" si="507"/>
        <v>1.8467527292602703E-3</v>
      </c>
    </row>
    <row r="1747" spans="1:6">
      <c r="A1747" s="111">
        <f t="shared" si="455"/>
        <v>45176</v>
      </c>
      <c r="B1747" s="112">
        <f t="shared" ref="B1747:F1747" si="508">IFERROR((B505/B504-1),"")</f>
        <v>-7.1337983512999026E-3</v>
      </c>
      <c r="C1747" s="112">
        <f t="shared" si="508"/>
        <v>-2.7108219567689718E-3</v>
      </c>
      <c r="D1747" s="112">
        <f t="shared" si="508"/>
        <v>5.7045116687262087E-3</v>
      </c>
      <c r="E1747" s="112">
        <f t="shared" si="508"/>
        <v>-8.4151319173150219E-3</v>
      </c>
      <c r="F1747" s="112">
        <f t="shared" si="508"/>
        <v>5.91503259641879E-3</v>
      </c>
    </row>
    <row r="1748" spans="1:6">
      <c r="A1748" s="111">
        <f t="shared" si="455"/>
        <v>45177</v>
      </c>
      <c r="B1748" s="112">
        <f t="shared" ref="B1748:F1748" si="509">IFERROR((B506/B505-1),"")</f>
        <v>1.1496088136675464E-3</v>
      </c>
      <c r="C1748" s="112">
        <f t="shared" si="509"/>
        <v>-1.0649959449945179E-2</v>
      </c>
      <c r="D1748" s="112">
        <f t="shared" si="509"/>
        <v>-5.5831099792524874E-3</v>
      </c>
      <c r="E1748" s="112">
        <f t="shared" si="509"/>
        <v>2.1630211667071908E-3</v>
      </c>
      <c r="F1748" s="112">
        <f t="shared" si="509"/>
        <v>4.7092697590365162E-3</v>
      </c>
    </row>
    <row r="1749" spans="1:6">
      <c r="A1749" s="111">
        <f t="shared" si="455"/>
        <v>45180</v>
      </c>
      <c r="B1749" s="112">
        <f t="shared" ref="B1749:F1749" si="510">IFERROR((B507/B506-1),"")</f>
        <v>9.2820005741443001E-3</v>
      </c>
      <c r="C1749" s="112">
        <f t="shared" si="510"/>
        <v>-6.287608546823531E-3</v>
      </c>
      <c r="D1749" s="112">
        <f t="shared" si="510"/>
        <v>5.3726852680970882E-3</v>
      </c>
      <c r="E1749" s="112">
        <f t="shared" si="510"/>
        <v>6.1777337297654888E-3</v>
      </c>
      <c r="F1749" s="112">
        <f t="shared" si="510"/>
        <v>8.9001233605532359E-3</v>
      </c>
    </row>
    <row r="1750" spans="1:6">
      <c r="A1750" s="111">
        <f t="shared" si="455"/>
        <v>45181</v>
      </c>
      <c r="B1750" s="112">
        <f t="shared" ref="B1750:F1750" si="511">IFERROR((B508/B507-1),"")</f>
        <v>-1.5264521838063261E-2</v>
      </c>
      <c r="C1750" s="112">
        <f t="shared" si="511"/>
        <v>-1.0189096578856693E-2</v>
      </c>
      <c r="D1750" s="112">
        <f t="shared" si="511"/>
        <v>1.068794755780389E-2</v>
      </c>
      <c r="E1750" s="112">
        <f t="shared" si="511"/>
        <v>-3.0644296330362142E-4</v>
      </c>
      <c r="F1750" s="112">
        <f t="shared" si="511"/>
        <v>-1.5752874899654934E-4</v>
      </c>
    </row>
    <row r="1751" spans="1:6">
      <c r="A1751" s="111">
        <f t="shared" si="455"/>
        <v>45182</v>
      </c>
      <c r="B1751" s="112">
        <f t="shared" ref="B1751:F1751" si="512">IFERROR((B509/B508-1),"")</f>
        <v>-1.3479251580602702E-2</v>
      </c>
      <c r="C1751" s="112">
        <f t="shared" si="512"/>
        <v>-4.093781481820713E-3</v>
      </c>
      <c r="D1751" s="112">
        <f t="shared" si="512"/>
        <v>1.1473791815009404E-2</v>
      </c>
      <c r="E1751" s="112">
        <f t="shared" si="512"/>
        <v>8.9990475460626218E-3</v>
      </c>
      <c r="F1751" s="112">
        <f t="shared" si="512"/>
        <v>3.8413060440549707E-3</v>
      </c>
    </row>
    <row r="1752" spans="1:6">
      <c r="A1752" s="111">
        <f t="shared" si="455"/>
        <v>45183</v>
      </c>
      <c r="B1752" s="112">
        <f t="shared" ref="B1752:F1752" si="513">IFERROR((B510/B509-1),"")</f>
        <v>1.8901070301571288E-2</v>
      </c>
      <c r="C1752" s="112">
        <f t="shared" si="513"/>
        <v>3.5864377477170528E-3</v>
      </c>
      <c r="D1752" s="112">
        <f t="shared" si="513"/>
        <v>1.0019341685689742E-3</v>
      </c>
      <c r="E1752" s="112">
        <f t="shared" si="513"/>
        <v>-7.3563717246242222E-3</v>
      </c>
      <c r="F1752" s="112">
        <f t="shared" si="513"/>
        <v>1.6492277030393243E-3</v>
      </c>
    </row>
    <row r="1753" spans="1:6">
      <c r="A1753" s="111">
        <f t="shared" si="455"/>
        <v>45184</v>
      </c>
      <c r="B1753" s="112">
        <f t="shared" ref="B1753:F1753" si="514">IFERROR((B511/B510-1),"")</f>
        <v>2.2413793103448265E-2</v>
      </c>
      <c r="C1753" s="112">
        <f t="shared" si="514"/>
        <v>2.9734360825781403E-2</v>
      </c>
      <c r="D1753" s="112">
        <f t="shared" si="514"/>
        <v>1.3029514417762567E-2</v>
      </c>
      <c r="E1753" s="112">
        <f t="shared" si="514"/>
        <v>-9.0723272158885759E-3</v>
      </c>
      <c r="F1753" s="112">
        <f t="shared" si="514"/>
        <v>4.4396137909079592E-3</v>
      </c>
    </row>
    <row r="1754" spans="1:6">
      <c r="A1754" s="111">
        <f t="shared" si="455"/>
        <v>45187</v>
      </c>
      <c r="B1754" s="112">
        <f t="shared" ref="B1754:F1754" si="515">IFERROR((B512/B511-1),"")</f>
        <v>2.5201424020985685E-2</v>
      </c>
      <c r="C1754" s="112">
        <f t="shared" si="515"/>
        <v>-1.3169837512680416E-2</v>
      </c>
      <c r="D1754" s="112">
        <f t="shared" si="515"/>
        <v>-1.5723000257754305E-2</v>
      </c>
      <c r="E1754" s="112">
        <f t="shared" si="515"/>
        <v>1.3975754767971527E-2</v>
      </c>
      <c r="F1754" s="112">
        <f t="shared" si="515"/>
        <v>-2.9243748251194246E-3</v>
      </c>
    </row>
    <row r="1755" spans="1:6">
      <c r="A1755" s="111">
        <f t="shared" si="455"/>
        <v>45189</v>
      </c>
      <c r="B1755" s="112">
        <f t="shared" ref="B1755:F1755" si="516">IFERROR((B513/B512-1),"")</f>
        <v>-4.5386700782844569E-3</v>
      </c>
      <c r="C1755" s="112">
        <f t="shared" si="516"/>
        <v>-2.2885895146891877E-2</v>
      </c>
      <c r="D1755" s="112">
        <f t="shared" si="516"/>
        <v>-1.9718924581005548E-2</v>
      </c>
      <c r="E1755" s="112">
        <f t="shared" si="516"/>
        <v>-1.4968887341717085E-2</v>
      </c>
      <c r="F1755" s="112">
        <f t="shared" si="516"/>
        <v>-1.1518230990448575E-2</v>
      </c>
    </row>
    <row r="1756" spans="1:6">
      <c r="A1756" s="111">
        <f t="shared" si="455"/>
        <v>45190</v>
      </c>
      <c r="B1756" s="112">
        <f t="shared" ref="B1756:F1756" si="517">IFERROR((B514/B513-1),"")</f>
        <v>-3.1058751529987716E-2</v>
      </c>
      <c r="C1756" s="112">
        <f t="shared" si="517"/>
        <v>-1.5079365079365026E-2</v>
      </c>
      <c r="D1756" s="112">
        <f t="shared" si="517"/>
        <v>9.5190603823653852E-3</v>
      </c>
      <c r="E1756" s="112">
        <f t="shared" si="517"/>
        <v>6.8803286654592899E-3</v>
      </c>
      <c r="F1756" s="112">
        <f t="shared" si="517"/>
        <v>-7.9919000673320806E-3</v>
      </c>
    </row>
    <row r="1757" spans="1:6">
      <c r="A1757" s="111">
        <f t="shared" si="455"/>
        <v>45191</v>
      </c>
      <c r="B1757" s="112">
        <f t="shared" ref="B1757:F1757" si="518">IFERROR((B515/B514-1),"")</f>
        <v>1.5095531343755075E-2</v>
      </c>
      <c r="C1757" s="112">
        <f t="shared" si="518"/>
        <v>-8.0299083634727264E-3</v>
      </c>
      <c r="D1757" s="112">
        <f t="shared" si="518"/>
        <v>-2.6717826585516469E-2</v>
      </c>
      <c r="E1757" s="112">
        <f t="shared" si="518"/>
        <v>1.3381448048173095E-3</v>
      </c>
      <c r="F1757" s="112">
        <f t="shared" si="518"/>
        <v>-3.4494373770092013E-3</v>
      </c>
    </row>
    <row r="1758" spans="1:6">
      <c r="A1758" s="111">
        <f t="shared" si="455"/>
        <v>45194</v>
      </c>
      <c r="B1758" s="112">
        <f t="shared" ref="B1758:F1758" si="519">IFERROR((B516/B515-1),"")</f>
        <v>-1.1013284385402722E-2</v>
      </c>
      <c r="C1758" s="112">
        <f t="shared" si="519"/>
        <v>-1.4262909822516656E-3</v>
      </c>
      <c r="D1758" s="112">
        <f t="shared" si="519"/>
        <v>-1.419236729774076E-2</v>
      </c>
      <c r="E1758" s="112">
        <f t="shared" si="519"/>
        <v>1.1830041733760233E-3</v>
      </c>
      <c r="F1758" s="112">
        <f t="shared" si="519"/>
        <v>1.5248357624786379E-5</v>
      </c>
    </row>
    <row r="1759" spans="1:6">
      <c r="A1759" s="111">
        <f t="shared" ref="A1759:A1822" si="520">A517</f>
        <v>45195</v>
      </c>
      <c r="B1759" s="112">
        <f t="shared" ref="B1759:F1759" si="521">IFERROR((B517/B516-1),"")</f>
        <v>3.6176035735631107E-3</v>
      </c>
      <c r="C1759" s="112">
        <f t="shared" si="521"/>
        <v>-1.7537221665184677E-2</v>
      </c>
      <c r="D1759" s="112">
        <f t="shared" si="521"/>
        <v>5.3321075614800595E-3</v>
      </c>
      <c r="E1759" s="112">
        <f t="shared" si="521"/>
        <v>6.58636119954914E-3</v>
      </c>
      <c r="F1759" s="112">
        <f t="shared" si="521"/>
        <v>-5.0064677464023433E-4</v>
      </c>
    </row>
    <row r="1760" spans="1:6">
      <c r="A1760" s="111">
        <f t="shared" si="520"/>
        <v>45196</v>
      </c>
      <c r="B1760" s="112">
        <f t="shared" ref="B1760:F1760" si="522">IFERROR((B518/B517-1),"")</f>
        <v>-3.7612838515546088E-3</v>
      </c>
      <c r="C1760" s="112">
        <f t="shared" si="522"/>
        <v>2.2625741354076467E-3</v>
      </c>
      <c r="D1760" s="112">
        <f t="shared" si="522"/>
        <v>5.2489598097937851E-3</v>
      </c>
      <c r="E1760" s="112">
        <f t="shared" si="522"/>
        <v>5.9128506679131387E-3</v>
      </c>
      <c r="F1760" s="112">
        <f t="shared" si="522"/>
        <v>2.6316190941126916E-3</v>
      </c>
    </row>
    <row r="1761" spans="1:6">
      <c r="A1761" s="111">
        <f t="shared" si="520"/>
        <v>45197</v>
      </c>
      <c r="B1761" s="112">
        <f t="shared" ref="B1761:F1761" si="523">IFERROR((B519/B518-1),"")</f>
        <v>-2.0859551975836998E-2</v>
      </c>
      <c r="C1761" s="112">
        <f t="shared" si="523"/>
        <v>-1.5686990268878542E-2</v>
      </c>
      <c r="D1761" s="112">
        <f t="shared" si="523"/>
        <v>-1.2253363534645123E-2</v>
      </c>
      <c r="E1761" s="112">
        <f t="shared" si="523"/>
        <v>-2.2215739029898374E-2</v>
      </c>
      <c r="F1761" s="112">
        <f t="shared" si="523"/>
        <v>-9.7837085276508695E-3</v>
      </c>
    </row>
    <row r="1762" spans="1:6">
      <c r="A1762" s="111">
        <f t="shared" si="520"/>
        <v>45198</v>
      </c>
      <c r="B1762" s="112">
        <f t="shared" ref="B1762:F1762" si="524">IFERROR((B520/B519-1),"")</f>
        <v>-1.1567751678930316E-3</v>
      </c>
      <c r="C1762" s="112">
        <f t="shared" si="524"/>
        <v>-3.6792692210100286E-3</v>
      </c>
      <c r="D1762" s="112">
        <f t="shared" si="524"/>
        <v>2.9084010241108293E-2</v>
      </c>
      <c r="E1762" s="112">
        <f t="shared" si="524"/>
        <v>2.7848073289056252E-3</v>
      </c>
      <c r="F1762" s="112">
        <f t="shared" si="524"/>
        <v>5.8775171523621772E-3</v>
      </c>
    </row>
    <row r="1763" spans="1:6">
      <c r="A1763" s="111">
        <f t="shared" si="520"/>
        <v>45202</v>
      </c>
      <c r="B1763" s="112">
        <f t="shared" ref="B1763:F1763" si="525">IFERROR((B521/B520-1),"")</f>
        <v>-1.0841241756474163E-2</v>
      </c>
      <c r="C1763" s="112">
        <f t="shared" si="525"/>
        <v>4.2120110883647754E-4</v>
      </c>
      <c r="D1763" s="112">
        <f t="shared" si="525"/>
        <v>-2.2427062824413979E-2</v>
      </c>
      <c r="E1763" s="112">
        <f t="shared" si="525"/>
        <v>-9.1907915762097225E-3</v>
      </c>
      <c r="F1763" s="112">
        <f t="shared" si="525"/>
        <v>-5.5783850944327584E-3</v>
      </c>
    </row>
    <row r="1764" spans="1:6">
      <c r="A1764" s="111">
        <f t="shared" si="520"/>
        <v>45203</v>
      </c>
      <c r="B1764" s="112">
        <f t="shared" ref="B1764:F1764" si="526">IFERROR((B522/B521-1),"")</f>
        <v>-9.9518667880839073E-3</v>
      </c>
      <c r="C1764" s="112">
        <f t="shared" si="526"/>
        <v>5.7082990639565345E-3</v>
      </c>
      <c r="D1764" s="112">
        <f t="shared" si="526"/>
        <v>-8.0377904315506177E-3</v>
      </c>
      <c r="E1764" s="112">
        <f t="shared" si="526"/>
        <v>8.2416665739803996E-3</v>
      </c>
      <c r="F1764" s="112">
        <f t="shared" si="526"/>
        <v>-4.7442872687705195E-3</v>
      </c>
    </row>
    <row r="1765" spans="1:6">
      <c r="A1765" s="111">
        <f t="shared" si="520"/>
        <v>45204</v>
      </c>
      <c r="B1765" s="112">
        <f t="shared" ref="B1765:F1765" si="527">IFERROR((B523/B522-1),"")</f>
        <v>1.0413244859076354E-2</v>
      </c>
      <c r="C1765" s="112">
        <f t="shared" si="527"/>
        <v>1.3620211264177673E-2</v>
      </c>
      <c r="D1765" s="112">
        <f t="shared" si="527"/>
        <v>-1.9472848757797756E-3</v>
      </c>
      <c r="E1765" s="112">
        <f t="shared" si="527"/>
        <v>3.0888030888021056E-4</v>
      </c>
      <c r="F1765" s="112">
        <f t="shared" si="527"/>
        <v>5.6415638939910639E-3</v>
      </c>
    </row>
    <row r="1766" spans="1:6">
      <c r="A1766" s="111">
        <f t="shared" si="520"/>
        <v>45205</v>
      </c>
      <c r="B1766" s="112">
        <f t="shared" ref="B1766:F1766" si="528">IFERROR((B524/B523-1),"")</f>
        <v>7.0873565460514154E-3</v>
      </c>
      <c r="C1766" s="112">
        <f t="shared" si="528"/>
        <v>-3.8707570547670267E-3</v>
      </c>
      <c r="D1766" s="112">
        <f t="shared" si="528"/>
        <v>3.2641361135512525E-3</v>
      </c>
      <c r="E1766" s="112">
        <f t="shared" si="528"/>
        <v>1.0035510267099035E-3</v>
      </c>
      <c r="F1766" s="112">
        <f t="shared" si="528"/>
        <v>5.5127073660514725E-3</v>
      </c>
    </row>
    <row r="1767" spans="1:6">
      <c r="A1767" s="111">
        <f t="shared" si="520"/>
        <v>45208</v>
      </c>
      <c r="B1767" s="112">
        <f t="shared" ref="B1767:F1767" si="529">IFERROR((B525/B524-1),"")</f>
        <v>-2.1725796558737076E-2</v>
      </c>
      <c r="C1767" s="112">
        <f t="shared" si="529"/>
        <v>-9.0250793069200919E-3</v>
      </c>
      <c r="D1767" s="112">
        <f t="shared" si="529"/>
        <v>1.2894246898560446E-2</v>
      </c>
      <c r="E1767" s="112">
        <f t="shared" si="529"/>
        <v>-3.5144157146161925E-3</v>
      </c>
      <c r="F1767" s="112">
        <f t="shared" si="529"/>
        <v>-7.1819268832524763E-3</v>
      </c>
    </row>
    <row r="1768" spans="1:6">
      <c r="A1768" s="111">
        <f t="shared" si="520"/>
        <v>45209</v>
      </c>
      <c r="B1768" s="112">
        <f t="shared" ref="B1768:F1768" si="530">IFERROR((B526/B525-1),"")</f>
        <v>1.4948521647307089E-2</v>
      </c>
      <c r="C1768" s="112">
        <f t="shared" si="530"/>
        <v>1.1189491607881186E-2</v>
      </c>
      <c r="D1768" s="112">
        <f t="shared" si="530"/>
        <v>-2.9664140058418553E-3</v>
      </c>
      <c r="E1768" s="112">
        <f t="shared" si="530"/>
        <v>1.6473189607517646E-3</v>
      </c>
      <c r="F1768" s="112">
        <f t="shared" si="530"/>
        <v>9.096802794127834E-3</v>
      </c>
    </row>
    <row r="1769" spans="1:6">
      <c r="A1769" s="111">
        <f t="shared" si="520"/>
        <v>45210</v>
      </c>
      <c r="B1769" s="112">
        <f t="shared" ref="B1769:F1769" si="531">IFERROR((B527/B526-1),"")</f>
        <v>1.1997268914393455E-2</v>
      </c>
      <c r="C1769" s="112">
        <f t="shared" si="531"/>
        <v>-8.0057733942746623E-3</v>
      </c>
      <c r="D1769" s="112">
        <f t="shared" si="531"/>
        <v>1.6254300864279703E-2</v>
      </c>
      <c r="E1769" s="112">
        <f t="shared" si="531"/>
        <v>5.5188247110895539E-3</v>
      </c>
      <c r="F1769" s="112">
        <f t="shared" si="531"/>
        <v>6.1706920062876147E-3</v>
      </c>
    </row>
    <row r="1770" spans="1:6">
      <c r="A1770" s="111">
        <f t="shared" si="520"/>
        <v>45211</v>
      </c>
      <c r="B1770" s="112">
        <f t="shared" ref="B1770:F1770" si="532">IFERROR((B528/B527-1),"")</f>
        <v>6.6503887425304331E-3</v>
      </c>
      <c r="C1770" s="112">
        <f t="shared" si="532"/>
        <v>-1.1203476472699481E-2</v>
      </c>
      <c r="D1770" s="112">
        <f t="shared" si="532"/>
        <v>-6.7174365974567163E-3</v>
      </c>
      <c r="E1770" s="112">
        <f t="shared" si="532"/>
        <v>1.2733399927551403E-3</v>
      </c>
      <c r="F1770" s="112">
        <f t="shared" si="532"/>
        <v>-8.7576061197236488E-4</v>
      </c>
    </row>
    <row r="1771" spans="1:6">
      <c r="A1771" s="111">
        <f t="shared" si="520"/>
        <v>45212</v>
      </c>
      <c r="B1771" s="112">
        <f t="shared" ref="B1771:F1771" si="533">IFERROR((B529/B528-1),"")</f>
        <v>-2.6808795838253463E-3</v>
      </c>
      <c r="C1771" s="112">
        <f t="shared" si="533"/>
        <v>-1.7706841413408059E-2</v>
      </c>
      <c r="D1771" s="112">
        <f t="shared" si="533"/>
        <v>-1.2657770062565521E-2</v>
      </c>
      <c r="E1771" s="112">
        <f t="shared" si="533"/>
        <v>3.0587074494325961E-3</v>
      </c>
      <c r="F1771" s="112">
        <f t="shared" si="533"/>
        <v>-2.1698494493280762E-3</v>
      </c>
    </row>
    <row r="1772" spans="1:6">
      <c r="A1772" s="111">
        <f t="shared" si="520"/>
        <v>45215</v>
      </c>
      <c r="B1772" s="112">
        <f t="shared" ref="B1772:F1772" si="534">IFERROR((B530/B529-1),"")</f>
        <v>7.7442478159299721E-3</v>
      </c>
      <c r="C1772" s="112">
        <f t="shared" si="534"/>
        <v>6.6911008358883084E-3</v>
      </c>
      <c r="D1772" s="112">
        <f t="shared" si="534"/>
        <v>6.0254203142742213E-3</v>
      </c>
      <c r="E1772" s="112">
        <f t="shared" si="534"/>
        <v>2.4810370078913735E-3</v>
      </c>
      <c r="F1772" s="112">
        <f t="shared" si="534"/>
        <v>-9.7716323942265149E-4</v>
      </c>
    </row>
    <row r="1773" spans="1:6">
      <c r="A1773" s="111">
        <f t="shared" si="520"/>
        <v>45216</v>
      </c>
      <c r="B1773" s="112">
        <f t="shared" ref="B1773:F1773" si="535">IFERROR((B531/B530-1),"")</f>
        <v>1.3019592899559118E-3</v>
      </c>
      <c r="C1773" s="112">
        <f t="shared" si="535"/>
        <v>4.2756663988174903E-3</v>
      </c>
      <c r="D1773" s="112">
        <f t="shared" si="535"/>
        <v>9.2843749431104072E-3</v>
      </c>
      <c r="E1773" s="112">
        <f t="shared" si="535"/>
        <v>3.1181517863956287E-3</v>
      </c>
      <c r="F1773" s="112">
        <f t="shared" si="535"/>
        <v>4.0417094276989918E-3</v>
      </c>
    </row>
    <row r="1774" spans="1:6">
      <c r="A1774" s="111">
        <f t="shared" si="520"/>
        <v>45217</v>
      </c>
      <c r="B1774" s="112">
        <f t="shared" ref="B1774:F1774" si="536">IFERROR((B532/B531-1),"")</f>
        <v>-1.1099835088164145E-3</v>
      </c>
      <c r="C1774" s="112">
        <f t="shared" si="536"/>
        <v>6.005887350099659E-3</v>
      </c>
      <c r="D1774" s="112">
        <f t="shared" si="536"/>
        <v>2.405259645388802E-2</v>
      </c>
      <c r="E1774" s="112">
        <f t="shared" si="536"/>
        <v>1.5977045224817576E-3</v>
      </c>
      <c r="F1774" s="112">
        <f t="shared" si="536"/>
        <v>-7.0867930242536348E-3</v>
      </c>
    </row>
    <row r="1775" spans="1:6">
      <c r="A1775" s="111">
        <f t="shared" si="520"/>
        <v>45218</v>
      </c>
      <c r="B1775" s="112">
        <f t="shared" ref="B1775:F1775" si="537">IFERROR((B533/B532-1),"")</f>
        <v>-3.3653998793535811E-3</v>
      </c>
      <c r="C1775" s="112">
        <f t="shared" si="537"/>
        <v>3.2795899530646544E-3</v>
      </c>
      <c r="D1775" s="112">
        <f t="shared" si="537"/>
        <v>-8.1991034707482591E-3</v>
      </c>
      <c r="E1775" s="112">
        <f t="shared" si="537"/>
        <v>-1.1393970961650624E-3</v>
      </c>
      <c r="F1775" s="112">
        <f t="shared" si="537"/>
        <v>-2.358790306591807E-3</v>
      </c>
    </row>
    <row r="1776" spans="1:6">
      <c r="A1776" s="111">
        <f t="shared" si="520"/>
        <v>45219</v>
      </c>
      <c r="B1776" s="112">
        <f t="shared" ref="B1776:F1776" si="538">IFERROR((B534/B533-1),"")</f>
        <v>-7.1995157847790647E-3</v>
      </c>
      <c r="C1776" s="112">
        <f t="shared" si="538"/>
        <v>-2.1277012214218627E-2</v>
      </c>
      <c r="D1776" s="112">
        <f t="shared" si="538"/>
        <v>-1.0939636647782969E-2</v>
      </c>
      <c r="E1776" s="112">
        <f t="shared" si="538"/>
        <v>-4.8778368043107534E-3</v>
      </c>
      <c r="F1776" s="112">
        <f t="shared" si="538"/>
        <v>-4.1809556324428065E-3</v>
      </c>
    </row>
    <row r="1777" spans="1:6">
      <c r="A1777" s="111">
        <f t="shared" si="520"/>
        <v>45222</v>
      </c>
      <c r="B1777" s="112">
        <f t="shared" ref="B1777:F1777" si="539">IFERROR((B535/B534-1),"")</f>
        <v>4.4280442804429665E-3</v>
      </c>
      <c r="C1777" s="112">
        <f t="shared" si="539"/>
        <v>-1.6939661206775813E-2</v>
      </c>
      <c r="D1777" s="112">
        <f t="shared" si="539"/>
        <v>-3.1152927656974416E-3</v>
      </c>
      <c r="E1777" s="112">
        <f t="shared" si="539"/>
        <v>-1.0786026200873322E-2</v>
      </c>
      <c r="F1777" s="112">
        <f t="shared" si="539"/>
        <v>-1.3350287704072983E-2</v>
      </c>
    </row>
    <row r="1778" spans="1:6">
      <c r="A1778" s="111">
        <f t="shared" si="520"/>
        <v>45224</v>
      </c>
      <c r="B1778" s="112">
        <f t="shared" ref="B1778:F1778" si="540">IFERROR((B536/B535-1),"")</f>
        <v>2.5237197712677517E-3</v>
      </c>
      <c r="C1778" s="112">
        <f t="shared" si="540"/>
        <v>-3.3262806689181579E-3</v>
      </c>
      <c r="D1778" s="112">
        <f t="shared" si="540"/>
        <v>-6.8624537324725177E-3</v>
      </c>
      <c r="E1778" s="112">
        <f t="shared" si="540"/>
        <v>6.952721493840297E-4</v>
      </c>
      <c r="F1778" s="112">
        <f t="shared" si="540"/>
        <v>-8.2772569917148875E-3</v>
      </c>
    </row>
    <row r="1779" spans="1:6">
      <c r="A1779" s="111">
        <f t="shared" si="520"/>
        <v>45225</v>
      </c>
      <c r="B1779" s="112">
        <f t="shared" ref="B1779:F1779" si="541">IFERROR((B537/B536-1),"")</f>
        <v>-4.0150404690586949E-2</v>
      </c>
      <c r="C1779" s="112">
        <f t="shared" si="541"/>
        <v>1.0920484583747392E-3</v>
      </c>
      <c r="D1779" s="112">
        <f t="shared" si="541"/>
        <v>-1.6667120070368191E-2</v>
      </c>
      <c r="E1779" s="112">
        <f t="shared" si="541"/>
        <v>-5.7237386269644031E-3</v>
      </c>
      <c r="F1779" s="112">
        <f t="shared" si="541"/>
        <v>-1.3853044767455636E-2</v>
      </c>
    </row>
    <row r="1780" spans="1:6">
      <c r="A1780" s="111">
        <f t="shared" si="520"/>
        <v>45226</v>
      </c>
      <c r="B1780" s="112">
        <f t="shared" ref="B1780:F1780" si="542">IFERROR((B538/B537-1),"")</f>
        <v>3.1206427196068809E-3</v>
      </c>
      <c r="C1780" s="112">
        <f t="shared" si="542"/>
        <v>2.1317592366038696E-2</v>
      </c>
      <c r="D1780" s="112">
        <f t="shared" si="542"/>
        <v>-4.5463348057434017E-3</v>
      </c>
      <c r="E1780" s="112">
        <f t="shared" si="542"/>
        <v>1.4419450729845629E-3</v>
      </c>
      <c r="F1780" s="112">
        <f t="shared" si="542"/>
        <v>1.0075700327460302E-2</v>
      </c>
    </row>
    <row r="1781" spans="1:6">
      <c r="A1781" s="111">
        <f t="shared" si="520"/>
        <v>45229</v>
      </c>
      <c r="B1781" s="112">
        <f t="shared" ref="B1781:F1781" si="543">IFERROR((B539/B538-1),"")</f>
        <v>-8.6047127349748731E-3</v>
      </c>
      <c r="C1781" s="112">
        <f t="shared" si="543"/>
        <v>-4.0527455854020289E-3</v>
      </c>
      <c r="D1781" s="112">
        <f t="shared" si="543"/>
        <v>-9.6251829618514417E-3</v>
      </c>
      <c r="E1781" s="112">
        <f t="shared" si="543"/>
        <v>-1.167401368983001E-2</v>
      </c>
      <c r="F1781" s="112">
        <f t="shared" si="543"/>
        <v>4.9167202614550654E-3</v>
      </c>
    </row>
    <row r="1782" spans="1:6">
      <c r="A1782" s="111">
        <f t="shared" si="520"/>
        <v>45230</v>
      </c>
      <c r="B1782" s="112">
        <f t="shared" ref="B1782:F1782" si="544">IFERROR((B540/B539-1),"")</f>
        <v>-2.6171718520496712E-2</v>
      </c>
      <c r="C1782" s="112">
        <f t="shared" si="544"/>
        <v>-8.8200214486888751E-4</v>
      </c>
      <c r="D1782" s="112">
        <f t="shared" si="544"/>
        <v>4.1531424509153592E-3</v>
      </c>
      <c r="E1782" s="112">
        <f t="shared" si="544"/>
        <v>-7.8671328671329199E-3</v>
      </c>
      <c r="F1782" s="112">
        <f t="shared" si="544"/>
        <v>-3.2025662325179116E-3</v>
      </c>
    </row>
    <row r="1783" spans="1:6">
      <c r="A1783" s="111">
        <f t="shared" si="520"/>
        <v>45231</v>
      </c>
      <c r="B1783" s="112">
        <f t="shared" ref="B1783:F1783" si="545">IFERROR((B541/B540-1),"")</f>
        <v>-2.7423556835322049E-3</v>
      </c>
      <c r="C1783" s="112">
        <f t="shared" si="545"/>
        <v>8.496764809148738E-3</v>
      </c>
      <c r="D1783" s="112">
        <f t="shared" si="545"/>
        <v>-3.9310299857476805E-3</v>
      </c>
      <c r="E1783" s="112">
        <f t="shared" si="545"/>
        <v>-6.596633909409233E-3</v>
      </c>
      <c r="F1783" s="112">
        <f t="shared" si="545"/>
        <v>-4.740665422755086E-3</v>
      </c>
    </row>
    <row r="1784" spans="1:6">
      <c r="A1784" s="111">
        <f t="shared" si="520"/>
        <v>45232</v>
      </c>
      <c r="B1784" s="112">
        <f t="shared" ref="B1784:F1784" si="546">IFERROR((B542/B541-1),"")</f>
        <v>1.038086071772315E-2</v>
      </c>
      <c r="C1784" s="112">
        <f t="shared" si="546"/>
        <v>5.9284605896630094E-3</v>
      </c>
      <c r="D1784" s="112">
        <f t="shared" si="546"/>
        <v>-1.4869679881042153E-3</v>
      </c>
      <c r="E1784" s="112">
        <f t="shared" si="546"/>
        <v>2.9552225229117823E-2</v>
      </c>
      <c r="F1784" s="112">
        <f t="shared" si="546"/>
        <v>7.5885439843277336E-3</v>
      </c>
    </row>
    <row r="1785" spans="1:6">
      <c r="A1785" s="111">
        <f t="shared" si="520"/>
        <v>45233</v>
      </c>
      <c r="B1785" s="112">
        <f t="shared" ref="B1785:F1785" si="547">IFERROR((B543/B542-1),"")</f>
        <v>-4.7628767775742542E-4</v>
      </c>
      <c r="C1785" s="112">
        <f t="shared" si="547"/>
        <v>5.280436674313771E-3</v>
      </c>
      <c r="D1785" s="112">
        <f t="shared" si="547"/>
        <v>-1.413318347850534E-2</v>
      </c>
      <c r="E1785" s="112">
        <f t="shared" si="547"/>
        <v>2.7168811088409406E-3</v>
      </c>
      <c r="F1785" s="112">
        <f t="shared" si="547"/>
        <v>5.0880012543608188E-3</v>
      </c>
    </row>
    <row r="1786" spans="1:6">
      <c r="A1786" s="111">
        <f t="shared" si="520"/>
        <v>45236</v>
      </c>
      <c r="B1786" s="112">
        <f t="shared" ref="B1786:F1786" si="548">IFERROR((B544/B543-1),"")</f>
        <v>1.3138189244383813E-2</v>
      </c>
      <c r="C1786" s="112">
        <f t="shared" si="548"/>
        <v>6.3347170034033784E-3</v>
      </c>
      <c r="D1786" s="112">
        <f t="shared" si="548"/>
        <v>1.4259792325742593E-2</v>
      </c>
      <c r="E1786" s="112">
        <f t="shared" si="548"/>
        <v>1.8515051051315679E-2</v>
      </c>
      <c r="F1786" s="112">
        <f t="shared" si="548"/>
        <v>9.4198828949696445E-3</v>
      </c>
    </row>
    <row r="1787" spans="1:6">
      <c r="A1787" s="111">
        <f t="shared" si="520"/>
        <v>45237</v>
      </c>
      <c r="B1787" s="112">
        <f t="shared" ref="B1787:F1787" si="549">IFERROR((B545/B544-1),"")</f>
        <v>-5.7448095142108579E-3</v>
      </c>
      <c r="C1787" s="112">
        <f t="shared" si="549"/>
        <v>-5.4151271675170198E-3</v>
      </c>
      <c r="D1787" s="112">
        <f t="shared" si="549"/>
        <v>1.2410782862816383E-2</v>
      </c>
      <c r="E1787" s="112">
        <f t="shared" si="549"/>
        <v>6.8345012544337447E-3</v>
      </c>
      <c r="F1787" s="112">
        <f t="shared" si="549"/>
        <v>-2.6015171223614519E-4</v>
      </c>
    </row>
    <row r="1788" spans="1:6">
      <c r="A1788" s="111">
        <f t="shared" si="520"/>
        <v>45238</v>
      </c>
      <c r="B1788" s="112">
        <f t="shared" ref="B1788:F1788" si="550">IFERROR((B546/B545-1),"")</f>
        <v>5.1697921946274317E-3</v>
      </c>
      <c r="C1788" s="112">
        <f t="shared" si="550"/>
        <v>4.7370076263857364E-3</v>
      </c>
      <c r="D1788" s="112">
        <f t="shared" si="550"/>
        <v>9.1037775125595299E-3</v>
      </c>
      <c r="E1788" s="112">
        <f t="shared" si="550"/>
        <v>3.3081285444236386E-3</v>
      </c>
      <c r="F1788" s="112">
        <f t="shared" si="550"/>
        <v>1.8962523252279428E-3</v>
      </c>
    </row>
    <row r="1789" spans="1:6">
      <c r="A1789" s="111">
        <f t="shared" si="520"/>
        <v>45239</v>
      </c>
      <c r="B1789" s="112">
        <f t="shared" ref="B1789:F1789" si="551">IFERROR((B547/B546-1),"")</f>
        <v>4.3465106897942585E-2</v>
      </c>
      <c r="C1789" s="112">
        <f t="shared" si="551"/>
        <v>3.2083259972219835E-3</v>
      </c>
      <c r="D1789" s="112">
        <f t="shared" si="551"/>
        <v>8.068139102050953E-4</v>
      </c>
      <c r="E1789" s="112">
        <f t="shared" si="551"/>
        <v>-3.9609472016443048E-3</v>
      </c>
      <c r="F1789" s="112">
        <f t="shared" si="551"/>
        <v>-2.4789775503382128E-3</v>
      </c>
    </row>
    <row r="1790" spans="1:6">
      <c r="A1790" s="111">
        <f t="shared" si="520"/>
        <v>45240</v>
      </c>
      <c r="B1790" s="112">
        <f t="shared" ref="B1790:F1790" si="552">IFERROR((B548/B547-1),"")</f>
        <v>-1.8008440449727825E-2</v>
      </c>
      <c r="C1790" s="112">
        <f t="shared" si="552"/>
        <v>2.1255435736433625E-3</v>
      </c>
      <c r="D1790" s="112">
        <f t="shared" si="552"/>
        <v>-6.0553870958875988E-3</v>
      </c>
      <c r="E1790" s="112">
        <f t="shared" si="552"/>
        <v>6.4164570838973756E-3</v>
      </c>
      <c r="F1790" s="112">
        <f t="shared" si="552"/>
        <v>1.549344428804833E-3</v>
      </c>
    </row>
    <row r="1791" spans="1:6">
      <c r="A1791" s="111">
        <f t="shared" si="520"/>
        <v>45242</v>
      </c>
      <c r="B1791" s="112">
        <f t="shared" ref="B1791:F1791" si="553">IFERROR((B549/B548-1),"")</f>
        <v>1.4106685912997907E-3</v>
      </c>
      <c r="C1791" s="112">
        <f t="shared" si="553"/>
        <v>-5.3512356489582302E-4</v>
      </c>
      <c r="D1791" s="112">
        <f t="shared" si="553"/>
        <v>4.5807295987023711E-3</v>
      </c>
      <c r="E1791" s="112">
        <f t="shared" si="553"/>
        <v>-1.1426862738814769E-3</v>
      </c>
      <c r="F1791" s="112">
        <f t="shared" si="553"/>
        <v>5.1582082176124811E-3</v>
      </c>
    </row>
    <row r="1792" spans="1:6">
      <c r="A1792" s="111">
        <f t="shared" si="520"/>
        <v>45243</v>
      </c>
      <c r="B1792" s="112">
        <f t="shared" ref="B1792:F1792" si="554">IFERROR((B550/B549-1),"")</f>
        <v>9.1728091728091599E-3</v>
      </c>
      <c r="C1792" s="112">
        <f t="shared" si="554"/>
        <v>-9.9391579459723323E-3</v>
      </c>
      <c r="D1792" s="112">
        <f t="shared" si="554"/>
        <v>-5.4864902059728049E-3</v>
      </c>
      <c r="E1792" s="112">
        <f t="shared" si="554"/>
        <v>4.2231535731087622E-3</v>
      </c>
      <c r="F1792" s="112">
        <f t="shared" si="554"/>
        <v>-4.1996256187405434E-3</v>
      </c>
    </row>
    <row r="1793" spans="1:6">
      <c r="A1793" s="111">
        <f t="shared" si="520"/>
        <v>45245</v>
      </c>
      <c r="B1793" s="112">
        <f t="shared" ref="B1793:F1793" si="555">IFERROR((B551/B550-1),"")</f>
        <v>2.5320564843369642E-3</v>
      </c>
      <c r="C1793" s="112">
        <f t="shared" si="555"/>
        <v>5.0745300086525669E-2</v>
      </c>
      <c r="D1793" s="112">
        <f t="shared" si="555"/>
        <v>1.8450695129956785E-5</v>
      </c>
      <c r="E1793" s="112">
        <f t="shared" si="555"/>
        <v>3.0768575595940817E-3</v>
      </c>
      <c r="F1793" s="112">
        <f t="shared" si="555"/>
        <v>1.1926834348665816E-2</v>
      </c>
    </row>
    <row r="1794" spans="1:6">
      <c r="A1794" s="111">
        <f t="shared" si="520"/>
        <v>45246</v>
      </c>
      <c r="B1794" s="112">
        <f t="shared" ref="B1794:F1794" si="556">IFERROR((B552/B551-1),"")</f>
        <v>1.6416798886118578E-2</v>
      </c>
      <c r="C1794" s="112">
        <f t="shared" si="556"/>
        <v>6.6972348289898509E-2</v>
      </c>
      <c r="D1794" s="112">
        <f t="shared" si="556"/>
        <v>2.2933790902130102E-2</v>
      </c>
      <c r="E1794" s="112">
        <f t="shared" si="556"/>
        <v>-1.846820073023614E-3</v>
      </c>
      <c r="F1794" s="112">
        <f t="shared" si="556"/>
        <v>4.5615220998758144E-3</v>
      </c>
    </row>
    <row r="1795" spans="1:6">
      <c r="A1795" s="111">
        <f t="shared" si="520"/>
        <v>45247</v>
      </c>
      <c r="B1795" s="112">
        <f t="shared" ref="B1795:F1795" si="557">IFERROR((B553/B552-1),"")</f>
        <v>9.5890410958903161E-3</v>
      </c>
      <c r="C1795" s="112">
        <f t="shared" si="557"/>
        <v>-4.5868341197312645E-3</v>
      </c>
      <c r="D1795" s="112">
        <f t="shared" si="557"/>
        <v>1.21387022590973E-2</v>
      </c>
      <c r="E1795" s="112">
        <f t="shared" si="557"/>
        <v>3.4452691350672637E-3</v>
      </c>
      <c r="F1795" s="112">
        <f t="shared" si="557"/>
        <v>-1.6898387064133713E-3</v>
      </c>
    </row>
    <row r="1796" spans="1:6">
      <c r="A1796" s="111">
        <f t="shared" si="520"/>
        <v>45250</v>
      </c>
      <c r="B1796" s="112">
        <f t="shared" ref="B1796:F1796" si="558">IFERROR((B554/B553-1),"")</f>
        <v>-2.0415890946956505E-2</v>
      </c>
      <c r="C1796" s="112">
        <f t="shared" si="558"/>
        <v>5.9031357104468718E-3</v>
      </c>
      <c r="D1796" s="112">
        <f t="shared" si="558"/>
        <v>-1.3187087346633319E-3</v>
      </c>
      <c r="E1796" s="112">
        <f t="shared" si="558"/>
        <v>-1.3352266706229132E-3</v>
      </c>
      <c r="F1796" s="112">
        <f t="shared" si="558"/>
        <v>-1.915689394784037E-3</v>
      </c>
    </row>
    <row r="1797" spans="1:6">
      <c r="A1797" s="111">
        <f t="shared" si="520"/>
        <v>45251</v>
      </c>
      <c r="B1797" s="112">
        <f t="shared" ref="B1797:F1797" si="559">IFERROR((B555/B554-1),"")</f>
        <v>4.8640639092900617E-3</v>
      </c>
      <c r="C1797" s="112">
        <f t="shared" si="559"/>
        <v>-1.4548607765680788E-2</v>
      </c>
      <c r="D1797" s="112">
        <f t="shared" si="559"/>
        <v>7.5479778378524376E-3</v>
      </c>
      <c r="E1797" s="112">
        <f t="shared" si="559"/>
        <v>-2.5997453310696583E-3</v>
      </c>
      <c r="F1797" s="112">
        <f t="shared" si="559"/>
        <v>4.5394536407028507E-3</v>
      </c>
    </row>
    <row r="1798" spans="1:6">
      <c r="A1798" s="111">
        <f t="shared" si="520"/>
        <v>45252</v>
      </c>
      <c r="B1798" s="112">
        <f t="shared" ref="B1798:F1798" si="560">IFERROR((B556/B555-1),"")</f>
        <v>-1.0450392691136345E-2</v>
      </c>
      <c r="C1798" s="112">
        <f t="shared" si="560"/>
        <v>1.6087744871478016E-3</v>
      </c>
      <c r="D1798" s="112">
        <f t="shared" si="560"/>
        <v>3.2055539321167448E-3</v>
      </c>
      <c r="E1798" s="112">
        <f t="shared" si="560"/>
        <v>-1.1809138783978046E-3</v>
      </c>
      <c r="F1798" s="112">
        <f t="shared" si="560"/>
        <v>1.4380743451578581E-3</v>
      </c>
    </row>
    <row r="1799" spans="1:6">
      <c r="A1799" s="111">
        <f t="shared" si="520"/>
        <v>45253</v>
      </c>
      <c r="B1799" s="112">
        <f t="shared" ref="B1799:F1799" si="561">IFERROR((B557/B556-1),"")</f>
        <v>1.554958048527455E-3</v>
      </c>
      <c r="C1799" s="112">
        <f t="shared" si="561"/>
        <v>-2.6266982580376297E-3</v>
      </c>
      <c r="D1799" s="112">
        <f t="shared" si="561"/>
        <v>-3.5130769434464915E-3</v>
      </c>
      <c r="E1799" s="112">
        <f t="shared" si="561"/>
        <v>2.4711345916237359E-3</v>
      </c>
      <c r="F1799" s="112">
        <f t="shared" si="561"/>
        <v>-4.971771944567438E-4</v>
      </c>
    </row>
    <row r="1800" spans="1:6">
      <c r="A1800" s="111">
        <f t="shared" si="520"/>
        <v>45254</v>
      </c>
      <c r="B1800" s="112">
        <f t="shared" ref="B1800:F1800" si="562">IFERROR((B558/B557-1),"")</f>
        <v>4.7546657178898499E-3</v>
      </c>
      <c r="C1800" s="112">
        <f t="shared" si="562"/>
        <v>-1.9574172768765941E-4</v>
      </c>
      <c r="D1800" s="112">
        <f t="shared" si="562"/>
        <v>2.6573835401655366E-4</v>
      </c>
      <c r="E1800" s="112">
        <f t="shared" si="562"/>
        <v>-1.3100854264949779E-2</v>
      </c>
      <c r="F1800" s="112">
        <f t="shared" si="562"/>
        <v>-3.6864963135030404E-4</v>
      </c>
    </row>
    <row r="1801" spans="1:6">
      <c r="A1801" s="111">
        <f t="shared" si="520"/>
        <v>45258</v>
      </c>
      <c r="B1801" s="112">
        <f t="shared" ref="B1801:F1801" si="563">IFERROR((B559/B558-1),"")</f>
        <v>8.2732423383979903E-3</v>
      </c>
      <c r="C1801" s="112">
        <f t="shared" si="563"/>
        <v>-9.2995523756129739E-3</v>
      </c>
      <c r="D1801" s="112">
        <f t="shared" si="563"/>
        <v>5.2513659750450525E-3</v>
      </c>
      <c r="E1801" s="112">
        <f t="shared" si="563"/>
        <v>1.4921998643454781E-2</v>
      </c>
      <c r="F1801" s="112">
        <f t="shared" si="563"/>
        <v>4.7992644495749026E-3</v>
      </c>
    </row>
    <row r="1802" spans="1:6">
      <c r="A1802" s="111">
        <f t="shared" si="520"/>
        <v>45259</v>
      </c>
      <c r="B1802" s="112">
        <f t="shared" ref="B1802:F1802" si="564">IFERROR((B560/B559-1),"")</f>
        <v>3.387503591839347E-2</v>
      </c>
      <c r="C1802" s="112">
        <f t="shared" si="564"/>
        <v>2.3076370299840221E-2</v>
      </c>
      <c r="D1802" s="112">
        <f t="shared" si="564"/>
        <v>6.9681806969941196E-3</v>
      </c>
      <c r="E1802" s="112">
        <f t="shared" si="564"/>
        <v>1.9136725752898487E-2</v>
      </c>
      <c r="F1802" s="112">
        <f t="shared" si="564"/>
        <v>1.04023690653956E-2</v>
      </c>
    </row>
    <row r="1803" spans="1:6">
      <c r="A1803" s="111">
        <f t="shared" si="520"/>
        <v>45260</v>
      </c>
      <c r="B1803" s="112">
        <f t="shared" ref="B1803:F1803" si="565">IFERROR((B561/B560-1),"")</f>
        <v>1.7695015749490617E-2</v>
      </c>
      <c r="C1803" s="112">
        <f t="shared" si="565"/>
        <v>1.1607182053645859E-2</v>
      </c>
      <c r="D1803" s="112">
        <f t="shared" si="565"/>
        <v>1.2737627616856484E-2</v>
      </c>
      <c r="E1803" s="112">
        <f t="shared" si="565"/>
        <v>1.0200576644842974E-2</v>
      </c>
      <c r="F1803" s="112">
        <f t="shared" si="565"/>
        <v>1.8187156036346686E-3</v>
      </c>
    </row>
    <row r="1804" spans="1:6">
      <c r="A1804" s="111">
        <f t="shared" si="520"/>
        <v>45261</v>
      </c>
      <c r="B1804" s="112">
        <f t="shared" ref="B1804:F1804" si="566">IFERROR((B562/B561-1),"")</f>
        <v>-1.3503262023972118E-2</v>
      </c>
      <c r="C1804" s="112">
        <f t="shared" si="566"/>
        <v>-8.1324804499337544E-3</v>
      </c>
      <c r="D1804" s="112">
        <f t="shared" si="566"/>
        <v>-6.6947124728972129E-3</v>
      </c>
      <c r="E1804" s="112">
        <f t="shared" si="566"/>
        <v>2.4337217808826139E-2</v>
      </c>
      <c r="F1804" s="112">
        <f t="shared" si="566"/>
        <v>6.6929417403636116E-3</v>
      </c>
    </row>
    <row r="1805" spans="1:6">
      <c r="A1805" s="111">
        <f t="shared" si="520"/>
        <v>45264</v>
      </c>
      <c r="B1805" s="112">
        <f t="shared" ref="B1805:F1805" si="567">IFERROR((B563/B562-1),"")</f>
        <v>1.9286373423561987E-2</v>
      </c>
      <c r="C1805" s="112">
        <f t="shared" si="567"/>
        <v>-6.6590829541476326E-3</v>
      </c>
      <c r="D1805" s="112">
        <f t="shared" si="567"/>
        <v>1.1479458726126879E-3</v>
      </c>
      <c r="E1805" s="112">
        <f t="shared" si="567"/>
        <v>-6.6388371976059402E-3</v>
      </c>
      <c r="F1805" s="112">
        <f t="shared" si="567"/>
        <v>2.0668150129021567E-2</v>
      </c>
    </row>
    <row r="1806" spans="1:6">
      <c r="A1806" s="111">
        <f t="shared" si="520"/>
        <v>45265</v>
      </c>
      <c r="B1806" s="112">
        <f t="shared" ref="B1806:F1806" si="568">IFERROR((B564/B563-1),"")</f>
        <v>1.7623804206778004E-2</v>
      </c>
      <c r="C1806" s="112">
        <f t="shared" si="568"/>
        <v>-1.2350355447105721E-2</v>
      </c>
      <c r="D1806" s="112">
        <f t="shared" si="568"/>
        <v>3.5528144544823004E-3</v>
      </c>
      <c r="E1806" s="112">
        <f t="shared" si="568"/>
        <v>2.1568528175788249E-3</v>
      </c>
      <c r="F1806" s="112">
        <f t="shared" si="568"/>
        <v>8.1356227159348204E-3</v>
      </c>
    </row>
    <row r="1807" spans="1:6">
      <c r="A1807" s="111">
        <f t="shared" si="520"/>
        <v>45266</v>
      </c>
      <c r="B1807" s="112">
        <f t="shared" ref="B1807:F1807" si="569">IFERROR((B565/B564-1),"")</f>
        <v>9.6972213160939624E-3</v>
      </c>
      <c r="C1807" s="112">
        <f t="shared" si="569"/>
        <v>1.7107129159716905E-2</v>
      </c>
      <c r="D1807" s="112">
        <f t="shared" si="569"/>
        <v>-7.9806801755403223E-3</v>
      </c>
      <c r="E1807" s="112">
        <f t="shared" si="569"/>
        <v>1.1064182361975483E-2</v>
      </c>
      <c r="F1807" s="112">
        <f t="shared" si="569"/>
        <v>3.9606619004464161E-3</v>
      </c>
    </row>
    <row r="1808" spans="1:6">
      <c r="A1808" s="111">
        <f t="shared" si="520"/>
        <v>45267</v>
      </c>
      <c r="B1808" s="112">
        <f t="shared" ref="B1808:F1808" si="570">IFERROR((B566/B565-1),"")</f>
        <v>-5.7272086466165772E-3</v>
      </c>
      <c r="C1808" s="112">
        <f t="shared" si="570"/>
        <v>-1.9292322532538098E-4</v>
      </c>
      <c r="D1808" s="112">
        <f t="shared" si="570"/>
        <v>9.5543902204926479E-3</v>
      </c>
      <c r="E1808" s="112">
        <f t="shared" si="570"/>
        <v>2.5683819193909052E-3</v>
      </c>
      <c r="F1808" s="112">
        <f t="shared" si="570"/>
        <v>-1.7456549668778409E-3</v>
      </c>
    </row>
    <row r="1809" spans="1:6">
      <c r="A1809" s="111">
        <f t="shared" si="520"/>
        <v>45268</v>
      </c>
      <c r="B1809" s="112">
        <f t="shared" ref="B1809:F1809" si="571">IFERROR((B567/B566-1),"")</f>
        <v>-1.4238029125926865E-2</v>
      </c>
      <c r="C1809" s="112">
        <f t="shared" si="571"/>
        <v>1.4445721101979503E-2</v>
      </c>
      <c r="D1809" s="112">
        <f t="shared" si="571"/>
        <v>-3.6645866104302316E-3</v>
      </c>
      <c r="E1809" s="112">
        <f t="shared" si="571"/>
        <v>-1.4712918660287122E-2</v>
      </c>
      <c r="F1809" s="112">
        <f t="shared" si="571"/>
        <v>3.2653705657343934E-3</v>
      </c>
    </row>
    <row r="1810" spans="1:6">
      <c r="A1810" s="111">
        <f t="shared" si="520"/>
        <v>45271</v>
      </c>
      <c r="B1810" s="112">
        <f t="shared" ref="B1810:F1810" si="572">IFERROR((B568/B567-1),"")</f>
        <v>-9.7989272122500637E-3</v>
      </c>
      <c r="C1810" s="112">
        <f t="shared" si="572"/>
        <v>1.4136261455991894E-2</v>
      </c>
      <c r="D1810" s="112">
        <f t="shared" si="572"/>
        <v>-5.0382553479414893E-2</v>
      </c>
      <c r="E1810" s="112">
        <f t="shared" si="572"/>
        <v>3.9456112662383802E-4</v>
      </c>
      <c r="F1810" s="112">
        <f t="shared" si="572"/>
        <v>1.3209724646388032E-3</v>
      </c>
    </row>
    <row r="1811" spans="1:6">
      <c r="A1811" s="111">
        <f t="shared" si="520"/>
        <v>45272</v>
      </c>
      <c r="B1811" s="112">
        <f t="shared" ref="B1811:F1811" si="573">IFERROR((B569/B568-1),"")</f>
        <v>-1.0168260501149939E-2</v>
      </c>
      <c r="C1811" s="112">
        <f t="shared" si="573"/>
        <v>-1.3811330406241495E-3</v>
      </c>
      <c r="D1811" s="112">
        <f t="shared" si="573"/>
        <v>1.2213391796839224E-2</v>
      </c>
      <c r="E1811" s="112">
        <f t="shared" si="573"/>
        <v>-8.3128545857223957E-3</v>
      </c>
      <c r="F1811" s="112">
        <f t="shared" si="573"/>
        <v>-4.3196441413336784E-3</v>
      </c>
    </row>
    <row r="1812" spans="1:6">
      <c r="A1812" s="111">
        <f t="shared" si="520"/>
        <v>45273</v>
      </c>
      <c r="B1812" s="112">
        <f t="shared" ref="B1812:F1812" si="574">IFERROR((B570/B569-1),"")</f>
        <v>1.8802739390974654E-2</v>
      </c>
      <c r="C1812" s="112">
        <f t="shared" si="574"/>
        <v>-4.4735471643345681E-3</v>
      </c>
      <c r="D1812" s="112">
        <f t="shared" si="574"/>
        <v>1.0522800906080043E-2</v>
      </c>
      <c r="E1812" s="112">
        <f t="shared" si="574"/>
        <v>3.3142635706346901E-3</v>
      </c>
      <c r="F1812" s="112">
        <f t="shared" si="574"/>
        <v>9.5425324302600423E-4</v>
      </c>
    </row>
    <row r="1813" spans="1:6">
      <c r="A1813" s="111">
        <f t="shared" si="520"/>
        <v>45274</v>
      </c>
      <c r="B1813" s="112">
        <f t="shared" ref="B1813:F1813" si="575">IFERROR((B571/B570-1),"")</f>
        <v>2.244695855715273E-2</v>
      </c>
      <c r="C1813" s="112">
        <f t="shared" si="575"/>
        <v>5.5956229793583612E-2</v>
      </c>
      <c r="D1813" s="112">
        <f t="shared" si="575"/>
        <v>-4.5189465317531097E-3</v>
      </c>
      <c r="E1813" s="112">
        <f t="shared" si="575"/>
        <v>5.5597341085111829E-3</v>
      </c>
      <c r="F1813" s="112">
        <f t="shared" si="575"/>
        <v>1.2250105727946048E-2</v>
      </c>
    </row>
    <row r="1814" spans="1:6">
      <c r="A1814" s="111">
        <f t="shared" si="520"/>
        <v>45275</v>
      </c>
      <c r="B1814" s="112">
        <f t="shared" ref="B1814:F1814" si="576">IFERROR((B572/B571-1),"")</f>
        <v>1.2562002876346456E-2</v>
      </c>
      <c r="C1814" s="112">
        <f t="shared" si="576"/>
        <v>4.5990546883882599E-2</v>
      </c>
      <c r="D1814" s="112">
        <f t="shared" si="576"/>
        <v>2.888747342262743E-3</v>
      </c>
      <c r="E1814" s="112">
        <f t="shared" si="576"/>
        <v>-6.6206422528377606E-3</v>
      </c>
      <c r="F1814" s="112">
        <f t="shared" si="576"/>
        <v>1.2932723401643864E-2</v>
      </c>
    </row>
    <row r="1815" spans="1:6">
      <c r="A1815" s="111">
        <f t="shared" si="520"/>
        <v>45278</v>
      </c>
      <c r="B1815" s="112">
        <f t="shared" ref="B1815:F1815" si="577">IFERROR((B573/B572-1),"")</f>
        <v>-8.2031363227920151E-3</v>
      </c>
      <c r="C1815" s="112">
        <f t="shared" si="577"/>
        <v>1.9410389993557153E-4</v>
      </c>
      <c r="D1815" s="112">
        <f t="shared" si="577"/>
        <v>2.8625356698785964E-4</v>
      </c>
      <c r="E1815" s="112">
        <f t="shared" si="577"/>
        <v>-7.0005494617308983E-3</v>
      </c>
      <c r="F1815" s="112">
        <f t="shared" si="577"/>
        <v>-1.7710127163373945E-3</v>
      </c>
    </row>
    <row r="1816" spans="1:6">
      <c r="A1816" s="111">
        <f t="shared" si="520"/>
        <v>45279</v>
      </c>
      <c r="B1816" s="112">
        <f t="shared" ref="B1816:F1816" si="578">IFERROR((B574/B573-1),"")</f>
        <v>-6.6927753097966169E-3</v>
      </c>
      <c r="C1816" s="112">
        <f t="shared" si="578"/>
        <v>-2.603592554066847E-2</v>
      </c>
      <c r="D1816" s="112">
        <f t="shared" si="578"/>
        <v>8.2989778306399309E-3</v>
      </c>
      <c r="E1816" s="112">
        <f t="shared" si="578"/>
        <v>6.5068142227686643E-3</v>
      </c>
      <c r="F1816" s="112">
        <f t="shared" si="578"/>
        <v>1.6084113611267714E-3</v>
      </c>
    </row>
    <row r="1817" spans="1:6">
      <c r="A1817" s="111">
        <f t="shared" si="520"/>
        <v>45280</v>
      </c>
      <c r="B1817" s="112">
        <f t="shared" ref="B1817:F1817" si="579">IFERROR((B575/B574-1),"")</f>
        <v>-3.0835319386824267E-2</v>
      </c>
      <c r="C1817" s="112">
        <f t="shared" si="579"/>
        <v>-3.7356138617018031E-2</v>
      </c>
      <c r="D1817" s="112">
        <f t="shared" si="579"/>
        <v>-1.0341555135744085E-2</v>
      </c>
      <c r="E1817" s="112">
        <f t="shared" si="579"/>
        <v>8.8979384067191525E-3</v>
      </c>
      <c r="F1817" s="112">
        <f t="shared" si="579"/>
        <v>-1.4121502253753415E-2</v>
      </c>
    </row>
    <row r="1818" spans="1:6">
      <c r="A1818" s="111">
        <f t="shared" si="520"/>
        <v>45281</v>
      </c>
      <c r="B1818" s="112">
        <f t="shared" ref="B1818:F1818" si="580">IFERROR((B576/B575-1),"")</f>
        <v>-7.954096967121127E-3</v>
      </c>
      <c r="C1818" s="112">
        <f t="shared" si="580"/>
        <v>1.471257896523448E-2</v>
      </c>
      <c r="D1818" s="112">
        <f t="shared" si="580"/>
        <v>-4.4182357527579041E-3</v>
      </c>
      <c r="E1818" s="112">
        <f t="shared" si="580"/>
        <v>2.1120293847566751E-2</v>
      </c>
      <c r="F1818" s="112">
        <f t="shared" si="580"/>
        <v>4.9597756989903097E-3</v>
      </c>
    </row>
    <row r="1819" spans="1:6">
      <c r="A1819" s="111">
        <f t="shared" si="520"/>
        <v>45282</v>
      </c>
      <c r="B1819" s="112">
        <f t="shared" ref="B1819:F1819" si="581">IFERROR((B577/B576-1),"")</f>
        <v>2.4482051595930976E-4</v>
      </c>
      <c r="C1819" s="112">
        <f t="shared" si="581"/>
        <v>2.6485419148484901E-2</v>
      </c>
      <c r="D1819" s="112">
        <f t="shared" si="581"/>
        <v>1.3178503915743933E-2</v>
      </c>
      <c r="E1819" s="112">
        <f t="shared" si="581"/>
        <v>2.0060874377421101E-2</v>
      </c>
      <c r="F1819" s="112">
        <f t="shared" si="581"/>
        <v>4.4389450977533329E-3</v>
      </c>
    </row>
    <row r="1820" spans="1:6">
      <c r="A1820" s="111">
        <f t="shared" si="520"/>
        <v>45286</v>
      </c>
      <c r="B1820" s="112">
        <f t="shared" ref="B1820:F1820" si="582">IFERROR((B578/B577-1),"")</f>
        <v>1.7133241548110689E-2</v>
      </c>
      <c r="C1820" s="112">
        <f t="shared" si="582"/>
        <v>-2.2495310165018267E-3</v>
      </c>
      <c r="D1820" s="112">
        <f t="shared" si="582"/>
        <v>7.9073155996245426E-4</v>
      </c>
      <c r="E1820" s="112">
        <f t="shared" si="582"/>
        <v>1.4502722287884184E-2</v>
      </c>
      <c r="F1820" s="112">
        <f t="shared" si="582"/>
        <v>4.306912606443225E-3</v>
      </c>
    </row>
    <row r="1821" spans="1:6">
      <c r="A1821" s="111">
        <f t="shared" si="520"/>
        <v>45287</v>
      </c>
      <c r="B1821" s="112">
        <f t="shared" ref="B1821:F1821" si="583">IFERROR((B579/B578-1),"")</f>
        <v>1.5460971574672966E-2</v>
      </c>
      <c r="C1821" s="112">
        <f t="shared" si="583"/>
        <v>3.7204929852376889E-3</v>
      </c>
      <c r="D1821" s="112">
        <f t="shared" si="583"/>
        <v>1.4621414557495882E-2</v>
      </c>
      <c r="E1821" s="112">
        <f t="shared" si="583"/>
        <v>-3.6574069653070307E-3</v>
      </c>
      <c r="F1821" s="112">
        <f t="shared" si="583"/>
        <v>9.9527315211029865E-3</v>
      </c>
    </row>
    <row r="1822" spans="1:6">
      <c r="A1822" s="111">
        <f t="shared" si="520"/>
        <v>45288</v>
      </c>
      <c r="B1822" s="112">
        <f t="shared" ref="B1822:F1822" si="584">IFERROR((B580/B579-1),"")</f>
        <v>2.7548209366391241E-2</v>
      </c>
      <c r="C1822" s="112">
        <f t="shared" si="584"/>
        <v>-4.2940597517224788E-3</v>
      </c>
      <c r="D1822" s="112">
        <f t="shared" si="584"/>
        <v>2.5207804707323422E-2</v>
      </c>
      <c r="E1822" s="112">
        <f t="shared" si="584"/>
        <v>1.2498083116086356E-2</v>
      </c>
      <c r="F1822" s="112">
        <f t="shared" si="584"/>
        <v>5.7239173853311787E-3</v>
      </c>
    </row>
    <row r="1823" spans="1:6">
      <c r="A1823" s="111">
        <f t="shared" ref="A1823:A1886" si="585">A581</f>
        <v>45289</v>
      </c>
      <c r="B1823" s="112">
        <f t="shared" ref="B1823:F1823" si="586">IFERROR((B581/B580-1),"")</f>
        <v>-2.9115858052984889E-3</v>
      </c>
      <c r="C1823" s="112">
        <f t="shared" si="586"/>
        <v>3.2683125144483682E-4</v>
      </c>
      <c r="D1823" s="112">
        <f t="shared" si="586"/>
        <v>-1.0352390949979196E-2</v>
      </c>
      <c r="E1823" s="112">
        <f t="shared" si="586"/>
        <v>1.0687239681938632E-2</v>
      </c>
      <c r="F1823" s="112">
        <f t="shared" si="586"/>
        <v>-2.1718468044464867E-3</v>
      </c>
    </row>
    <row r="1824" spans="1:6">
      <c r="A1824" s="111">
        <f t="shared" si="585"/>
        <v>45292</v>
      </c>
      <c r="B1824" s="112">
        <f t="shared" ref="B1824:F1824" si="587">IFERROR((B582/B581-1),"")</f>
        <v>-1.5091939400948329E-2</v>
      </c>
      <c r="C1824" s="112">
        <f t="shared" si="587"/>
        <v>-1.3045072038760819E-2</v>
      </c>
      <c r="D1824" s="112">
        <f t="shared" si="587"/>
        <v>4.0963107331966064E-3</v>
      </c>
      <c r="E1824" s="112">
        <f t="shared" si="587"/>
        <v>-3.4935234009870753E-3</v>
      </c>
      <c r="F1824" s="112">
        <f t="shared" si="587"/>
        <v>4.8317181589774272E-4</v>
      </c>
    </row>
    <row r="1825" spans="1:6">
      <c r="A1825" s="111">
        <f t="shared" si="585"/>
        <v>45293</v>
      </c>
      <c r="B1825" s="112">
        <f t="shared" ref="B1825:F1825" si="588">IFERROR((B583/B582-1),"")</f>
        <v>-2.7652204544120207E-2</v>
      </c>
      <c r="C1825" s="112">
        <f t="shared" si="588"/>
        <v>-2.4908963189639088E-2</v>
      </c>
      <c r="D1825" s="112">
        <f t="shared" si="588"/>
        <v>1.8061889670454301E-2</v>
      </c>
      <c r="E1825" s="112">
        <f t="shared" si="588"/>
        <v>-5.8178878905221776E-3</v>
      </c>
      <c r="F1825" s="112">
        <f t="shared" si="588"/>
        <v>-3.5001540803702991E-3</v>
      </c>
    </row>
    <row r="1826" spans="1:6">
      <c r="A1826" s="111">
        <f t="shared" si="585"/>
        <v>45294</v>
      </c>
      <c r="B1826" s="112">
        <f t="shared" ref="B1826:F1826" si="589">IFERROR((B584/B583-1),"")</f>
        <v>-5.7360222195390609E-4</v>
      </c>
      <c r="C1826" s="112">
        <f t="shared" si="589"/>
        <v>-1.8233608797177947E-2</v>
      </c>
      <c r="D1826" s="112">
        <f t="shared" si="589"/>
        <v>8.6049807653387766E-4</v>
      </c>
      <c r="E1826" s="112">
        <f t="shared" si="589"/>
        <v>-6.6271495693771554E-3</v>
      </c>
      <c r="F1826" s="112">
        <f t="shared" si="589"/>
        <v>-6.8518125340398806E-3</v>
      </c>
    </row>
    <row r="1827" spans="1:6">
      <c r="A1827" s="111">
        <f t="shared" si="585"/>
        <v>45295</v>
      </c>
      <c r="B1827" s="112">
        <f t="shared" ref="B1827:F1827" si="590">IFERROR((B585/B584-1),"")</f>
        <v>-8.1860746110858917E-3</v>
      </c>
      <c r="C1827" s="112">
        <f t="shared" si="590"/>
        <v>4.360514152693673E-3</v>
      </c>
      <c r="D1827" s="112">
        <f t="shared" si="590"/>
        <v>-1.5121630506245931E-2</v>
      </c>
      <c r="E1827" s="112">
        <f t="shared" si="590"/>
        <v>2.0461380334234169E-2</v>
      </c>
      <c r="F1827" s="112">
        <f t="shared" si="590"/>
        <v>6.5644700671783074E-3</v>
      </c>
    </row>
    <row r="1828" spans="1:6">
      <c r="A1828" s="111">
        <f t="shared" si="585"/>
        <v>45296</v>
      </c>
      <c r="B1828" s="112">
        <f t="shared" ref="B1828:F1828" si="591">IFERROR((B586/B585-1),"")</f>
        <v>1.8273740634699998E-4</v>
      </c>
      <c r="C1828" s="112">
        <f t="shared" si="591"/>
        <v>2.0540640404430599E-2</v>
      </c>
      <c r="D1828" s="112">
        <f t="shared" si="591"/>
        <v>-1.1211529903117912E-3</v>
      </c>
      <c r="E1828" s="112">
        <f t="shared" si="591"/>
        <v>-1.6591125286777419E-2</v>
      </c>
      <c r="F1828" s="112">
        <f t="shared" si="591"/>
        <v>2.4101280784538659E-3</v>
      </c>
    </row>
    <row r="1829" spans="1:6">
      <c r="A1829" s="111">
        <f t="shared" si="585"/>
        <v>45299</v>
      </c>
      <c r="B1829" s="112">
        <f t="shared" ref="B1829:F1829" si="592">IFERROR((B587/B586-1),"")</f>
        <v>-1.574299634591958E-2</v>
      </c>
      <c r="C1829" s="112">
        <f t="shared" si="592"/>
        <v>-2.6084738370897309E-3</v>
      </c>
      <c r="D1829" s="112">
        <f t="shared" si="592"/>
        <v>-1.2732086399972697E-2</v>
      </c>
      <c r="E1829" s="112">
        <f t="shared" si="592"/>
        <v>-1.8018530636243812E-2</v>
      </c>
      <c r="F1829" s="112">
        <f t="shared" si="592"/>
        <v>-9.1106730290915205E-3</v>
      </c>
    </row>
    <row r="1830" spans="1:6">
      <c r="A1830" s="111">
        <f t="shared" si="585"/>
        <v>45300</v>
      </c>
      <c r="B1830" s="112">
        <f t="shared" ref="B1830:F1830" si="593">IFERROR((B588/B587-1),"")</f>
        <v>8.5078736503418906E-3</v>
      </c>
      <c r="C1830" s="112">
        <f t="shared" si="593"/>
        <v>1.2127712234963894E-3</v>
      </c>
      <c r="D1830" s="112">
        <f t="shared" si="593"/>
        <v>-2.004738472753731E-3</v>
      </c>
      <c r="E1830" s="112">
        <f t="shared" si="593"/>
        <v>-1.0613537813746521E-2</v>
      </c>
      <c r="F1830" s="112">
        <f t="shared" si="593"/>
        <v>1.4805001626922998E-3</v>
      </c>
    </row>
    <row r="1831" spans="1:6">
      <c r="A1831" s="111">
        <f t="shared" si="585"/>
        <v>45301</v>
      </c>
      <c r="B1831" s="112">
        <f t="shared" ref="B1831:F1831" si="594">IFERROR((B589/B588-1),"")</f>
        <v>1.7792502607520966E-3</v>
      </c>
      <c r="C1831" s="112">
        <f t="shared" si="594"/>
        <v>1.3909374819746745E-2</v>
      </c>
      <c r="D1831" s="112">
        <f t="shared" si="594"/>
        <v>6.5045740721416667E-3</v>
      </c>
      <c r="E1831" s="112">
        <f t="shared" si="594"/>
        <v>-6.9791503982508107E-3</v>
      </c>
      <c r="F1831" s="112">
        <f t="shared" si="594"/>
        <v>3.4277333098164942E-3</v>
      </c>
    </row>
    <row r="1832" spans="1:6">
      <c r="A1832" s="111">
        <f t="shared" si="585"/>
        <v>45302</v>
      </c>
      <c r="B1832" s="112">
        <f t="shared" ref="B1832:F1832" si="595">IFERROR((B590/B589-1),"")</f>
        <v>-2.5416462518372818E-3</v>
      </c>
      <c r="C1832" s="112">
        <f t="shared" si="595"/>
        <v>1.3954244382136549E-2</v>
      </c>
      <c r="D1832" s="112">
        <f t="shared" si="595"/>
        <v>-1.6372338954935062E-2</v>
      </c>
      <c r="E1832" s="112">
        <f t="shared" si="595"/>
        <v>9.8394817807399004E-3</v>
      </c>
      <c r="F1832" s="112">
        <f t="shared" si="595"/>
        <v>1.3183031357111297E-3</v>
      </c>
    </row>
    <row r="1833" spans="1:6">
      <c r="A1833" s="111">
        <f t="shared" si="585"/>
        <v>45303</v>
      </c>
      <c r="B1833" s="112">
        <f t="shared" ref="B1833:F1833" si="596">IFERROR((B591/B590-1),"")</f>
        <v>-2.5788229515243399E-3</v>
      </c>
      <c r="C1833" s="112">
        <f t="shared" si="596"/>
        <v>5.6844231416617319E-2</v>
      </c>
      <c r="D1833" s="112">
        <f t="shared" si="596"/>
        <v>-6.3241662201685145E-4</v>
      </c>
      <c r="E1833" s="112">
        <f t="shared" si="596"/>
        <v>2.8033562403879664E-3</v>
      </c>
      <c r="F1833" s="112">
        <f t="shared" si="596"/>
        <v>1.1426420045086649E-2</v>
      </c>
    </row>
    <row r="1834" spans="1:6">
      <c r="A1834" s="111">
        <f t="shared" si="585"/>
        <v>45306</v>
      </c>
      <c r="B1834" s="112">
        <f t="shared" ref="B1834:F1834" si="597">IFERROR((B592/B591-1),"")</f>
        <v>6.8330819662039133E-3</v>
      </c>
      <c r="C1834" s="112">
        <f t="shared" si="597"/>
        <v>3.2384303851229479E-3</v>
      </c>
      <c r="D1834" s="112">
        <f t="shared" si="597"/>
        <v>1.6593863434613443E-2</v>
      </c>
      <c r="E1834" s="112">
        <f t="shared" si="597"/>
        <v>5.0959989128536165E-3</v>
      </c>
      <c r="F1834" s="112">
        <f t="shared" si="597"/>
        <v>9.2671463903117868E-3</v>
      </c>
    </row>
    <row r="1835" spans="1:6">
      <c r="A1835" s="111">
        <f t="shared" si="585"/>
        <v>45307</v>
      </c>
      <c r="B1835" s="112">
        <f t="shared" ref="B1835:F1835" si="598">IFERROR((B593/B592-1),"")</f>
        <v>-9.293509828498081E-3</v>
      </c>
      <c r="C1835" s="112">
        <f t="shared" si="598"/>
        <v>-2.5778456467669963E-3</v>
      </c>
      <c r="D1835" s="112">
        <f t="shared" si="598"/>
        <v>-4.340120174642248E-3</v>
      </c>
      <c r="E1835" s="112">
        <f t="shared" si="598"/>
        <v>-9.029715974388397E-3</v>
      </c>
      <c r="F1835" s="112">
        <f t="shared" si="598"/>
        <v>-2.9483039898269281E-3</v>
      </c>
    </row>
    <row r="1836" spans="1:6">
      <c r="A1836" s="111">
        <f t="shared" si="585"/>
        <v>45308</v>
      </c>
      <c r="B1836" s="112">
        <f t="shared" ref="B1836:F1836" si="599">IFERROR((B594/B593-1),"")</f>
        <v>-1.3978461443515222E-2</v>
      </c>
      <c r="C1836" s="112">
        <f t="shared" si="599"/>
        <v>4.5399423980596598E-3</v>
      </c>
      <c r="D1836" s="112">
        <f t="shared" si="599"/>
        <v>-1.8790757448138851E-2</v>
      </c>
      <c r="E1836" s="112">
        <f t="shared" si="599"/>
        <v>-1.342922855026718E-2</v>
      </c>
      <c r="F1836" s="112">
        <f t="shared" si="599"/>
        <v>-2.0894323334377241E-2</v>
      </c>
    </row>
    <row r="1837" spans="1:6">
      <c r="A1837" s="111">
        <f t="shared" si="585"/>
        <v>45309</v>
      </c>
      <c r="B1837" s="112">
        <f t="shared" ref="B1837:F1837" si="600">IFERROR((B595/B594-1),"")</f>
        <v>1.2236339738373792E-2</v>
      </c>
      <c r="C1837" s="112">
        <f t="shared" si="600"/>
        <v>-2.1178671938071214E-2</v>
      </c>
      <c r="D1837" s="112">
        <f t="shared" si="600"/>
        <v>0</v>
      </c>
      <c r="E1837" s="112">
        <f t="shared" si="600"/>
        <v>-9.196515004840311E-3</v>
      </c>
      <c r="F1837" s="112">
        <f t="shared" si="600"/>
        <v>-5.0853075405793424E-3</v>
      </c>
    </row>
    <row r="1838" spans="1:6">
      <c r="A1838" s="111">
        <f t="shared" si="585"/>
        <v>45310</v>
      </c>
      <c r="B1838" s="112">
        <f t="shared" ref="B1838:F1838" si="601">IFERROR((B596/B595-1),"")</f>
        <v>2.3682176534240096E-2</v>
      </c>
      <c r="C1838" s="112">
        <f t="shared" si="601"/>
        <v>-1.0984182776801354E-2</v>
      </c>
      <c r="D1838" s="112">
        <f t="shared" si="601"/>
        <v>3.2301170806821045E-3</v>
      </c>
      <c r="E1838" s="112">
        <f t="shared" si="601"/>
        <v>2.4625385083197893E-2</v>
      </c>
      <c r="F1838" s="112">
        <f t="shared" si="601"/>
        <v>7.4619389858938678E-3</v>
      </c>
    </row>
    <row r="1839" spans="1:6">
      <c r="A1839" s="111">
        <f t="shared" si="585"/>
        <v>45311</v>
      </c>
      <c r="B1839" s="112">
        <f t="shared" ref="B1839:F1839" si="602">IFERROR((B597/B596-1),"")</f>
        <v>-2.0083960013288604E-2</v>
      </c>
      <c r="C1839" s="112">
        <f t="shared" si="602"/>
        <v>-2.0567856781001703E-2</v>
      </c>
      <c r="D1839" s="112">
        <f t="shared" si="602"/>
        <v>-5.7866694894324056E-3</v>
      </c>
      <c r="E1839" s="112">
        <f t="shared" si="602"/>
        <v>5.4002510386970126E-3</v>
      </c>
      <c r="F1839" s="112">
        <f t="shared" si="602"/>
        <v>-2.3401657540329523E-3</v>
      </c>
    </row>
    <row r="1840" spans="1:6">
      <c r="A1840" s="111">
        <f t="shared" si="585"/>
        <v>45314</v>
      </c>
      <c r="B1840" s="112">
        <f t="shared" ref="B1840:F1840" si="603">IFERROR((B598/B597-1),"")</f>
        <v>-1.6704678542809548E-2</v>
      </c>
      <c r="C1840" s="112">
        <f t="shared" si="603"/>
        <v>-1.3018429512684282E-2</v>
      </c>
      <c r="D1840" s="112">
        <f t="shared" si="603"/>
        <v>6.9205380274692807E-3</v>
      </c>
      <c r="E1840" s="112">
        <f t="shared" si="603"/>
        <v>-2.2897956023536614E-2</v>
      </c>
      <c r="F1840" s="112">
        <f t="shared" si="603"/>
        <v>-1.5436820293160514E-2</v>
      </c>
    </row>
    <row r="1841" spans="1:6">
      <c r="A1841" s="111">
        <f t="shared" si="585"/>
        <v>45315</v>
      </c>
      <c r="B1841" s="112">
        <f t="shared" ref="B1841:F1841" si="604">IFERROR((B599/B598-1),"")</f>
        <v>2.0624373119358053E-2</v>
      </c>
      <c r="C1841" s="112">
        <f t="shared" si="604"/>
        <v>2.7025283797729616E-2</v>
      </c>
      <c r="D1841" s="112">
        <f t="shared" si="604"/>
        <v>4.0127590582264228E-2</v>
      </c>
      <c r="E1841" s="112">
        <f t="shared" si="604"/>
        <v>1.8650581406865818E-2</v>
      </c>
      <c r="F1841" s="112">
        <f t="shared" si="604"/>
        <v>1.0130045011959243E-2</v>
      </c>
    </row>
    <row r="1842" spans="1:6">
      <c r="A1842" s="111">
        <f t="shared" si="585"/>
        <v>45316</v>
      </c>
      <c r="B1842" s="112">
        <f t="shared" ref="B1842:F1842" si="605">IFERROR((B600/B599-1),"")</f>
        <v>4.5451753577789855E-3</v>
      </c>
      <c r="C1842" s="112">
        <f t="shared" si="605"/>
        <v>-2.5772467499842966E-2</v>
      </c>
      <c r="D1842" s="112">
        <f t="shared" si="605"/>
        <v>-7.8954948238764144E-3</v>
      </c>
      <c r="E1842" s="112">
        <f t="shared" si="605"/>
        <v>-6.806359084066127E-5</v>
      </c>
      <c r="F1842" s="112">
        <f t="shared" si="605"/>
        <v>-4.7240717909756702E-3</v>
      </c>
    </row>
    <row r="1843" spans="1:6">
      <c r="A1843" s="111">
        <f t="shared" si="585"/>
        <v>45320</v>
      </c>
      <c r="B1843" s="112">
        <f t="shared" ref="B1843:F1843" si="606">IFERROR((B601/B600-1),"")</f>
        <v>2.751452155304257E-3</v>
      </c>
      <c r="C1843" s="112">
        <f t="shared" si="606"/>
        <v>8.0096050797335838E-3</v>
      </c>
      <c r="D1843" s="112">
        <f t="shared" si="606"/>
        <v>-2.0151993851933447E-3</v>
      </c>
      <c r="E1843" s="112">
        <f t="shared" si="606"/>
        <v>-9.7240319726166202E-4</v>
      </c>
      <c r="F1843" s="112">
        <f t="shared" si="606"/>
        <v>1.8030591122392581E-2</v>
      </c>
    </row>
    <row r="1844" spans="1:6">
      <c r="A1844" s="111">
        <f t="shared" si="585"/>
        <v>45321</v>
      </c>
      <c r="B1844" s="112">
        <f t="shared" ref="B1844:F1844" si="607">IFERROR((B602/B601-1),"")</f>
        <v>-1.1981707317073265E-2</v>
      </c>
      <c r="C1844" s="112">
        <f t="shared" si="607"/>
        <v>-1.590790998840852E-3</v>
      </c>
      <c r="D1844" s="112">
        <f t="shared" si="607"/>
        <v>-4.7059226175194535E-4</v>
      </c>
      <c r="E1844" s="112">
        <f t="shared" si="607"/>
        <v>-8.7893476610406696E-3</v>
      </c>
      <c r="F1844" s="112">
        <f t="shared" si="607"/>
        <v>-9.9136979243338308E-3</v>
      </c>
    </row>
    <row r="1845" spans="1:6">
      <c r="A1845" s="111">
        <f t="shared" si="585"/>
        <v>45322</v>
      </c>
      <c r="B1845" s="112">
        <f t="shared" ref="B1845:F1845" si="608">IFERROR((B603/B602-1),"")</f>
        <v>1.9255099206961557E-2</v>
      </c>
      <c r="C1845" s="112">
        <f t="shared" si="608"/>
        <v>8.4870612349474683E-4</v>
      </c>
      <c r="D1845" s="112">
        <f t="shared" si="608"/>
        <v>4.7971648447598492E-2</v>
      </c>
      <c r="E1845" s="112">
        <f t="shared" si="608"/>
        <v>2.0945647370746778E-2</v>
      </c>
      <c r="F1845" s="112">
        <f t="shared" si="608"/>
        <v>9.4600433972522602E-3</v>
      </c>
    </row>
    <row r="1846" spans="1:6">
      <c r="A1846" s="111">
        <f t="shared" si="585"/>
        <v>45323</v>
      </c>
      <c r="B1846" s="112">
        <f t="shared" ref="B1846:F1846" si="609">IFERROR((B604/B603-1),"")</f>
        <v>-2.4219672428926753E-4</v>
      </c>
      <c r="C1846" s="112">
        <f t="shared" si="609"/>
        <v>-1.2855794307291002E-2</v>
      </c>
      <c r="D1846" s="112">
        <f t="shared" si="609"/>
        <v>-2.09111033057513E-2</v>
      </c>
      <c r="E1846" s="112">
        <f t="shared" si="609"/>
        <v>-9.5798707294550978E-3</v>
      </c>
      <c r="F1846" s="112">
        <f t="shared" si="609"/>
        <v>-1.3003033273956133E-3</v>
      </c>
    </row>
    <row r="1847" spans="1:6">
      <c r="A1847" s="111">
        <f t="shared" si="585"/>
        <v>45324</v>
      </c>
      <c r="B1847" s="112">
        <f t="shared" ref="B1847:F1847" si="610">IFERROR((B605/B604-1),"")</f>
        <v>5.814129546073854E-3</v>
      </c>
      <c r="C1847" s="112">
        <f t="shared" si="610"/>
        <v>4.142793468130801E-2</v>
      </c>
      <c r="D1847" s="112">
        <f t="shared" si="610"/>
        <v>7.7338294552948827E-3</v>
      </c>
      <c r="E1847" s="112">
        <f t="shared" si="610"/>
        <v>4.8556889251427648E-5</v>
      </c>
      <c r="F1847" s="112">
        <f t="shared" si="610"/>
        <v>7.2059159025599229E-3</v>
      </c>
    </row>
    <row r="1848" spans="1:6">
      <c r="A1848" s="111">
        <f t="shared" si="585"/>
        <v>45327</v>
      </c>
      <c r="B1848" s="112">
        <f t="shared" ref="B1848:F1848" si="611">IFERROR((B606/B605-1),"")</f>
        <v>2.5771488785187424E-2</v>
      </c>
      <c r="C1848" s="112">
        <f t="shared" si="611"/>
        <v>-9.19016084726898E-3</v>
      </c>
      <c r="D1848" s="112">
        <f t="shared" si="611"/>
        <v>9.0984353009355701E-3</v>
      </c>
      <c r="E1848" s="112">
        <f t="shared" si="611"/>
        <v>-4.7292113772978706E-3</v>
      </c>
      <c r="F1848" s="112">
        <f t="shared" si="611"/>
        <v>-3.756783717248191E-3</v>
      </c>
    </row>
    <row r="1849" spans="1:6">
      <c r="A1849" s="111">
        <f t="shared" si="585"/>
        <v>45328</v>
      </c>
      <c r="B1849" s="112">
        <f t="shared" ref="B1849:F1849" si="612">IFERROR((B607/B606-1),"")</f>
        <v>1.4146928472895004E-2</v>
      </c>
      <c r="C1849" s="112">
        <f t="shared" si="612"/>
        <v>3.055149773023591E-2</v>
      </c>
      <c r="D1849" s="112">
        <f t="shared" si="612"/>
        <v>1.1838640074165685E-2</v>
      </c>
      <c r="E1849" s="112">
        <f t="shared" si="612"/>
        <v>-2.2919309200897575E-2</v>
      </c>
      <c r="F1849" s="112">
        <f t="shared" si="612"/>
        <v>7.2433480160023489E-3</v>
      </c>
    </row>
    <row r="1850" spans="1:6">
      <c r="A1850" s="111">
        <f t="shared" si="585"/>
        <v>45329</v>
      </c>
      <c r="B1850" s="112">
        <f t="shared" ref="B1850:F1850" si="613">IFERROR((B608/B607-1),"")</f>
        <v>-3.8491592625822246E-3</v>
      </c>
      <c r="C1850" s="112">
        <f t="shared" si="613"/>
        <v>3.4599439092792839E-3</v>
      </c>
      <c r="D1850" s="112">
        <f t="shared" si="613"/>
        <v>2.1324554860053802E-3</v>
      </c>
      <c r="E1850" s="112">
        <f t="shared" si="613"/>
        <v>1.4219949870682314E-2</v>
      </c>
      <c r="F1850" s="112">
        <f t="shared" si="613"/>
        <v>5.0160971116319786E-5</v>
      </c>
    </row>
    <row r="1851" spans="1:6">
      <c r="A1851" s="111">
        <f t="shared" si="585"/>
        <v>45330</v>
      </c>
      <c r="B1851" s="112">
        <f t="shared" ref="B1851:F1851" si="614">IFERROR((B609/B608-1),"")</f>
        <v>-2.0395119116792482E-2</v>
      </c>
      <c r="C1851" s="112">
        <f t="shared" si="614"/>
        <v>3.7745879851143194E-3</v>
      </c>
      <c r="D1851" s="112">
        <f t="shared" si="614"/>
        <v>-3.1878312229459693E-3</v>
      </c>
      <c r="E1851" s="112">
        <f t="shared" si="614"/>
        <v>-3.9915325161226756E-2</v>
      </c>
      <c r="F1851" s="112">
        <f t="shared" si="614"/>
        <v>-9.6919814869701471E-3</v>
      </c>
    </row>
    <row r="1852" spans="1:6">
      <c r="A1852" s="111">
        <f t="shared" si="585"/>
        <v>45331</v>
      </c>
      <c r="B1852" s="112">
        <f t="shared" ref="B1852:F1852" si="615">IFERROR((B610/B609-1),"")</f>
        <v>-2.3429622160270447E-2</v>
      </c>
      <c r="C1852" s="112">
        <f t="shared" si="615"/>
        <v>-1.628243056133527E-2</v>
      </c>
      <c r="D1852" s="112">
        <f t="shared" si="615"/>
        <v>-6.8181264762456895E-4</v>
      </c>
      <c r="E1852" s="112">
        <f t="shared" si="615"/>
        <v>1.9679830993426295E-2</v>
      </c>
      <c r="F1852" s="112">
        <f t="shared" si="615"/>
        <v>2.9721958103781088E-3</v>
      </c>
    </row>
    <row r="1853" spans="1:6">
      <c r="A1853" s="111">
        <f t="shared" si="585"/>
        <v>45334</v>
      </c>
      <c r="B1853" s="112">
        <f t="shared" ref="B1853:F1853" si="616">IFERROR((B611/B610-1),"")</f>
        <v>8.5337706511174893E-3</v>
      </c>
      <c r="C1853" s="112">
        <f t="shared" si="616"/>
        <v>2.5450909510440933E-2</v>
      </c>
      <c r="D1853" s="112">
        <f t="shared" si="616"/>
        <v>2.8858727876735157E-2</v>
      </c>
      <c r="E1853" s="112">
        <f t="shared" si="616"/>
        <v>-2.6149049582624428E-4</v>
      </c>
      <c r="F1853" s="112">
        <f t="shared" si="616"/>
        <v>-7.6414552966831417E-3</v>
      </c>
    </row>
    <row r="1854" spans="1:6">
      <c r="A1854" s="111">
        <f t="shared" si="585"/>
        <v>45335</v>
      </c>
      <c r="B1854" s="112">
        <f t="shared" ref="B1854:F1854" si="617">IFERROR((B612/B611-1),"")</f>
        <v>-8.2507753922129723E-3</v>
      </c>
      <c r="C1854" s="112">
        <f t="shared" si="617"/>
        <v>-6.4504515316066158E-4</v>
      </c>
      <c r="D1854" s="112">
        <f t="shared" si="617"/>
        <v>2.9209757637937983E-4</v>
      </c>
      <c r="E1854" s="112">
        <f t="shared" si="617"/>
        <v>2.2936702748381776E-3</v>
      </c>
      <c r="F1854" s="112">
        <f t="shared" si="617"/>
        <v>5.8845163663112654E-3</v>
      </c>
    </row>
    <row r="1855" spans="1:6">
      <c r="A1855" s="111">
        <f t="shared" si="585"/>
        <v>45336</v>
      </c>
      <c r="B1855" s="112">
        <f t="shared" ref="B1855:F1855" si="618">IFERROR((B613/B612-1),"")</f>
        <v>6.2547441931075642E-3</v>
      </c>
      <c r="C1855" s="112">
        <f t="shared" si="618"/>
        <v>-2.8482865248652844E-2</v>
      </c>
      <c r="D1855" s="112">
        <f t="shared" si="618"/>
        <v>-1.2154024639522532E-2</v>
      </c>
      <c r="E1855" s="112">
        <f t="shared" si="618"/>
        <v>5.8314597719606454E-3</v>
      </c>
      <c r="F1855" s="112">
        <f t="shared" si="618"/>
        <v>4.4519563542708696E-3</v>
      </c>
    </row>
    <row r="1856" spans="1:6">
      <c r="A1856" s="111">
        <f t="shared" si="585"/>
        <v>45337</v>
      </c>
      <c r="B1856" s="112">
        <f t="shared" ref="B1856:F1856" si="619">IFERROR((B614/B613-1),"")</f>
        <v>6.5176065900244495E-2</v>
      </c>
      <c r="C1856" s="112">
        <f t="shared" si="619"/>
        <v>2.6675834150938993E-2</v>
      </c>
      <c r="D1856" s="112">
        <f t="shared" si="619"/>
        <v>-9.107831936533417E-4</v>
      </c>
      <c r="E1856" s="112">
        <f t="shared" si="619"/>
        <v>-1.1994451817628371E-2</v>
      </c>
      <c r="F1856" s="112">
        <f t="shared" si="619"/>
        <v>3.2371720760713263E-3</v>
      </c>
    </row>
    <row r="1857" spans="1:6">
      <c r="A1857" s="111">
        <f t="shared" si="585"/>
        <v>45338</v>
      </c>
      <c r="B1857" s="112">
        <f t="shared" ref="B1857:F1857" si="620">IFERROR((B615/B614-1),"")</f>
        <v>3.9942211268802597E-2</v>
      </c>
      <c r="C1857" s="112">
        <f t="shared" si="620"/>
        <v>3.1001685528533329E-3</v>
      </c>
      <c r="D1857" s="112">
        <f t="shared" si="620"/>
        <v>1.0315626174502102E-2</v>
      </c>
      <c r="E1857" s="112">
        <f t="shared" si="620"/>
        <v>-7.4436173758472002E-3</v>
      </c>
      <c r="F1857" s="112">
        <f t="shared" si="620"/>
        <v>5.9308786782743539E-3</v>
      </c>
    </row>
    <row r="1858" spans="1:6">
      <c r="A1858" s="111">
        <f t="shared" si="585"/>
        <v>45341</v>
      </c>
      <c r="B1858" s="112">
        <f t="shared" ref="B1858:F1858" si="621">IFERROR((B616/B615-1),"")</f>
        <v>7.0823458908773063E-3</v>
      </c>
      <c r="C1858" s="112">
        <f t="shared" si="621"/>
        <v>1.3427551234734603E-2</v>
      </c>
      <c r="D1858" s="112">
        <f t="shared" si="621"/>
        <v>1.5829923304021554E-2</v>
      </c>
      <c r="E1858" s="112">
        <f t="shared" si="621"/>
        <v>2.350570852921452E-3</v>
      </c>
      <c r="F1858" s="112">
        <f t="shared" si="621"/>
        <v>3.6999732313400813E-3</v>
      </c>
    </row>
    <row r="1859" spans="1:6">
      <c r="A1859" s="111">
        <f t="shared" si="585"/>
        <v>45342</v>
      </c>
      <c r="B1859" s="112">
        <f t="shared" ref="B1859:F1859" si="622">IFERROR((B617/B616-1),"")</f>
        <v>2.7589191528496482E-3</v>
      </c>
      <c r="C1859" s="112">
        <f t="shared" si="622"/>
        <v>-1.5018727146219768E-2</v>
      </c>
      <c r="D1859" s="112">
        <f t="shared" si="622"/>
        <v>-6.4125039932056982E-3</v>
      </c>
      <c r="E1859" s="112">
        <f t="shared" si="622"/>
        <v>-8.3244505355062337E-4</v>
      </c>
      <c r="F1859" s="112">
        <f t="shared" si="622"/>
        <v>3.3766908881329716E-3</v>
      </c>
    </row>
    <row r="1860" spans="1:6">
      <c r="A1860" s="111">
        <f t="shared" si="585"/>
        <v>45343</v>
      </c>
      <c r="B1860" s="112">
        <f t="shared" ref="B1860:F1860" si="623">IFERROR((B618/B617-1),"")</f>
        <v>3.2368570118415096E-3</v>
      </c>
      <c r="C1860" s="112">
        <f t="shared" si="623"/>
        <v>-1.6149516416295362E-2</v>
      </c>
      <c r="D1860" s="112">
        <f t="shared" si="623"/>
        <v>-4.2111041405270555E-3</v>
      </c>
      <c r="E1860" s="112">
        <f t="shared" si="623"/>
        <v>3.7592839072164708E-4</v>
      </c>
      <c r="F1860" s="112">
        <f t="shared" si="623"/>
        <v>-6.3927701778848656E-3</v>
      </c>
    </row>
    <row r="1861" spans="1:6">
      <c r="A1861" s="111">
        <f t="shared" si="585"/>
        <v>45344</v>
      </c>
      <c r="B1861" s="112">
        <f t="shared" ref="B1861:F1861" si="624">IFERROR((B619/B618-1),"")</f>
        <v>2.7263194687172199E-2</v>
      </c>
      <c r="C1861" s="112">
        <f t="shared" si="624"/>
        <v>1.0953253895508608E-2</v>
      </c>
      <c r="D1861" s="112">
        <f t="shared" si="624"/>
        <v>2.3310206878086603E-3</v>
      </c>
      <c r="E1861" s="112">
        <f t="shared" si="624"/>
        <v>6.8962015031484025E-3</v>
      </c>
      <c r="F1861" s="112">
        <f t="shared" si="624"/>
        <v>7.3633929644232321E-3</v>
      </c>
    </row>
    <row r="1862" spans="1:6">
      <c r="A1862" s="111">
        <f t="shared" si="585"/>
        <v>45345</v>
      </c>
      <c r="B1862" s="112">
        <f t="shared" ref="B1862:F1862" si="625">IFERROR((B620/B619-1),"")</f>
        <v>1.0259900018321222E-2</v>
      </c>
      <c r="C1862" s="112">
        <f t="shared" si="625"/>
        <v>-1.7679858561130413E-3</v>
      </c>
      <c r="D1862" s="112">
        <f t="shared" si="625"/>
        <v>1.2287965807399548E-2</v>
      </c>
      <c r="E1862" s="112">
        <f t="shared" si="625"/>
        <v>-4.155781276793058E-3</v>
      </c>
      <c r="F1862" s="112">
        <f t="shared" si="625"/>
        <v>-2.1379591267223219E-4</v>
      </c>
    </row>
    <row r="1863" spans="1:6">
      <c r="A1863" s="111">
        <f t="shared" si="585"/>
        <v>45348</v>
      </c>
      <c r="B1863" s="112">
        <f t="shared" ref="B1863:F1863" si="626">IFERROR((B621/B620-1),"")</f>
        <v>-7.7722220782949769E-5</v>
      </c>
      <c r="C1863" s="112">
        <f t="shared" si="626"/>
        <v>-1.9073569482288555E-3</v>
      </c>
      <c r="D1863" s="112">
        <f t="shared" si="626"/>
        <v>-2.1731875227992692E-4</v>
      </c>
      <c r="E1863" s="112">
        <f t="shared" si="626"/>
        <v>-6.9788406413646698E-3</v>
      </c>
      <c r="F1863" s="112">
        <f t="shared" si="626"/>
        <v>-4.0809987079464261E-3</v>
      </c>
    </row>
    <row r="1864" spans="1:6">
      <c r="A1864" s="111">
        <f t="shared" si="585"/>
        <v>45349</v>
      </c>
      <c r="B1864" s="112">
        <f t="shared" ref="B1864:F1864" si="627">IFERROR((B622/B621-1),"")</f>
        <v>1.0778318996787162E-2</v>
      </c>
      <c r="C1864" s="112">
        <f t="shared" si="627"/>
        <v>-4.8305881639215675E-3</v>
      </c>
      <c r="D1864" s="112">
        <f t="shared" si="627"/>
        <v>1.3740635795520539E-3</v>
      </c>
      <c r="E1864" s="112">
        <f t="shared" si="627"/>
        <v>4.9980619759693035E-4</v>
      </c>
      <c r="F1864" s="112">
        <f t="shared" si="627"/>
        <v>3.4490474436139618E-3</v>
      </c>
    </row>
    <row r="1865" spans="1:6">
      <c r="A1865" s="111">
        <f t="shared" si="585"/>
        <v>45350</v>
      </c>
      <c r="B1865" s="112">
        <f t="shared" ref="B1865:F1865" si="628">IFERROR((B623/B622-1),"")</f>
        <v>-2.5094842612529367E-2</v>
      </c>
      <c r="C1865" s="112">
        <f t="shared" si="628"/>
        <v>-1.4767852108114599E-2</v>
      </c>
      <c r="D1865" s="112">
        <f t="shared" si="628"/>
        <v>-3.3412924832548763E-3</v>
      </c>
      <c r="E1865" s="112">
        <f t="shared" si="628"/>
        <v>-3.3745552417752123E-3</v>
      </c>
      <c r="F1865" s="112">
        <f t="shared" si="628"/>
        <v>-1.1135962808046407E-2</v>
      </c>
    </row>
    <row r="1866" spans="1:6">
      <c r="A1866" s="111">
        <f t="shared" si="585"/>
        <v>45351</v>
      </c>
      <c r="B1866" s="112">
        <f t="shared" ref="B1866:F1866" si="629">IFERROR((B624/B623-1),"")</f>
        <v>1.6170168011989672E-2</v>
      </c>
      <c r="C1866" s="112">
        <f t="shared" si="629"/>
        <v>1.3829054937235519E-2</v>
      </c>
      <c r="D1866" s="112">
        <f t="shared" si="629"/>
        <v>-5.9115906067941371E-4</v>
      </c>
      <c r="E1866" s="112">
        <f t="shared" si="629"/>
        <v>1.5835345145055024E-2</v>
      </c>
      <c r="F1866" s="112">
        <f t="shared" si="629"/>
        <v>1.4418378991531977E-3</v>
      </c>
    </row>
    <row r="1867" spans="1:6">
      <c r="A1867" s="111">
        <f t="shared" si="585"/>
        <v>45352</v>
      </c>
      <c r="B1867" s="112">
        <f t="shared" ref="B1867:F1867" si="630">IFERROR((B625/B624-1),"")</f>
        <v>2.0984268267439488E-2</v>
      </c>
      <c r="C1867" s="112">
        <f t="shared" si="630"/>
        <v>-7.5296953791929022E-3</v>
      </c>
      <c r="D1867" s="112">
        <f t="shared" si="630"/>
        <v>-3.5910806708954301E-2</v>
      </c>
      <c r="E1867" s="112">
        <f t="shared" si="630"/>
        <v>-7.5525658583742716E-3</v>
      </c>
      <c r="F1867" s="112">
        <f t="shared" si="630"/>
        <v>1.6192204814673428E-2</v>
      </c>
    </row>
    <row r="1868" spans="1:6">
      <c r="A1868" s="111">
        <f t="shared" si="585"/>
        <v>45353</v>
      </c>
      <c r="B1868" s="112">
        <f t="shared" ref="B1868:F1868" si="631">IFERROR((B626/B625-1),"")</f>
        <v>-6.5130895359740704E-3</v>
      </c>
      <c r="C1868" s="112">
        <f t="shared" si="631"/>
        <v>6.9180746229635659E-5</v>
      </c>
      <c r="D1868" s="112">
        <f t="shared" si="631"/>
        <v>7.3221335098609952E-3</v>
      </c>
      <c r="E1868" s="112">
        <f t="shared" si="631"/>
        <v>-1.0451123242080085E-3</v>
      </c>
      <c r="F1868" s="112">
        <f t="shared" si="631"/>
        <v>1.7749426445079486E-3</v>
      </c>
    </row>
    <row r="1869" spans="1:6">
      <c r="A1869" s="111">
        <f t="shared" si="585"/>
        <v>45355</v>
      </c>
      <c r="B1869" s="112">
        <f t="shared" ref="B1869:F1869" si="632">IFERROR((B627/B626-1),"")</f>
        <v>-1.9922452936074642E-2</v>
      </c>
      <c r="C1869" s="112">
        <f t="shared" si="632"/>
        <v>-9.6000860856398917E-3</v>
      </c>
      <c r="D1869" s="112">
        <f t="shared" si="632"/>
        <v>1.5419384827453531E-2</v>
      </c>
      <c r="E1869" s="112">
        <f t="shared" si="632"/>
        <v>-1.6993225056119443E-2</v>
      </c>
      <c r="F1869" s="112">
        <f t="shared" si="632"/>
        <v>1.2154577628427088E-3</v>
      </c>
    </row>
    <row r="1870" spans="1:6">
      <c r="A1870" s="111">
        <f t="shared" si="585"/>
        <v>45356</v>
      </c>
      <c r="B1870" s="112">
        <f t="shared" ref="B1870:F1870" si="633">IFERROR((B628/B627-1),"")</f>
        <v>9.4739855808021467E-3</v>
      </c>
      <c r="C1870" s="112">
        <f t="shared" si="633"/>
        <v>-1.9595821627578447E-2</v>
      </c>
      <c r="D1870" s="112">
        <f t="shared" si="633"/>
        <v>-5.0196524127479325E-3</v>
      </c>
      <c r="E1870" s="112">
        <f t="shared" si="633"/>
        <v>-2.7382256297918683E-3</v>
      </c>
      <c r="F1870" s="112">
        <f t="shared" si="633"/>
        <v>-2.2003427714499812E-3</v>
      </c>
    </row>
    <row r="1871" spans="1:6">
      <c r="A1871" s="111">
        <f t="shared" si="585"/>
        <v>45357</v>
      </c>
      <c r="B1871" s="112">
        <f t="shared" ref="B1871:F1871" si="634">IFERROR((B629/B628-1),"")</f>
        <v>1.6191826737140591E-2</v>
      </c>
      <c r="C1871" s="112">
        <f t="shared" si="634"/>
        <v>1.0844699158547577E-3</v>
      </c>
      <c r="D1871" s="112">
        <f t="shared" si="634"/>
        <v>1.8006441070550494E-3</v>
      </c>
      <c r="E1871" s="112">
        <f t="shared" si="634"/>
        <v>1.141815092267362E-2</v>
      </c>
      <c r="F1871" s="112">
        <f t="shared" si="634"/>
        <v>5.2669717260906967E-3</v>
      </c>
    </row>
    <row r="1872" spans="1:6">
      <c r="A1872" s="111">
        <f t="shared" si="585"/>
        <v>45358</v>
      </c>
      <c r="B1872" s="112">
        <f t="shared" ref="B1872:F1872" si="635">IFERROR((B630/B629-1),"")</f>
        <v>-3.7094359729023529E-2</v>
      </c>
      <c r="C1872" s="112">
        <f t="shared" si="635"/>
        <v>-1.100691094839723E-2</v>
      </c>
      <c r="D1872" s="112">
        <f t="shared" si="635"/>
        <v>1.5044380923723288E-3</v>
      </c>
      <c r="E1872" s="112">
        <f t="shared" si="635"/>
        <v>1.7210469702402253E-3</v>
      </c>
      <c r="F1872" s="112">
        <f t="shared" si="635"/>
        <v>8.6766737637411495E-4</v>
      </c>
    </row>
    <row r="1873" spans="1:6">
      <c r="A1873" s="111">
        <f t="shared" si="585"/>
        <v>45362</v>
      </c>
      <c r="B1873" s="112">
        <f t="shared" ref="B1873:F1873" si="636">IFERROR((B631/B630-1),"")</f>
        <v>-1.686385075492125E-3</v>
      </c>
      <c r="C1873" s="112">
        <f t="shared" si="636"/>
        <v>-9.6742728304843872E-4</v>
      </c>
      <c r="D1873" s="112">
        <f t="shared" si="636"/>
        <v>1.0009250254975122E-2</v>
      </c>
      <c r="E1873" s="112">
        <f t="shared" si="636"/>
        <v>9.8687910986572369E-3</v>
      </c>
      <c r="F1873" s="112">
        <f t="shared" si="636"/>
        <v>-7.1531616841271628E-3</v>
      </c>
    </row>
    <row r="1874" spans="1:6">
      <c r="A1874" s="111">
        <f t="shared" si="585"/>
        <v>45363</v>
      </c>
      <c r="B1874" s="112">
        <f t="shared" ref="B1874:F1874" si="637">IFERROR((B632/B631-1),"")</f>
        <v>4.2230844352952879E-4</v>
      </c>
      <c r="C1874" s="112">
        <f t="shared" si="637"/>
        <v>2.5609629220586516E-3</v>
      </c>
      <c r="D1874" s="112">
        <f t="shared" si="637"/>
        <v>-1.3354311971130794E-2</v>
      </c>
      <c r="E1874" s="112">
        <f t="shared" si="637"/>
        <v>-1.3823064770932092E-2</v>
      </c>
      <c r="F1874" s="112">
        <f t="shared" si="637"/>
        <v>1.3657134285449679E-4</v>
      </c>
    </row>
    <row r="1875" spans="1:6">
      <c r="A1875" s="111">
        <f t="shared" si="585"/>
        <v>45364</v>
      </c>
      <c r="B1875" s="112">
        <f t="shared" ref="B1875:F1875" si="638">IFERROR((B633/B632-1),"")</f>
        <v>-2.1871619660712938E-2</v>
      </c>
      <c r="C1875" s="112">
        <f t="shared" si="638"/>
        <v>-1.4376601502318898E-2</v>
      </c>
      <c r="D1875" s="112">
        <f t="shared" si="638"/>
        <v>2.6181541220049453E-4</v>
      </c>
      <c r="E1875" s="112">
        <f t="shared" si="638"/>
        <v>-2.5671831839232384E-3</v>
      </c>
      <c r="F1875" s="112">
        <f t="shared" si="638"/>
        <v>-1.5132724741109493E-2</v>
      </c>
    </row>
    <row r="1876" spans="1:6">
      <c r="A1876" s="111">
        <f t="shared" si="585"/>
        <v>45365</v>
      </c>
      <c r="B1876" s="112">
        <f t="shared" ref="B1876:F1876" si="639">IFERROR((B634/B633-1),"")</f>
        <v>1.9879160597723322E-2</v>
      </c>
      <c r="C1876" s="112">
        <f t="shared" si="639"/>
        <v>-1.3930283789037268E-2</v>
      </c>
      <c r="D1876" s="112">
        <f t="shared" si="639"/>
        <v>-1.4594371648846138E-3</v>
      </c>
      <c r="E1876" s="112">
        <f t="shared" si="639"/>
        <v>1.6935541988819525E-2</v>
      </c>
      <c r="F1876" s="112">
        <f t="shared" si="639"/>
        <v>6.7711624397095438E-3</v>
      </c>
    </row>
    <row r="1877" spans="1:6">
      <c r="A1877" s="111">
        <f t="shared" si="585"/>
        <v>45366</v>
      </c>
      <c r="B1877" s="112">
        <f t="shared" ref="B1877:F1877" si="640">IFERROR((B635/B634-1),"")</f>
        <v>-4.8160588188622344E-2</v>
      </c>
      <c r="C1877" s="112">
        <f t="shared" si="640"/>
        <v>4.7309284447072386E-3</v>
      </c>
      <c r="D1877" s="112">
        <f t="shared" si="640"/>
        <v>-1.5410033997395045E-3</v>
      </c>
      <c r="E1877" s="112">
        <f t="shared" si="640"/>
        <v>7.1473405009212509E-3</v>
      </c>
      <c r="F1877" s="112">
        <f t="shared" si="640"/>
        <v>-5.5674334493028832E-3</v>
      </c>
    </row>
    <row r="1878" spans="1:6">
      <c r="A1878" s="111">
        <f t="shared" si="585"/>
        <v>45369</v>
      </c>
      <c r="B1878" s="112">
        <f t="shared" ref="B1878:F1878" si="641">IFERROR((B636/B635-1),"")</f>
        <v>3.1425395943317502E-2</v>
      </c>
      <c r="C1878" s="112">
        <f t="shared" si="641"/>
        <v>-6.8545222680007734E-2</v>
      </c>
      <c r="D1878" s="112">
        <f t="shared" si="641"/>
        <v>8.9341119190440299E-3</v>
      </c>
      <c r="E1878" s="112">
        <f t="shared" si="641"/>
        <v>1.1660166458928867E-3</v>
      </c>
      <c r="F1878" s="112">
        <f t="shared" si="641"/>
        <v>1.4688955131714199E-3</v>
      </c>
    </row>
    <row r="1879" spans="1:6">
      <c r="A1879" s="111">
        <f t="shared" si="585"/>
        <v>45370</v>
      </c>
      <c r="B1879" s="112">
        <f t="shared" ref="B1879:F1879" si="642">IFERROR((B637/B636-1),"")</f>
        <v>-6.5461598556072476E-3</v>
      </c>
      <c r="C1879" s="112">
        <f t="shared" si="642"/>
        <v>-2.4503479810080497E-2</v>
      </c>
      <c r="D1879" s="112">
        <f t="shared" si="642"/>
        <v>-3.2510388658029798E-2</v>
      </c>
      <c r="E1879" s="112">
        <f t="shared" si="642"/>
        <v>-3.274096385542169E-2</v>
      </c>
      <c r="F1879" s="112">
        <f t="shared" si="642"/>
        <v>-1.0802196257656771E-2</v>
      </c>
    </row>
    <row r="1880" spans="1:6">
      <c r="A1880" s="111">
        <f t="shared" si="585"/>
        <v>45371</v>
      </c>
      <c r="B1880" s="112">
        <f t="shared" ref="B1880:F1880" si="643">IFERROR((B638/B637-1),"")</f>
        <v>2.7116437984697761E-4</v>
      </c>
      <c r="C1880" s="112">
        <f t="shared" si="643"/>
        <v>-5.0022042086890206E-3</v>
      </c>
      <c r="D1880" s="112">
        <f t="shared" si="643"/>
        <v>-5.1508582046976281E-3</v>
      </c>
      <c r="E1880" s="112">
        <f t="shared" si="643"/>
        <v>-2.9167834418044603E-3</v>
      </c>
      <c r="F1880" s="112">
        <f t="shared" si="643"/>
        <v>9.9232495089940365E-4</v>
      </c>
    </row>
    <row r="1881" spans="1:6">
      <c r="A1881" s="111">
        <f t="shared" si="585"/>
        <v>45372</v>
      </c>
      <c r="B1881" s="112">
        <f t="shared" ref="B1881:F1881" si="644">IFERROR((B639/B638-1),"")</f>
        <v>1.1629798308392836E-2</v>
      </c>
      <c r="C1881" s="112">
        <f t="shared" si="644"/>
        <v>3.2008680320086746E-2</v>
      </c>
      <c r="D1881" s="112">
        <f t="shared" si="644"/>
        <v>4.0797601297659636E-3</v>
      </c>
      <c r="E1881" s="112">
        <f t="shared" si="644"/>
        <v>7.9118865685323669E-4</v>
      </c>
      <c r="F1881" s="112">
        <f t="shared" si="644"/>
        <v>7.9147034447391018E-3</v>
      </c>
    </row>
    <row r="1882" spans="1:6">
      <c r="A1882" s="111">
        <f t="shared" si="585"/>
        <v>45373</v>
      </c>
      <c r="B1882" s="112">
        <f t="shared" ref="B1882:F1882" si="645">IFERROR((B640/B639-1),"")</f>
        <v>6.9405364847121565E-3</v>
      </c>
      <c r="C1882" s="112">
        <f t="shared" si="645"/>
        <v>-2.9202260481009268E-2</v>
      </c>
      <c r="D1882" s="112">
        <f t="shared" si="645"/>
        <v>1.223850396527526E-2</v>
      </c>
      <c r="E1882" s="112">
        <f t="shared" si="645"/>
        <v>1.2128903405662861E-2</v>
      </c>
      <c r="F1882" s="112">
        <f t="shared" si="645"/>
        <v>3.8524528721899376E-3</v>
      </c>
    </row>
    <row r="1883" spans="1:6">
      <c r="A1883" s="111">
        <f t="shared" si="585"/>
        <v>45377</v>
      </c>
      <c r="B1883" s="112">
        <f t="shared" ref="B1883:F1883" si="646">IFERROR((B641/B640-1),"")</f>
        <v>-7.9039812646369834E-3</v>
      </c>
      <c r="C1883" s="112">
        <f t="shared" si="646"/>
        <v>1.2996155304056956E-3</v>
      </c>
      <c r="D1883" s="112">
        <f t="shared" si="646"/>
        <v>-1.1018506577250564E-2</v>
      </c>
      <c r="E1883" s="112">
        <f t="shared" si="646"/>
        <v>1.9825282631037888E-2</v>
      </c>
      <c r="F1883" s="112">
        <f t="shared" si="646"/>
        <v>-4.1657709844207247E-3</v>
      </c>
    </row>
    <row r="1884" spans="1:6">
      <c r="A1884" s="111">
        <f t="shared" si="585"/>
        <v>45378</v>
      </c>
      <c r="B1884" s="112">
        <f t="shared" ref="B1884:F1884" si="647">IFERROR((B642/B641-1),"")</f>
        <v>9.2277153357118724E-3</v>
      </c>
      <c r="C1884" s="112">
        <f t="shared" si="647"/>
        <v>3.5152236223012778E-4</v>
      </c>
      <c r="D1884" s="112">
        <f t="shared" si="647"/>
        <v>-1.4792537714858667E-2</v>
      </c>
      <c r="E1884" s="112">
        <f t="shared" si="647"/>
        <v>-8.3141017242943649E-3</v>
      </c>
      <c r="F1884" s="112">
        <f t="shared" si="647"/>
        <v>5.4056633355601402E-3</v>
      </c>
    </row>
    <row r="1885" spans="1:6">
      <c r="A1885" s="111">
        <f t="shared" si="585"/>
        <v>45379</v>
      </c>
      <c r="B1885" s="112">
        <f t="shared" ref="B1885:F1885" si="648">IFERROR((B643/B642-1),"")</f>
        <v>2.1369906706004249E-2</v>
      </c>
      <c r="C1885" s="112">
        <f t="shared" si="648"/>
        <v>-8.4335721043383716E-3</v>
      </c>
      <c r="D1885" s="112">
        <f t="shared" si="648"/>
        <v>1.8828278817359045E-2</v>
      </c>
      <c r="E1885" s="112">
        <f t="shared" si="648"/>
        <v>-1.819031746676969E-3</v>
      </c>
      <c r="F1885" s="112">
        <f t="shared" si="648"/>
        <v>9.1870012407537782E-3</v>
      </c>
    </row>
    <row r="1886" spans="1:6">
      <c r="A1886" s="111">
        <f t="shared" si="585"/>
        <v>45383</v>
      </c>
      <c r="B1886" s="112">
        <f t="shared" ref="B1886:F1886" si="649">IFERROR((B644/B643-1),"")</f>
        <v>-2.8105238504175789E-3</v>
      </c>
      <c r="C1886" s="112">
        <f t="shared" si="649"/>
        <v>-3.3439649610628175E-3</v>
      </c>
      <c r="D1886" s="112">
        <f t="shared" si="649"/>
        <v>1.5013235031423156E-2</v>
      </c>
      <c r="E1886" s="112">
        <f t="shared" si="649"/>
        <v>-3.2680071264953314E-3</v>
      </c>
      <c r="F1886" s="112">
        <f t="shared" si="649"/>
        <v>6.0509967796693598E-3</v>
      </c>
    </row>
    <row r="1887" spans="1:6">
      <c r="A1887" s="111">
        <f t="shared" ref="A1887:A1950" si="650">A645</f>
        <v>45384</v>
      </c>
      <c r="B1887" s="112">
        <f t="shared" ref="B1887:F1887" si="651">IFERROR((B645/B644-1),"")</f>
        <v>2.9228320154492504E-2</v>
      </c>
      <c r="C1887" s="112">
        <f t="shared" si="651"/>
        <v>1.3165452539637634E-2</v>
      </c>
      <c r="D1887" s="112">
        <f t="shared" si="651"/>
        <v>-2.047885318422149E-3</v>
      </c>
      <c r="E1887" s="112">
        <f t="shared" si="651"/>
        <v>9.7033829057036058E-4</v>
      </c>
      <c r="F1887" s="112">
        <f t="shared" si="651"/>
        <v>-3.8732080847658779E-4</v>
      </c>
    </row>
    <row r="1888" spans="1:6">
      <c r="A1888" s="111">
        <f t="shared" si="650"/>
        <v>45385</v>
      </c>
      <c r="B1888" s="112">
        <f t="shared" ref="B1888:F1888" si="652">IFERROR((B646/B645-1),"")</f>
        <v>8.798397525292101E-3</v>
      </c>
      <c r="C1888" s="112">
        <f t="shared" si="652"/>
        <v>1.9140607424071865E-2</v>
      </c>
      <c r="D1888" s="112">
        <f t="shared" si="652"/>
        <v>-1.8140135149217196E-2</v>
      </c>
      <c r="E1888" s="112">
        <f t="shared" si="652"/>
        <v>-1.3336870784395605E-2</v>
      </c>
      <c r="F1888" s="112">
        <f t="shared" si="652"/>
        <v>-8.306128720498851E-4</v>
      </c>
    </row>
    <row r="1889" spans="1:6">
      <c r="A1889" s="111">
        <f t="shared" si="650"/>
        <v>45386</v>
      </c>
      <c r="B1889" s="112">
        <f t="shared" ref="B1889:F1889" si="653">IFERROR((B647/B646-1),"")</f>
        <v>6.7360378022420786E-3</v>
      </c>
      <c r="C1889" s="112">
        <f t="shared" si="653"/>
        <v>2.7699290078762484E-2</v>
      </c>
      <c r="D1889" s="112">
        <f t="shared" si="653"/>
        <v>2.9553915485598381E-3</v>
      </c>
      <c r="E1889" s="112">
        <f t="shared" si="653"/>
        <v>-4.3436892400612326E-3</v>
      </c>
      <c r="F1889" s="112">
        <f t="shared" si="653"/>
        <v>3.5659125504521327E-3</v>
      </c>
    </row>
    <row r="1890" spans="1:6">
      <c r="A1890" s="111">
        <f t="shared" si="650"/>
        <v>45387</v>
      </c>
      <c r="B1890" s="112">
        <f t="shared" ref="B1890:F1890" si="654">IFERROR((B648/B647-1),"")</f>
        <v>5.2928546462276405E-3</v>
      </c>
      <c r="C1890" s="112">
        <f t="shared" si="654"/>
        <v>-6.2806622618977181E-3</v>
      </c>
      <c r="D1890" s="112">
        <f t="shared" si="654"/>
        <v>5.9910459910459402E-3</v>
      </c>
      <c r="E1890" s="112">
        <f t="shared" si="654"/>
        <v>-1.1425959780619888E-4</v>
      </c>
      <c r="F1890" s="112">
        <f t="shared" si="654"/>
        <v>-4.2194748752555356E-5</v>
      </c>
    </row>
    <row r="1891" spans="1:6">
      <c r="A1891" s="111">
        <f t="shared" si="650"/>
        <v>45390</v>
      </c>
      <c r="B1891" s="112">
        <f t="shared" ref="B1891:F1891" si="655">IFERROR((B649/B648-1),"")</f>
        <v>3.2185963343764001E-2</v>
      </c>
      <c r="C1891" s="112">
        <f t="shared" si="655"/>
        <v>-1.7413408497466532E-2</v>
      </c>
      <c r="D1891" s="112">
        <f t="shared" si="655"/>
        <v>-7.6869548330704696E-4</v>
      </c>
      <c r="E1891" s="112">
        <f t="shared" si="655"/>
        <v>2.8568163638440502E-3</v>
      </c>
      <c r="F1891" s="112">
        <f t="shared" si="655"/>
        <v>6.7780951154186031E-3</v>
      </c>
    </row>
    <row r="1892" spans="1:6">
      <c r="A1892" s="111">
        <f t="shared" si="650"/>
        <v>45391</v>
      </c>
      <c r="B1892" s="112">
        <f t="shared" ref="B1892:F1892" si="656">IFERROR((B650/B649-1),"")</f>
        <v>6.1594725951590323E-3</v>
      </c>
      <c r="C1892" s="112">
        <f t="shared" si="656"/>
        <v>5.1828517123648776E-3</v>
      </c>
      <c r="D1892" s="112">
        <f t="shared" si="656"/>
        <v>-1.0770015628670526E-3</v>
      </c>
      <c r="E1892" s="112">
        <f t="shared" si="656"/>
        <v>-6.6503687743433293E-3</v>
      </c>
      <c r="F1892" s="112">
        <f t="shared" si="656"/>
        <v>-1.0389873953843276E-3</v>
      </c>
    </row>
    <row r="1893" spans="1:6">
      <c r="A1893" s="111">
        <f t="shared" si="650"/>
        <v>45392</v>
      </c>
      <c r="B1893" s="112">
        <f t="shared" ref="B1893:F1893" si="657">IFERROR((B651/B650-1),"")</f>
        <v>-7.030465349849524E-3</v>
      </c>
      <c r="C1893" s="112">
        <f t="shared" si="657"/>
        <v>-1.6107429551880381E-3</v>
      </c>
      <c r="D1893" s="112">
        <f t="shared" si="657"/>
        <v>-1.621297362149221E-3</v>
      </c>
      <c r="E1893" s="112">
        <f t="shared" si="657"/>
        <v>2.9198907126619655E-3</v>
      </c>
      <c r="F1893" s="112">
        <f t="shared" si="657"/>
        <v>4.904439610913025E-3</v>
      </c>
    </row>
    <row r="1894" spans="1:6">
      <c r="A1894" s="111">
        <f t="shared" si="650"/>
        <v>45394</v>
      </c>
      <c r="B1894" s="112">
        <f t="shared" ref="B1894:F1894" si="658">IFERROR((B652/B651-1),"")</f>
        <v>-2.528658125421468E-3</v>
      </c>
      <c r="C1894" s="112">
        <f t="shared" si="658"/>
        <v>-1.5116309656375782E-2</v>
      </c>
      <c r="D1894" s="112">
        <f t="shared" si="658"/>
        <v>-1.2025203397261985E-2</v>
      </c>
      <c r="E1894" s="112">
        <f t="shared" si="658"/>
        <v>-1.1843117682533655E-2</v>
      </c>
      <c r="F1894" s="112">
        <f t="shared" si="658"/>
        <v>-1.0301576000492085E-2</v>
      </c>
    </row>
    <row r="1895" spans="1:6">
      <c r="A1895" s="111">
        <f t="shared" si="650"/>
        <v>45397</v>
      </c>
      <c r="B1895" s="112">
        <f t="shared" ref="B1895:F1895" si="659">IFERROR((B653/B652-1),"")</f>
        <v>-8.4502281561602555E-3</v>
      </c>
      <c r="C1895" s="112">
        <f t="shared" si="659"/>
        <v>-3.9180948141553484E-2</v>
      </c>
      <c r="D1895" s="112">
        <f t="shared" si="659"/>
        <v>-1.1998980908470736E-2</v>
      </c>
      <c r="E1895" s="112">
        <f t="shared" si="659"/>
        <v>2.1360551375808612E-3</v>
      </c>
      <c r="F1895" s="112">
        <f t="shared" si="659"/>
        <v>-1.0963880032327733E-2</v>
      </c>
    </row>
    <row r="1896" spans="1:6">
      <c r="A1896" s="111">
        <f t="shared" si="650"/>
        <v>45398</v>
      </c>
      <c r="B1896" s="112">
        <f t="shared" ref="B1896:F1896" si="660">IFERROR((B654/B653-1),"")</f>
        <v>-1.0786724780247781E-2</v>
      </c>
      <c r="C1896" s="112">
        <f t="shared" si="660"/>
        <v>-3.4524294874170747E-2</v>
      </c>
      <c r="D1896" s="112">
        <f t="shared" si="660"/>
        <v>6.571449961319864E-3</v>
      </c>
      <c r="E1896" s="112">
        <f t="shared" si="660"/>
        <v>-4.4520044520044433E-3</v>
      </c>
      <c r="F1896" s="112">
        <f t="shared" si="660"/>
        <v>-5.5943427994162853E-3</v>
      </c>
    </row>
    <row r="1897" spans="1:6">
      <c r="A1897" s="111">
        <f t="shared" si="650"/>
        <v>45400</v>
      </c>
      <c r="B1897" s="112">
        <f t="shared" ref="B1897:F1897" si="661">IFERROR((B655/B654-1),"")</f>
        <v>-3.1260768965686303E-3</v>
      </c>
      <c r="C1897" s="112">
        <f t="shared" si="661"/>
        <v>-5.7582679130108172E-4</v>
      </c>
      <c r="D1897" s="112">
        <f t="shared" si="661"/>
        <v>-1.540406753328305E-2</v>
      </c>
      <c r="E1897" s="112">
        <f t="shared" si="661"/>
        <v>-9.6399265931190747E-3</v>
      </c>
      <c r="F1897" s="112">
        <f t="shared" si="661"/>
        <v>-6.8652106971768267E-3</v>
      </c>
    </row>
    <row r="1898" spans="1:6">
      <c r="A1898" s="111">
        <f t="shared" si="650"/>
        <v>45401</v>
      </c>
      <c r="B1898" s="112">
        <f t="shared" ref="B1898:F1898" si="662">IFERROR((B656/B655-1),"")</f>
        <v>2.861799056766845E-2</v>
      </c>
      <c r="C1898" s="112">
        <f t="shared" si="662"/>
        <v>-1.7044690698880482E-2</v>
      </c>
      <c r="D1898" s="112">
        <f t="shared" si="662"/>
        <v>-2.4004767380375602E-3</v>
      </c>
      <c r="E1898" s="112">
        <f t="shared" si="662"/>
        <v>-5.6869009584664676E-3</v>
      </c>
      <c r="F1898" s="112">
        <f t="shared" si="662"/>
        <v>6.8717508075386569E-3</v>
      </c>
    </row>
    <row r="1899" spans="1:6">
      <c r="A1899" s="111">
        <f t="shared" si="650"/>
        <v>45404</v>
      </c>
      <c r="B1899" s="112">
        <f t="shared" ref="B1899:F1899" si="663">IFERROR((B657/B656-1),"")</f>
        <v>3.7207739209754731E-3</v>
      </c>
      <c r="C1899" s="112">
        <f t="shared" si="663"/>
        <v>-3.5364340630892332E-3</v>
      </c>
      <c r="D1899" s="112">
        <f t="shared" si="663"/>
        <v>1.2325735968432783E-2</v>
      </c>
      <c r="E1899" s="112">
        <f t="shared" si="663"/>
        <v>1.8207912944754989E-2</v>
      </c>
      <c r="F1899" s="112">
        <f t="shared" si="663"/>
        <v>8.5519483451483858E-3</v>
      </c>
    </row>
    <row r="1900" spans="1:6">
      <c r="A1900" s="111">
        <f t="shared" si="650"/>
        <v>45405</v>
      </c>
      <c r="B1900" s="112">
        <f t="shared" ref="B1900:F1900" si="664">IFERROR((B658/B657-1),"")</f>
        <v>-1.3416879917728997E-2</v>
      </c>
      <c r="C1900" s="112">
        <f t="shared" si="664"/>
        <v>2.296055921020379E-2</v>
      </c>
      <c r="D1900" s="112">
        <f t="shared" si="664"/>
        <v>-1.0638121041870896E-2</v>
      </c>
      <c r="E1900" s="112">
        <f t="shared" si="664"/>
        <v>9.3619169839900263E-3</v>
      </c>
      <c r="F1900" s="112">
        <f t="shared" si="664"/>
        <v>1.4147311115488836E-3</v>
      </c>
    </row>
    <row r="1901" spans="1:6">
      <c r="A1901" s="111">
        <f t="shared" si="650"/>
        <v>45406</v>
      </c>
      <c r="B1901" s="112">
        <f t="shared" ref="B1901:F1901" si="665">IFERROR((B659/B658-1),"")</f>
        <v>-2.0120236594589613E-3</v>
      </c>
      <c r="C1901" s="112">
        <f t="shared" si="665"/>
        <v>-4.6960505256702367E-3</v>
      </c>
      <c r="D1901" s="112">
        <f t="shared" si="665"/>
        <v>-2.1841030896652125E-4</v>
      </c>
      <c r="E1901" s="112">
        <f t="shared" si="665"/>
        <v>6.4925590895825724E-3</v>
      </c>
      <c r="F1901" s="112">
        <f t="shared" si="665"/>
        <v>1.5379113018598733E-3</v>
      </c>
    </row>
    <row r="1902" spans="1:6">
      <c r="A1902" s="111">
        <f t="shared" si="650"/>
        <v>45407</v>
      </c>
      <c r="B1902" s="112">
        <f t="shared" ref="B1902:F1902" si="666">IFERROR((B660/B659-1),"")</f>
        <v>1.8654813087517264E-2</v>
      </c>
      <c r="C1902" s="112">
        <f t="shared" si="666"/>
        <v>3.4375511540349901E-3</v>
      </c>
      <c r="D1902" s="112">
        <f t="shared" si="666"/>
        <v>4.5027559319755328E-2</v>
      </c>
      <c r="E1902" s="112">
        <f t="shared" si="666"/>
        <v>3.1476822083476019E-3</v>
      </c>
      <c r="F1902" s="112">
        <f t="shared" si="666"/>
        <v>7.496964610934409E-3</v>
      </c>
    </row>
    <row r="1903" spans="1:6">
      <c r="A1903" s="111">
        <f t="shared" si="650"/>
        <v>45408</v>
      </c>
      <c r="B1903" s="112">
        <f t="shared" ref="B1903:F1903" si="667">IFERROR((B661/B660-1),"")</f>
        <v>-2.4775258125283028E-2</v>
      </c>
      <c r="C1903" s="112">
        <f t="shared" si="667"/>
        <v>7.7727665291240644E-3</v>
      </c>
      <c r="D1903" s="112">
        <f t="shared" si="667"/>
        <v>5.3628140703518845E-3</v>
      </c>
      <c r="E1903" s="112">
        <f t="shared" si="667"/>
        <v>-9.0211905081386545E-3</v>
      </c>
      <c r="F1903" s="112">
        <f t="shared" si="667"/>
        <v>-6.6636095585579369E-3</v>
      </c>
    </row>
    <row r="1904" spans="1:6">
      <c r="A1904" s="111">
        <f t="shared" si="650"/>
        <v>45411</v>
      </c>
      <c r="B1904" s="112">
        <f t="shared" ref="B1904:F1904" si="668">IFERROR((B662/B661-1),"")</f>
        <v>8.386718176927932E-3</v>
      </c>
      <c r="C1904" s="112">
        <f t="shared" si="668"/>
        <v>-1.2721386402590129E-2</v>
      </c>
      <c r="D1904" s="112">
        <f t="shared" si="668"/>
        <v>7.1975816125782188E-3</v>
      </c>
      <c r="E1904" s="112">
        <f t="shared" si="668"/>
        <v>-1.2498828234841497E-4</v>
      </c>
      <c r="F1904" s="112">
        <f t="shared" si="668"/>
        <v>9.9665699522077933E-3</v>
      </c>
    </row>
    <row r="1905" spans="1:6">
      <c r="A1905" s="111">
        <f t="shared" si="650"/>
        <v>45412</v>
      </c>
      <c r="B1905" s="112">
        <f t="shared" ref="B1905:F1905" si="669">IFERROR((B663/B662-1),"")</f>
        <v>4.5731189835357844E-2</v>
      </c>
      <c r="C1905" s="112">
        <f t="shared" si="669"/>
        <v>-1.5614752517263963E-2</v>
      </c>
      <c r="D1905" s="112">
        <f t="shared" si="669"/>
        <v>-1.4736942402058251E-2</v>
      </c>
      <c r="E1905" s="112">
        <f t="shared" si="669"/>
        <v>-4.979322270487696E-3</v>
      </c>
      <c r="F1905" s="112">
        <f t="shared" si="669"/>
        <v>-1.7024828426828176E-3</v>
      </c>
    </row>
    <row r="1906" spans="1:6">
      <c r="A1906" s="111">
        <f t="shared" si="650"/>
        <v>45414</v>
      </c>
      <c r="B1906" s="112">
        <f t="shared" ref="B1906:F1906" si="670">IFERROR((B664/B663-1),"")</f>
        <v>1.3355902334964309E-2</v>
      </c>
      <c r="C1906" s="112">
        <f t="shared" si="670"/>
        <v>-2.3034340861215918E-2</v>
      </c>
      <c r="D1906" s="112">
        <f t="shared" si="670"/>
        <v>1.341005431716713E-2</v>
      </c>
      <c r="E1906" s="112">
        <f t="shared" si="670"/>
        <v>-3.412933552486952E-3</v>
      </c>
      <c r="F1906" s="112">
        <f t="shared" si="670"/>
        <v>1.917730044658672E-3</v>
      </c>
    </row>
    <row r="1907" spans="1:6">
      <c r="A1907" s="111">
        <f t="shared" si="650"/>
        <v>45415</v>
      </c>
      <c r="B1907" s="112">
        <f t="shared" ref="B1907:F1907" si="671">IFERROR((B665/B664-1),"")</f>
        <v>3.5924307255794652E-3</v>
      </c>
      <c r="C1907" s="112">
        <f t="shared" si="671"/>
        <v>-0.10091862727400369</v>
      </c>
      <c r="D1907" s="112">
        <f t="shared" si="671"/>
        <v>9.8687872763421058E-3</v>
      </c>
      <c r="E1907" s="112">
        <f t="shared" si="671"/>
        <v>-3.1619972056767809E-3</v>
      </c>
      <c r="F1907" s="112">
        <f t="shared" si="671"/>
        <v>-7.6098762815588472E-3</v>
      </c>
    </row>
    <row r="1908" spans="1:6">
      <c r="A1908" s="111">
        <f t="shared" si="650"/>
        <v>45418</v>
      </c>
      <c r="B1908" s="112">
        <f t="shared" ref="B1908:F1908" si="672">IFERROR((B666/B665-1),"")</f>
        <v>1.4569083447332432E-2</v>
      </c>
      <c r="C1908" s="112">
        <f t="shared" si="672"/>
        <v>-1.5504567712574246E-2</v>
      </c>
      <c r="D1908" s="112">
        <f t="shared" si="672"/>
        <v>-8.8352717909143674E-3</v>
      </c>
      <c r="E1908" s="112">
        <f t="shared" si="672"/>
        <v>6.6812797706866656E-2</v>
      </c>
      <c r="F1908" s="112">
        <f t="shared" si="672"/>
        <v>-1.4749164102803025E-3</v>
      </c>
    </row>
    <row r="1909" spans="1:6">
      <c r="A1909" s="111">
        <f t="shared" si="650"/>
        <v>45419</v>
      </c>
      <c r="B1909" s="112">
        <f t="shared" ref="B1909:F1909" si="673">IFERROR((B667/B666-1),"")</f>
        <v>-1.5034045708892219E-2</v>
      </c>
      <c r="C1909" s="112">
        <f t="shared" si="673"/>
        <v>1.3822639670975079E-3</v>
      </c>
      <c r="D1909" s="112">
        <f t="shared" si="673"/>
        <v>-5.696398636677924E-3</v>
      </c>
      <c r="E1909" s="112">
        <f t="shared" si="673"/>
        <v>2.2176782045203014E-2</v>
      </c>
      <c r="F1909" s="112">
        <f t="shared" si="673"/>
        <v>-6.2470201891929866E-3</v>
      </c>
    </row>
    <row r="1910" spans="1:6">
      <c r="A1910" s="111">
        <f t="shared" si="650"/>
        <v>45420</v>
      </c>
      <c r="B1910" s="112">
        <f t="shared" ref="B1910:F1910" si="674">IFERROR((B668/B667-1),"")</f>
        <v>-4.1524070271503621E-3</v>
      </c>
      <c r="C1910" s="112">
        <f t="shared" si="674"/>
        <v>-2.1723634635620881E-3</v>
      </c>
      <c r="D1910" s="112">
        <f t="shared" si="674"/>
        <v>-3.2160892354896498E-2</v>
      </c>
      <c r="E1910" s="112">
        <f t="shared" si="674"/>
        <v>1.0543405780994775E-2</v>
      </c>
      <c r="F1910" s="112">
        <f t="shared" si="674"/>
        <v>0</v>
      </c>
    </row>
    <row r="1911" spans="1:6">
      <c r="A1911" s="111">
        <f t="shared" si="650"/>
        <v>45421</v>
      </c>
      <c r="B1911" s="112">
        <f t="shared" ref="B1911:F1911" si="675">IFERROR((B669/B668-1),"")</f>
        <v>1.3815065982404784E-2</v>
      </c>
      <c r="C1911" s="112">
        <f t="shared" si="675"/>
        <v>-2.4435600004535596E-2</v>
      </c>
      <c r="D1911" s="112">
        <f t="shared" si="675"/>
        <v>-2.9555755529320438E-2</v>
      </c>
      <c r="E1911" s="112">
        <f t="shared" si="675"/>
        <v>-3.0276948971004414E-2</v>
      </c>
      <c r="F1911" s="112">
        <f t="shared" si="675"/>
        <v>-1.546911781190452E-2</v>
      </c>
    </row>
    <row r="1912" spans="1:6">
      <c r="A1912" s="111">
        <f t="shared" si="650"/>
        <v>45422</v>
      </c>
      <c r="B1912" s="112">
        <f t="shared" ref="B1912:F1912" si="676">IFERROR((B670/B669-1),"")</f>
        <v>-8.8133601500530734E-3</v>
      </c>
      <c r="C1912" s="112">
        <f t="shared" si="676"/>
        <v>3.8007345762238964E-2</v>
      </c>
      <c r="D1912" s="112">
        <f t="shared" si="676"/>
        <v>7.4268165074395931E-3</v>
      </c>
      <c r="E1912" s="112">
        <f t="shared" si="676"/>
        <v>-6.5087473619851455E-4</v>
      </c>
      <c r="F1912" s="112">
        <f t="shared" si="676"/>
        <v>4.4495047250370234E-3</v>
      </c>
    </row>
    <row r="1913" spans="1:6">
      <c r="A1913" s="111">
        <f t="shared" si="650"/>
        <v>45425</v>
      </c>
      <c r="B1913" s="112">
        <f t="shared" ref="B1913:F1913" si="677">IFERROR((B671/B670-1),"")</f>
        <v>-4.0126764095667067E-3</v>
      </c>
      <c r="C1913" s="112">
        <f t="shared" si="677"/>
        <v>1.5575661209773273E-2</v>
      </c>
      <c r="D1913" s="112">
        <f t="shared" si="677"/>
        <v>-2.102685357203149E-3</v>
      </c>
      <c r="E1913" s="112">
        <f t="shared" si="677"/>
        <v>1.2581905739322607E-2</v>
      </c>
      <c r="F1913" s="112">
        <f t="shared" si="677"/>
        <v>2.2148971671078765E-3</v>
      </c>
    </row>
    <row r="1914" spans="1:6">
      <c r="A1914" s="111">
        <f t="shared" si="650"/>
        <v>45426</v>
      </c>
      <c r="B1914" s="112">
        <f t="shared" ref="B1914:F1914" si="678">IFERROR((B672/B671-1),"")</f>
        <v>3.9212544351608036E-2</v>
      </c>
      <c r="C1914" s="112">
        <f t="shared" si="678"/>
        <v>5.4026042757753245E-3</v>
      </c>
      <c r="D1914" s="112">
        <f t="shared" si="678"/>
        <v>-6.7275389054844981E-3</v>
      </c>
      <c r="E1914" s="112">
        <f t="shared" si="678"/>
        <v>1.9978364892652145E-3</v>
      </c>
      <c r="F1914" s="112">
        <f t="shared" si="678"/>
        <v>5.1483777859713253E-3</v>
      </c>
    </row>
    <row r="1915" spans="1:6">
      <c r="A1915" s="111">
        <f t="shared" si="650"/>
        <v>45427</v>
      </c>
      <c r="B1915" s="112">
        <f t="shared" ref="B1915:F1915" si="679">IFERROR((B673/B672-1),"")</f>
        <v>1.4273756553152106E-2</v>
      </c>
      <c r="C1915" s="112">
        <f t="shared" si="679"/>
        <v>1.219472073870187E-2</v>
      </c>
      <c r="D1915" s="112">
        <f t="shared" si="679"/>
        <v>1.0564340239913594E-3</v>
      </c>
      <c r="E1915" s="112">
        <f t="shared" si="679"/>
        <v>-1.4939309056956174E-2</v>
      </c>
      <c r="F1915" s="112">
        <f t="shared" si="679"/>
        <v>-7.7865320001702099E-4</v>
      </c>
    </row>
    <row r="1916" spans="1:6">
      <c r="A1916" s="111">
        <f t="shared" si="650"/>
        <v>45428</v>
      </c>
      <c r="B1916" s="112">
        <f t="shared" ref="B1916:F1916" si="680">IFERROR((B674/B673-1),"")</f>
        <v>3.0165486687225629E-2</v>
      </c>
      <c r="C1916" s="112">
        <f t="shared" si="680"/>
        <v>1.4301346710148488E-2</v>
      </c>
      <c r="D1916" s="112">
        <f t="shared" si="680"/>
        <v>-4.1872340425532784E-3</v>
      </c>
      <c r="E1916" s="112">
        <f t="shared" si="680"/>
        <v>1.4563586097946279E-2</v>
      </c>
      <c r="F1916" s="112">
        <f t="shared" si="680"/>
        <v>9.1574307843724778E-3</v>
      </c>
    </row>
    <row r="1917" spans="1:6">
      <c r="A1917" s="111">
        <f t="shared" si="650"/>
        <v>45429</v>
      </c>
      <c r="B1917" s="112">
        <f t="shared" ref="B1917:F1917" si="681">IFERROR((B675/B674-1),"")</f>
        <v>6.0229788131126671E-2</v>
      </c>
      <c r="C1917" s="112">
        <f t="shared" si="681"/>
        <v>6.7614479966673358E-3</v>
      </c>
      <c r="D1917" s="112">
        <f t="shared" si="681"/>
        <v>-8.6917133871187158E-3</v>
      </c>
      <c r="E1917" s="112">
        <f t="shared" si="681"/>
        <v>-9.9167923702009331E-3</v>
      </c>
      <c r="F1917" s="112">
        <f t="shared" si="681"/>
        <v>2.7785402955295968E-3</v>
      </c>
    </row>
    <row r="1918" spans="1:6">
      <c r="A1918" s="111">
        <f t="shared" si="650"/>
        <v>45430</v>
      </c>
      <c r="B1918" s="112">
        <f t="shared" ref="B1918:F1918" si="682">IFERROR((B676/B675-1),"")</f>
        <v>-4.3346854370476251E-3</v>
      </c>
      <c r="C1918" s="112">
        <f t="shared" si="682"/>
        <v>3.607350507150997E-3</v>
      </c>
      <c r="D1918" s="112">
        <f t="shared" si="682"/>
        <v>2.0777474114370698E-3</v>
      </c>
      <c r="E1918" s="112">
        <f t="shared" si="682"/>
        <v>1.8184320201304338E-3</v>
      </c>
      <c r="F1918" s="112">
        <f t="shared" si="682"/>
        <v>1.5979631533733496E-3</v>
      </c>
    </row>
    <row r="1919" spans="1:6">
      <c r="A1919" s="111">
        <f t="shared" si="650"/>
        <v>45433</v>
      </c>
      <c r="B1919" s="112">
        <f t="shared" ref="B1919:F1919" si="683">IFERROR((B677/B676-1),"")</f>
        <v>7.5687981786956016E-3</v>
      </c>
      <c r="C1919" s="112">
        <f t="shared" si="683"/>
        <v>1.2802351150202895E-2</v>
      </c>
      <c r="D1919" s="112">
        <f t="shared" si="683"/>
        <v>-5.4718149907081459E-3</v>
      </c>
      <c r="E1919" s="112">
        <f t="shared" si="683"/>
        <v>1.6100705448337527E-2</v>
      </c>
      <c r="F1919" s="112">
        <f t="shared" si="683"/>
        <v>1.2021153675227936E-3</v>
      </c>
    </row>
    <row r="1920" spans="1:6">
      <c r="A1920" s="111">
        <f t="shared" si="650"/>
        <v>45434</v>
      </c>
      <c r="B1920" s="112">
        <f t="shared" ref="B1920:F1920" si="684">IFERROR((B678/B677-1),"")</f>
        <v>-6.342536618237915E-4</v>
      </c>
      <c r="C1920" s="112">
        <f t="shared" si="684"/>
        <v>2.5093159921923291E-2</v>
      </c>
      <c r="D1920" s="112">
        <f t="shared" si="684"/>
        <v>1.6081871345029253E-2</v>
      </c>
      <c r="E1920" s="112">
        <f t="shared" si="684"/>
        <v>1.7245707885131578E-2</v>
      </c>
      <c r="F1920" s="112">
        <f t="shared" si="684"/>
        <v>3.0516155807722711E-3</v>
      </c>
    </row>
    <row r="1921" spans="1:6">
      <c r="A1921" s="111">
        <f t="shared" si="650"/>
        <v>45435</v>
      </c>
      <c r="B1921" s="112">
        <f t="shared" ref="B1921:F1921" si="685">IFERROR((B679/B678-1),"")</f>
        <v>3.4965589734435865E-2</v>
      </c>
      <c r="C1921" s="112">
        <f t="shared" si="685"/>
        <v>3.1912185485759581E-2</v>
      </c>
      <c r="D1921" s="112">
        <f t="shared" si="685"/>
        <v>4.2484355710696864E-3</v>
      </c>
      <c r="E1921" s="112">
        <f t="shared" si="685"/>
        <v>2.6103960208072596E-3</v>
      </c>
      <c r="F1921" s="112">
        <f t="shared" si="685"/>
        <v>1.6366637460283773E-2</v>
      </c>
    </row>
    <row r="1922" spans="1:6">
      <c r="A1922" s="111">
        <f t="shared" si="650"/>
        <v>45436</v>
      </c>
      <c r="B1922" s="112">
        <f t="shared" ref="B1922:F1922" si="686">IFERROR((B680/B679-1),"")</f>
        <v>-1.1286984516326815E-2</v>
      </c>
      <c r="C1922" s="112">
        <f t="shared" si="686"/>
        <v>7.5783740045984871E-3</v>
      </c>
      <c r="D1922" s="112">
        <f t="shared" si="686"/>
        <v>-5.4173660918661604E-3</v>
      </c>
      <c r="E1922" s="112">
        <f t="shared" si="686"/>
        <v>-7.6593166261136325E-3</v>
      </c>
      <c r="F1922" s="112">
        <f t="shared" si="686"/>
        <v>-4.5934172629780168E-4</v>
      </c>
    </row>
    <row r="1923" spans="1:6">
      <c r="A1923" s="111">
        <f t="shared" si="650"/>
        <v>45439</v>
      </c>
      <c r="B1923" s="112">
        <f t="shared" ref="B1923:F1923" si="687">IFERROR((B681/B680-1),"")</f>
        <v>-1.1880996220564044E-2</v>
      </c>
      <c r="C1923" s="112">
        <f t="shared" si="687"/>
        <v>3.0976701368145898E-2</v>
      </c>
      <c r="D1923" s="112">
        <f t="shared" si="687"/>
        <v>1.1848442228188372E-3</v>
      </c>
      <c r="E1923" s="112">
        <f t="shared" si="687"/>
        <v>-5.4286641097562871E-3</v>
      </c>
      <c r="F1923" s="112">
        <f t="shared" si="687"/>
        <v>-1.073741892486324E-3</v>
      </c>
    </row>
    <row r="1924" spans="1:6">
      <c r="A1924" s="111">
        <f t="shared" si="650"/>
        <v>45440</v>
      </c>
      <c r="B1924" s="112">
        <f t="shared" ref="B1924:F1924" si="688">IFERROR((B682/B681-1),"")</f>
        <v>1.4514926836923792E-3</v>
      </c>
      <c r="C1924" s="112">
        <f t="shared" si="688"/>
        <v>-2.2294627251310928E-2</v>
      </c>
      <c r="D1924" s="112">
        <f t="shared" si="688"/>
        <v>1.5767875083011251E-2</v>
      </c>
      <c r="E1924" s="112">
        <f t="shared" si="688"/>
        <v>7.3480742481653039E-3</v>
      </c>
      <c r="F1924" s="112">
        <f t="shared" si="688"/>
        <v>-1.9317604529824894E-3</v>
      </c>
    </row>
    <row r="1925" spans="1:6">
      <c r="A1925" s="111">
        <f t="shared" si="650"/>
        <v>45441</v>
      </c>
      <c r="B1925" s="112">
        <f t="shared" ref="B1925:F1925" si="689">IFERROR((B683/B682-1),"")</f>
        <v>-7.5015669069257163E-3</v>
      </c>
      <c r="C1925" s="112">
        <f t="shared" si="689"/>
        <v>-9.1328637357301901E-4</v>
      </c>
      <c r="D1925" s="112">
        <f t="shared" si="689"/>
        <v>5.9427019596669517E-3</v>
      </c>
      <c r="E1925" s="112">
        <f t="shared" si="689"/>
        <v>-3.9519669367971133E-3</v>
      </c>
      <c r="F1925" s="112">
        <f t="shared" si="689"/>
        <v>-8.015064563977492E-3</v>
      </c>
    </row>
    <row r="1926" spans="1:6">
      <c r="A1926" s="111">
        <f t="shared" si="650"/>
        <v>45442</v>
      </c>
      <c r="B1926" s="112">
        <f t="shared" ref="B1926:F1926" si="690">IFERROR((B684/B683-1),"")</f>
        <v>-1.5846703372604742E-2</v>
      </c>
      <c r="C1926" s="112">
        <f t="shared" si="690"/>
        <v>-2.8104365415098531E-2</v>
      </c>
      <c r="D1926" s="112">
        <f t="shared" si="690"/>
        <v>-2.1164021164021274E-2</v>
      </c>
      <c r="E1926" s="112">
        <f t="shared" si="690"/>
        <v>-5.9753719071474753E-3</v>
      </c>
      <c r="F1926" s="112">
        <f t="shared" si="690"/>
        <v>-9.515650944518117E-3</v>
      </c>
    </row>
    <row r="1927" spans="1:6">
      <c r="A1927" s="111">
        <f t="shared" si="650"/>
        <v>45443</v>
      </c>
      <c r="B1927" s="112">
        <f t="shared" ref="B1927:F1927" si="691">IFERROR((B685/B684-1),"")</f>
        <v>5.1132945658711737E-3</v>
      </c>
      <c r="C1927" s="112">
        <f t="shared" si="691"/>
        <v>-5.2130757146715556E-3</v>
      </c>
      <c r="D1927" s="112">
        <f t="shared" si="691"/>
        <v>-1.3943392211108852E-2</v>
      </c>
      <c r="E1927" s="112">
        <f t="shared" si="691"/>
        <v>-3.6067749660962933E-3</v>
      </c>
      <c r="F1927" s="112">
        <f t="shared" si="691"/>
        <v>1.8698321153114428E-3</v>
      </c>
    </row>
    <row r="1928" spans="1:6">
      <c r="A1928" s="111">
        <f t="shared" si="650"/>
        <v>45446</v>
      </c>
      <c r="B1928" s="112">
        <f t="shared" ref="B1928:F1928" si="692">IFERROR((B686/B685-1),"")</f>
        <v>5.097256857855359E-2</v>
      </c>
      <c r="C1928" s="112">
        <f t="shared" si="692"/>
        <v>9.1732045866022016E-3</v>
      </c>
      <c r="D1928" s="112">
        <f t="shared" si="692"/>
        <v>-1.476212263784249E-3</v>
      </c>
      <c r="E1928" s="112">
        <f t="shared" si="692"/>
        <v>-2.3166917641608276E-3</v>
      </c>
      <c r="F1928" s="112">
        <f t="shared" si="692"/>
        <v>3.2542264554585643E-2</v>
      </c>
    </row>
    <row r="1929" spans="1:6">
      <c r="A1929" s="111">
        <f t="shared" si="650"/>
        <v>45447</v>
      </c>
      <c r="B1929" s="112">
        <f t="shared" ref="B1929:F1929" si="693">IFERROR((B687/B686-1),"")</f>
        <v>-2.3196659073652204E-2</v>
      </c>
      <c r="C1929" s="112">
        <f t="shared" si="693"/>
        <v>-9.8971414902524479E-3</v>
      </c>
      <c r="D1929" s="112">
        <f t="shared" si="693"/>
        <v>-9.0778621202427523E-3</v>
      </c>
      <c r="E1929" s="112">
        <f t="shared" si="693"/>
        <v>3.0438484461472903E-2</v>
      </c>
      <c r="F1929" s="112">
        <f t="shared" si="693"/>
        <v>-5.9293583620975032E-2</v>
      </c>
    </row>
    <row r="1930" spans="1:6">
      <c r="A1930" s="111">
        <f t="shared" si="650"/>
        <v>45448</v>
      </c>
      <c r="B1930" s="112">
        <f t="shared" ref="B1930:F1930" si="694">IFERROR((B688/B687-1),"")</f>
        <v>6.5315402852811788E-2</v>
      </c>
      <c r="C1930" s="112">
        <f t="shared" si="694"/>
        <v>3.2645788663062891E-2</v>
      </c>
      <c r="D1930" s="112">
        <f t="shared" si="694"/>
        <v>1.6289174286312491E-2</v>
      </c>
      <c r="E1930" s="112">
        <f t="shared" si="694"/>
        <v>3.0337458451484389E-2</v>
      </c>
      <c r="F1930" s="112">
        <f t="shared" si="694"/>
        <v>3.3624254609426751E-2</v>
      </c>
    </row>
    <row r="1931" spans="1:6">
      <c r="A1931" s="111">
        <f t="shared" si="650"/>
        <v>45449</v>
      </c>
      <c r="B1931" s="112">
        <f t="shared" ref="B1931:F1931" si="695">IFERROR((B689/B688-1),"")</f>
        <v>-1.4994801072620745E-2</v>
      </c>
      <c r="C1931" s="112">
        <f t="shared" si="695"/>
        <v>1.6289407498391473E-2</v>
      </c>
      <c r="D1931" s="112">
        <f t="shared" si="695"/>
        <v>1.1469484817527187E-2</v>
      </c>
      <c r="E1931" s="112">
        <f t="shared" si="695"/>
        <v>-8.4204387012111193E-3</v>
      </c>
      <c r="F1931" s="112">
        <f t="shared" si="695"/>
        <v>8.888014553267487E-3</v>
      </c>
    </row>
    <row r="1932" spans="1:6">
      <c r="A1932" s="111">
        <f t="shared" si="650"/>
        <v>45450</v>
      </c>
      <c r="B1932" s="112">
        <f t="shared" ref="B1932:F1932" si="696">IFERROR((B690/B689-1),"")</f>
        <v>5.8373613348889686E-2</v>
      </c>
      <c r="C1932" s="112">
        <f t="shared" si="696"/>
        <v>4.1907666925652176E-2</v>
      </c>
      <c r="D1932" s="112">
        <f t="shared" si="696"/>
        <v>2.891723745745578E-2</v>
      </c>
      <c r="E1932" s="112">
        <f t="shared" si="696"/>
        <v>4.2459723000856098E-3</v>
      </c>
      <c r="F1932" s="112">
        <f t="shared" si="696"/>
        <v>2.0539931818380985E-2</v>
      </c>
    </row>
    <row r="1933" spans="1:6">
      <c r="A1933" s="111">
        <f t="shared" si="650"/>
        <v>45453</v>
      </c>
      <c r="B1933" s="112">
        <f t="shared" ref="B1933:F1933" si="697">IFERROR((B691/B690-1),"")</f>
        <v>-1.7463122714308055E-2</v>
      </c>
      <c r="C1933" s="112">
        <f t="shared" si="697"/>
        <v>-3.8841118742059644E-2</v>
      </c>
      <c r="D1933" s="112">
        <f t="shared" si="697"/>
        <v>7.3994027683830232E-3</v>
      </c>
      <c r="E1933" s="112">
        <f t="shared" si="697"/>
        <v>4.5483248071307436E-3</v>
      </c>
      <c r="F1933" s="112">
        <f t="shared" si="697"/>
        <v>-1.3288879633664985E-3</v>
      </c>
    </row>
    <row r="1934" spans="1:6">
      <c r="A1934" s="111">
        <f t="shared" si="650"/>
        <v>45454</v>
      </c>
      <c r="B1934" s="112">
        <f t="shared" ref="B1934:F1934" si="698">IFERROR((B692/B691-1),"")</f>
        <v>9.973108226033478E-3</v>
      </c>
      <c r="C1934" s="112">
        <f t="shared" si="698"/>
        <v>-8.4863461777917593E-3</v>
      </c>
      <c r="D1934" s="112">
        <f t="shared" si="698"/>
        <v>-1.0956167142962547E-2</v>
      </c>
      <c r="E1934" s="112">
        <f t="shared" si="698"/>
        <v>5.347642300123967E-3</v>
      </c>
      <c r="F1934" s="112">
        <f t="shared" si="698"/>
        <v>2.4291463162962046E-4</v>
      </c>
    </row>
    <row r="1935" spans="1:6">
      <c r="A1935" s="111">
        <f t="shared" si="650"/>
        <v>45455</v>
      </c>
      <c r="B1935" s="112">
        <f t="shared" ref="B1935:F1935" si="699">IFERROR((B693/B692-1),"")</f>
        <v>-1.6927932852533023E-2</v>
      </c>
      <c r="C1935" s="112">
        <f t="shared" si="699"/>
        <v>6.4723668576149862E-4</v>
      </c>
      <c r="D1935" s="112">
        <f t="shared" si="699"/>
        <v>3.4441362751997939E-3</v>
      </c>
      <c r="E1935" s="112">
        <f t="shared" si="699"/>
        <v>-1.4217751801005818E-2</v>
      </c>
      <c r="F1935" s="112">
        <f t="shared" si="699"/>
        <v>2.4973296625596664E-3</v>
      </c>
    </row>
    <row r="1936" spans="1:6">
      <c r="A1936" s="111">
        <f t="shared" si="650"/>
        <v>45456</v>
      </c>
      <c r="B1936" s="112">
        <f t="shared" ref="B1936:F1936" si="700">IFERROR((B694/B693-1),"")</f>
        <v>2.6600419723412871E-2</v>
      </c>
      <c r="C1936" s="112">
        <f t="shared" si="700"/>
        <v>1.8159175162187458E-2</v>
      </c>
      <c r="D1936" s="112">
        <f t="shared" si="700"/>
        <v>5.9075420169800719E-3</v>
      </c>
      <c r="E1936" s="112">
        <f t="shared" si="700"/>
        <v>-1.1003254095196091E-2</v>
      </c>
      <c r="F1936" s="112">
        <f t="shared" si="700"/>
        <v>3.2564491198583401E-3</v>
      </c>
    </row>
    <row r="1937" spans="1:6">
      <c r="A1937" s="111">
        <f t="shared" si="650"/>
        <v>45457</v>
      </c>
      <c r="B1937" s="112">
        <f t="shared" ref="B1937:F1937" si="701">IFERROR((B695/B694-1),"")</f>
        <v>2.3377712548485308E-2</v>
      </c>
      <c r="C1937" s="112">
        <f t="shared" si="701"/>
        <v>-1.3559000616318428E-2</v>
      </c>
      <c r="D1937" s="112">
        <f t="shared" si="701"/>
        <v>-1.7388879319537587E-3</v>
      </c>
      <c r="E1937" s="112">
        <f t="shared" si="701"/>
        <v>2.6396750597179608E-3</v>
      </c>
      <c r="F1937" s="112">
        <f t="shared" si="701"/>
        <v>2.8505613511744521E-3</v>
      </c>
    </row>
    <row r="1938" spans="1:6">
      <c r="A1938" s="111">
        <f t="shared" si="650"/>
        <v>45461</v>
      </c>
      <c r="B1938" s="112">
        <f t="shared" ref="B1938:F1938" si="702">IFERROR((B696/B695-1),"")</f>
        <v>1.1370620774431517E-2</v>
      </c>
      <c r="C1938" s="112">
        <f t="shared" si="702"/>
        <v>1.3716537703657439E-2</v>
      </c>
      <c r="D1938" s="112">
        <f t="shared" si="702"/>
        <v>-1.5447187872314139E-2</v>
      </c>
      <c r="E1938" s="112">
        <f t="shared" si="702"/>
        <v>4.0788705236716183E-4</v>
      </c>
      <c r="F1938" s="112">
        <f t="shared" si="702"/>
        <v>3.933417428064967E-3</v>
      </c>
    </row>
    <row r="1939" spans="1:6">
      <c r="A1939" s="111">
        <f t="shared" si="650"/>
        <v>45462</v>
      </c>
      <c r="B1939" s="112">
        <f t="shared" ref="B1939:F1939" si="703">IFERROR((B697/B696-1),"")</f>
        <v>-9.4702724602451216E-3</v>
      </c>
      <c r="C1939" s="112">
        <f t="shared" si="703"/>
        <v>2.3145777626064401E-2</v>
      </c>
      <c r="D1939" s="112">
        <f t="shared" si="703"/>
        <v>-5.8501982057166391E-3</v>
      </c>
      <c r="E1939" s="112">
        <f t="shared" si="703"/>
        <v>-6.5235319736465236E-3</v>
      </c>
      <c r="F1939" s="112">
        <f t="shared" si="703"/>
        <v>-1.7785965642099777E-3</v>
      </c>
    </row>
    <row r="1940" spans="1:6">
      <c r="A1940" s="111">
        <f t="shared" si="650"/>
        <v>45463</v>
      </c>
      <c r="B1940" s="112">
        <f t="shared" ref="B1940:F1940" si="704">IFERROR((B698/B697-1),"")</f>
        <v>-2.1354193295499146E-2</v>
      </c>
      <c r="C1940" s="112">
        <f t="shared" si="704"/>
        <v>-1.4679851347969897E-2</v>
      </c>
      <c r="D1940" s="112">
        <f t="shared" si="704"/>
        <v>2.4512272925691914E-3</v>
      </c>
      <c r="E1940" s="112">
        <f t="shared" si="704"/>
        <v>3.3204928506804787E-3</v>
      </c>
      <c r="F1940" s="112">
        <f t="shared" si="704"/>
        <v>2.1687361796223215E-3</v>
      </c>
    </row>
    <row r="1941" spans="1:6">
      <c r="A1941" s="111">
        <f t="shared" si="650"/>
        <v>45464</v>
      </c>
      <c r="B1941" s="112">
        <f t="shared" ref="B1941:F1941" si="705">IFERROR((B699/B698-1),"")</f>
        <v>-1.0883950961270594E-2</v>
      </c>
      <c r="C1941" s="112">
        <f t="shared" si="705"/>
        <v>1.2688230701944248E-2</v>
      </c>
      <c r="D1941" s="112">
        <f t="shared" si="705"/>
        <v>6.8081329135123436E-3</v>
      </c>
      <c r="E1941" s="112">
        <f t="shared" si="705"/>
        <v>-8.9523933475257333E-3</v>
      </c>
      <c r="F1941" s="112">
        <f t="shared" si="705"/>
        <v>-2.7962829380066001E-3</v>
      </c>
    </row>
    <row r="1942" spans="1:6">
      <c r="A1942" s="111">
        <f t="shared" si="650"/>
        <v>45467</v>
      </c>
      <c r="B1942" s="112">
        <f t="shared" ref="B1942:F1942" si="706">IFERROR((B700/B699-1),"")</f>
        <v>2.6708216693956066E-2</v>
      </c>
      <c r="C1942" s="112">
        <f t="shared" si="706"/>
        <v>-5.897759780064793E-3</v>
      </c>
      <c r="D1942" s="112">
        <f t="shared" si="706"/>
        <v>7.2361909356311038E-3</v>
      </c>
      <c r="E1942" s="112">
        <f t="shared" si="706"/>
        <v>-6.1065981276851033E-3</v>
      </c>
      <c r="F1942" s="112">
        <f t="shared" si="706"/>
        <v>1.5637565901169825E-3</v>
      </c>
    </row>
    <row r="1943" spans="1:6">
      <c r="A1943" s="111">
        <f t="shared" si="650"/>
        <v>45468</v>
      </c>
      <c r="B1943" s="112">
        <f t="shared" ref="B1943:F1943" si="707">IFERROR((B701/B700-1),"")</f>
        <v>-2.1949379244118328E-3</v>
      </c>
      <c r="C1943" s="112">
        <f t="shared" si="707"/>
        <v>-1.8685825866771033E-4</v>
      </c>
      <c r="D1943" s="112">
        <f t="shared" si="707"/>
        <v>3.8728643506553695E-3</v>
      </c>
      <c r="E1943" s="112">
        <f t="shared" si="707"/>
        <v>1.024963427870329E-2</v>
      </c>
      <c r="F1943" s="112">
        <f t="shared" si="707"/>
        <v>7.7938299377386944E-3</v>
      </c>
    </row>
    <row r="1944" spans="1:6">
      <c r="A1944" s="111">
        <f t="shared" si="650"/>
        <v>45469</v>
      </c>
      <c r="B1944" s="112">
        <f t="shared" ref="B1944:F1944" si="708">IFERROR((B702/B701-1),"")</f>
        <v>-1.9901010517632489E-2</v>
      </c>
      <c r="C1944" s="112">
        <f t="shared" si="708"/>
        <v>-4.72839748441789E-3</v>
      </c>
      <c r="D1944" s="112">
        <f t="shared" si="708"/>
        <v>-1.3737167675704764E-3</v>
      </c>
      <c r="E1944" s="112">
        <f t="shared" si="708"/>
        <v>1.301370502891408E-2</v>
      </c>
      <c r="F1944" s="112">
        <f t="shared" si="708"/>
        <v>6.2180403266263173E-3</v>
      </c>
    </row>
    <row r="1945" spans="1:6">
      <c r="A1945" s="111">
        <f t="shared" si="650"/>
        <v>45470</v>
      </c>
      <c r="B1945" s="112">
        <f t="shared" ref="B1945:F1945" si="709">IFERROR((B703/B702-1),"")</f>
        <v>1.3133438541118592E-2</v>
      </c>
      <c r="C1945" s="112">
        <f t="shared" si="709"/>
        <v>2.1341320288807308E-2</v>
      </c>
      <c r="D1945" s="112">
        <f t="shared" si="709"/>
        <v>2.7322674442549877E-2</v>
      </c>
      <c r="E1945" s="112">
        <f t="shared" si="709"/>
        <v>1.5862183447996614E-3</v>
      </c>
      <c r="F1945" s="112">
        <f t="shared" si="709"/>
        <v>7.3610738704921186E-3</v>
      </c>
    </row>
    <row r="1946" spans="1:6">
      <c r="A1946" s="111">
        <f t="shared" si="650"/>
        <v>45471</v>
      </c>
      <c r="B1946" s="112">
        <f t="shared" ref="B1946:F1946" si="710">IFERROR((B704/B703-1),"")</f>
        <v>-7.7190674812647186E-3</v>
      </c>
      <c r="C1946" s="112">
        <f t="shared" si="710"/>
        <v>3.6403750689464331E-3</v>
      </c>
      <c r="D1946" s="112">
        <f t="shared" si="710"/>
        <v>2.6692217643002669E-2</v>
      </c>
      <c r="E1946" s="112">
        <f t="shared" si="710"/>
        <v>8.3328729536120694E-3</v>
      </c>
      <c r="F1946" s="112">
        <f t="shared" si="710"/>
        <v>-1.4098858366778932E-3</v>
      </c>
    </row>
    <row r="1947" spans="1:6">
      <c r="A1947" s="111">
        <f t="shared" si="650"/>
        <v>45474</v>
      </c>
      <c r="B1947" s="112">
        <f t="shared" ref="B1947:F1947" si="711">IFERROR((B705/B704-1),"")</f>
        <v>3.2093209844241688E-3</v>
      </c>
      <c r="C1947" s="112">
        <f t="shared" si="711"/>
        <v>1.0918150509269475E-2</v>
      </c>
      <c r="D1947" s="112">
        <f t="shared" si="711"/>
        <v>-7.5987723257866513E-3</v>
      </c>
      <c r="E1947" s="112">
        <f t="shared" si="711"/>
        <v>1.7349855265669234E-4</v>
      </c>
      <c r="F1947" s="112">
        <f t="shared" si="711"/>
        <v>5.4705005289330533E-3</v>
      </c>
    </row>
    <row r="1948" spans="1:6">
      <c r="A1948" s="111">
        <f t="shared" si="650"/>
        <v>45475</v>
      </c>
      <c r="B1948" s="112">
        <f t="shared" ref="B1948:F1948" si="712">IFERROR((B706/B705-1),"")</f>
        <v>-3.7206391153918883E-3</v>
      </c>
      <c r="C1948" s="112">
        <f t="shared" si="712"/>
        <v>2.4527036822267201E-2</v>
      </c>
      <c r="D1948" s="112">
        <f t="shared" si="712"/>
        <v>2.6047814659173607E-3</v>
      </c>
      <c r="E1948" s="112">
        <f t="shared" si="712"/>
        <v>-1.3667488359353719E-2</v>
      </c>
      <c r="F1948" s="112">
        <f t="shared" si="712"/>
        <v>-7.4973231242725369E-4</v>
      </c>
    </row>
    <row r="1949" spans="1:6">
      <c r="A1949" s="111">
        <f t="shared" si="650"/>
        <v>45476</v>
      </c>
      <c r="B1949" s="112">
        <f t="shared" ref="B1949:F1949" si="713">IFERROR((B707/B706-1),"")</f>
        <v>4.4674798876147559E-3</v>
      </c>
      <c r="C1949" s="112">
        <f t="shared" si="713"/>
        <v>4.8021224850762767E-3</v>
      </c>
      <c r="D1949" s="112">
        <f t="shared" si="713"/>
        <v>8.7359208822259671E-3</v>
      </c>
      <c r="E1949" s="112">
        <f t="shared" si="713"/>
        <v>8.7843529291977696E-3</v>
      </c>
      <c r="F1949" s="112">
        <f t="shared" si="713"/>
        <v>6.7422903060665451E-3</v>
      </c>
    </row>
    <row r="1950" spans="1:6">
      <c r="A1950" s="111">
        <f t="shared" si="650"/>
        <v>45477</v>
      </c>
      <c r="B1950" s="112">
        <f t="shared" ref="B1950:F1950" si="714">IFERROR((B708/B707-1),"")</f>
        <v>8.6346183915635422E-3</v>
      </c>
      <c r="C1950" s="112">
        <f t="shared" si="714"/>
        <v>3.8338995581685964E-2</v>
      </c>
      <c r="D1950" s="112">
        <f t="shared" si="714"/>
        <v>8.3179009944132076E-3</v>
      </c>
      <c r="E1950" s="112">
        <f t="shared" si="714"/>
        <v>-4.1933530307758371E-3</v>
      </c>
      <c r="F1950" s="112">
        <f t="shared" si="714"/>
        <v>6.4439091676460336E-4</v>
      </c>
    </row>
    <row r="1951" spans="1:6">
      <c r="A1951" s="111">
        <f t="shared" ref="A1951:A2014" si="715">A709</f>
        <v>45478</v>
      </c>
      <c r="B1951" s="112">
        <f t="shared" ref="B1951:F1951" si="716">IFERROR((B709/B708-1),"")</f>
        <v>-7.6477883422902959E-3</v>
      </c>
      <c r="C1951" s="112">
        <f t="shared" si="716"/>
        <v>-4.840049502432775E-3</v>
      </c>
      <c r="D1951" s="112">
        <f t="shared" si="716"/>
        <v>6.2737774622454445E-3</v>
      </c>
      <c r="E1951" s="112">
        <f t="shared" si="716"/>
        <v>2.2216079244413711E-2</v>
      </c>
      <c r="F1951" s="112">
        <f t="shared" si="716"/>
        <v>8.9292511156413568E-4</v>
      </c>
    </row>
    <row r="1952" spans="1:6">
      <c r="A1952" s="111">
        <f t="shared" si="715"/>
        <v>45481</v>
      </c>
      <c r="B1952" s="112">
        <f t="shared" ref="B1952:F1952" si="717">IFERROR((B710/B709-1),"")</f>
        <v>-1.0154134555301009E-2</v>
      </c>
      <c r="C1952" s="112">
        <f t="shared" si="717"/>
        <v>-2.5041949524288176E-3</v>
      </c>
      <c r="D1952" s="112">
        <f t="shared" si="717"/>
        <v>2.1702453987728632E-3</v>
      </c>
      <c r="E1952" s="112">
        <f t="shared" si="717"/>
        <v>3.9211797793321512E-3</v>
      </c>
      <c r="F1952" s="112">
        <f t="shared" si="717"/>
        <v>-1.3566931221820067E-4</v>
      </c>
    </row>
    <row r="1953" spans="1:6">
      <c r="A1953" s="111">
        <f t="shared" si="715"/>
        <v>45482</v>
      </c>
      <c r="B1953" s="112">
        <f t="shared" ref="B1953:F1953" si="718">IFERROR((B711/B710-1),"")</f>
        <v>2.6005225594893711E-2</v>
      </c>
      <c r="C1953" s="112">
        <f t="shared" si="718"/>
        <v>-1.619004517159206E-2</v>
      </c>
      <c r="D1953" s="112">
        <f t="shared" si="718"/>
        <v>7.4531499889045616E-3</v>
      </c>
      <c r="E1953" s="112">
        <f t="shared" si="718"/>
        <v>1.8011870235519201E-2</v>
      </c>
      <c r="F1953" s="112">
        <f t="shared" si="718"/>
        <v>4.6318853808815508E-3</v>
      </c>
    </row>
    <row r="1954" spans="1:6">
      <c r="A1954" s="111">
        <f t="shared" si="715"/>
        <v>45483</v>
      </c>
      <c r="B1954" s="112">
        <f t="shared" ref="B1954:F1954" si="719">IFERROR((B712/B711-1),"")</f>
        <v>-6.6142539736797179E-2</v>
      </c>
      <c r="C1954" s="112">
        <f t="shared" si="719"/>
        <v>-1.5892303819881604E-2</v>
      </c>
      <c r="D1954" s="112">
        <f t="shared" si="719"/>
        <v>1.4735259044336146E-3</v>
      </c>
      <c r="E1954" s="112">
        <f t="shared" si="719"/>
        <v>1.529410727043401E-2</v>
      </c>
      <c r="F1954" s="112">
        <f t="shared" si="719"/>
        <v>-4.4509110554491471E-3</v>
      </c>
    </row>
    <row r="1955" spans="1:6">
      <c r="A1955" s="111">
        <f t="shared" si="715"/>
        <v>45484</v>
      </c>
      <c r="B1955" s="112">
        <f t="shared" ref="B1955:F1955" si="720">IFERROR((B713/B712-1),"")</f>
        <v>-1.2426793557833049E-2</v>
      </c>
      <c r="C1955" s="112">
        <f t="shared" si="720"/>
        <v>-1.8627295337884209E-2</v>
      </c>
      <c r="D1955" s="112">
        <f t="shared" si="720"/>
        <v>3.337100211602273E-4</v>
      </c>
      <c r="E1955" s="112">
        <f t="shared" si="720"/>
        <v>9.9903571335491215E-4</v>
      </c>
      <c r="F1955" s="112">
        <f t="shared" si="720"/>
        <v>-3.4944263899083783E-4</v>
      </c>
    </row>
    <row r="1956" spans="1:6">
      <c r="A1956" s="111">
        <f t="shared" si="715"/>
        <v>45485</v>
      </c>
      <c r="B1956" s="112">
        <f t="shared" ref="B1956:F1956" si="721">IFERROR((B714/B713-1),"")</f>
        <v>2.1867645151125714E-3</v>
      </c>
      <c r="C1956" s="112">
        <f t="shared" si="721"/>
        <v>7.44405500134806E-2</v>
      </c>
      <c r="D1956" s="112">
        <f t="shared" si="721"/>
        <v>1.8908980628530303E-2</v>
      </c>
      <c r="E1956" s="112">
        <f t="shared" si="721"/>
        <v>4.469477374898112E-3</v>
      </c>
      <c r="F1956" s="112">
        <f t="shared" si="721"/>
        <v>7.6575252046495734E-3</v>
      </c>
    </row>
    <row r="1957" spans="1:6">
      <c r="A1957" s="111">
        <f t="shared" si="715"/>
        <v>45488</v>
      </c>
      <c r="B1957" s="112">
        <f t="shared" ref="B1957:F1957" si="722">IFERROR((B715/B714-1),"")</f>
        <v>1.0022374674087953E-2</v>
      </c>
      <c r="C1957" s="112">
        <f t="shared" si="722"/>
        <v>-1.0313417480113385E-2</v>
      </c>
      <c r="D1957" s="112">
        <f t="shared" si="722"/>
        <v>1.1206274323047216E-2</v>
      </c>
      <c r="E1957" s="112">
        <f t="shared" si="722"/>
        <v>3.9139112328387959E-3</v>
      </c>
      <c r="F1957" s="112">
        <f t="shared" si="722"/>
        <v>3.4507175900890807E-3</v>
      </c>
    </row>
    <row r="1958" spans="1:6">
      <c r="A1958" s="111">
        <f t="shared" si="715"/>
        <v>45489</v>
      </c>
      <c r="B1958" s="112">
        <f t="shared" ref="B1958:F1958" si="723">IFERROR((B716/B715-1),"")</f>
        <v>9.4103000677394633E-3</v>
      </c>
      <c r="C1958" s="112">
        <f t="shared" si="723"/>
        <v>-3.2285327924272966E-3</v>
      </c>
      <c r="D1958" s="112">
        <f t="shared" si="723"/>
        <v>-2.188454321351041E-2</v>
      </c>
      <c r="E1958" s="112">
        <f t="shared" si="723"/>
        <v>9.0624300738422203E-3</v>
      </c>
      <c r="F1958" s="112">
        <f t="shared" si="723"/>
        <v>1.0696840161550369E-3</v>
      </c>
    </row>
    <row r="1959" spans="1:6">
      <c r="A1959" s="111">
        <f t="shared" si="715"/>
        <v>45491</v>
      </c>
      <c r="B1959" s="112">
        <f t="shared" ref="B1959:F1959" si="724">IFERROR((B717/B716-1),"")</f>
        <v>2.2744173392581724E-2</v>
      </c>
      <c r="C1959" s="112">
        <f t="shared" si="724"/>
        <v>1.7076769149892312E-2</v>
      </c>
      <c r="D1959" s="112">
        <f t="shared" si="724"/>
        <v>3.2274809849459629E-3</v>
      </c>
      <c r="E1959" s="112">
        <f t="shared" si="724"/>
        <v>1.5608075259920806E-3</v>
      </c>
      <c r="F1959" s="112">
        <f t="shared" si="724"/>
        <v>7.6321456141064115E-3</v>
      </c>
    </row>
    <row r="1960" spans="1:6">
      <c r="A1960" s="111">
        <f t="shared" si="715"/>
        <v>45492</v>
      </c>
      <c r="B1960" s="112">
        <f t="shared" ref="B1960:F1960" si="725">IFERROR((B718/B717-1),"")</f>
        <v>-2.4880739151252773E-2</v>
      </c>
      <c r="C1960" s="112">
        <f t="shared" si="725"/>
        <v>-2.309257036147816E-3</v>
      </c>
      <c r="D1960" s="112">
        <f t="shared" si="725"/>
        <v>-4.7244094488189115E-3</v>
      </c>
      <c r="E1960" s="112">
        <f t="shared" si="725"/>
        <v>1.0985267819125788E-3</v>
      </c>
      <c r="F1960" s="112">
        <f t="shared" si="725"/>
        <v>-1.0884707580586794E-2</v>
      </c>
    </row>
    <row r="1961" spans="1:6">
      <c r="A1961" s="111">
        <f t="shared" si="715"/>
        <v>45495</v>
      </c>
      <c r="B1961" s="112">
        <f t="shared" ref="B1961:F1961" si="726">IFERROR((B719/B718-1),"")</f>
        <v>2.0168770232422695E-2</v>
      </c>
      <c r="C1961" s="112">
        <f t="shared" si="726"/>
        <v>1.5450177564236389E-2</v>
      </c>
      <c r="D1961" s="112">
        <f t="shared" si="726"/>
        <v>2.032851115129608E-2</v>
      </c>
      <c r="E1961" s="112">
        <f t="shared" si="726"/>
        <v>1.6842606691109818E-3</v>
      </c>
      <c r="F1961" s="112">
        <f t="shared" si="726"/>
        <v>-8.8256036264466875E-4</v>
      </c>
    </row>
    <row r="1962" spans="1:6">
      <c r="A1962" s="111">
        <f t="shared" si="715"/>
        <v>45496</v>
      </c>
      <c r="B1962" s="112">
        <f t="shared" ref="B1962:F1962" si="727">IFERROR((B720/B719-1),"")</f>
        <v>5.918531063374699E-3</v>
      </c>
      <c r="C1962" s="112">
        <f t="shared" si="727"/>
        <v>1.6976070570422275E-2</v>
      </c>
      <c r="D1962" s="112">
        <f t="shared" si="727"/>
        <v>1.3897709314862006E-2</v>
      </c>
      <c r="E1962" s="112">
        <f t="shared" si="727"/>
        <v>9.663969020949903E-3</v>
      </c>
      <c r="F1962" s="112">
        <f t="shared" si="727"/>
        <v>-1.2321878474453873E-3</v>
      </c>
    </row>
    <row r="1963" spans="1:6">
      <c r="A1963" s="111">
        <f t="shared" si="715"/>
        <v>45497</v>
      </c>
      <c r="B1963" s="112">
        <f t="shared" ref="B1963:F1963" si="728">IFERROR((B721/B720-1),"")</f>
        <v>-5.6178779662218181E-3</v>
      </c>
      <c r="C1963" s="112">
        <f t="shared" si="728"/>
        <v>2.5043087056082047E-2</v>
      </c>
      <c r="D1963" s="112">
        <f t="shared" si="728"/>
        <v>-6.533139111434827E-3</v>
      </c>
      <c r="E1963" s="112">
        <f t="shared" si="728"/>
        <v>-1.9386853946759763E-2</v>
      </c>
      <c r="F1963" s="112">
        <f t="shared" si="728"/>
        <v>-2.6777999963233379E-3</v>
      </c>
    </row>
    <row r="1964" spans="1:6">
      <c r="A1964" s="111">
        <f t="shared" si="715"/>
        <v>45498</v>
      </c>
      <c r="B1964" s="112">
        <f t="shared" ref="B1964:F1964" si="729">IFERROR((B722/B721-1),"")</f>
        <v>2.1030119408305126E-3</v>
      </c>
      <c r="C1964" s="112">
        <f t="shared" si="729"/>
        <v>-1.9576577572189002E-3</v>
      </c>
      <c r="D1964" s="112">
        <f t="shared" si="729"/>
        <v>4.8459344735820586E-3</v>
      </c>
      <c r="E1964" s="112">
        <f t="shared" si="729"/>
        <v>1.7154129856811196E-5</v>
      </c>
      <c r="F1964" s="112">
        <f t="shared" si="729"/>
        <v>-3.0311098367707956E-4</v>
      </c>
    </row>
    <row r="1965" spans="1:6">
      <c r="A1965" s="111">
        <f t="shared" si="715"/>
        <v>45499</v>
      </c>
      <c r="B1965" s="112">
        <f t="shared" ref="B1965:F1965" si="730">IFERROR((B723/B722-1),"")</f>
        <v>2.7175072917407839E-2</v>
      </c>
      <c r="C1965" s="112">
        <f t="shared" si="730"/>
        <v>3.4800765616844753E-3</v>
      </c>
      <c r="D1965" s="112">
        <f t="shared" si="730"/>
        <v>3.7135936496819344E-3</v>
      </c>
      <c r="E1965" s="112">
        <f t="shared" si="730"/>
        <v>7.4104569781803242E-3</v>
      </c>
      <c r="F1965" s="112">
        <f t="shared" si="730"/>
        <v>1.7567329479105664E-2</v>
      </c>
    </row>
    <row r="1966" spans="1:6">
      <c r="A1966" s="111">
        <f t="shared" si="715"/>
        <v>45502</v>
      </c>
      <c r="B1966" s="112">
        <f t="shared" ref="B1966:F1966" si="731">IFERROR((B724/B723-1),"")</f>
        <v>1.5652053466306493E-2</v>
      </c>
      <c r="C1966" s="112">
        <f t="shared" si="731"/>
        <v>-4.7685104907230214E-3</v>
      </c>
      <c r="D1966" s="112">
        <f t="shared" si="731"/>
        <v>-5.6115662230233898E-3</v>
      </c>
      <c r="E1966" s="112">
        <f t="shared" si="731"/>
        <v>4.2228579212642003E-3</v>
      </c>
      <c r="F1966" s="112">
        <f t="shared" si="731"/>
        <v>5.0332496471794386E-5</v>
      </c>
    </row>
    <row r="1967" spans="1:6">
      <c r="A1967" s="111">
        <f t="shared" si="715"/>
        <v>45503</v>
      </c>
      <c r="B1967" s="112">
        <f t="shared" ref="B1967:F1967" si="732">IFERROR((B725/B724-1),"")</f>
        <v>-3.7163314012956805E-3</v>
      </c>
      <c r="C1967" s="112">
        <f t="shared" si="732"/>
        <v>-7.1276401967357295E-5</v>
      </c>
      <c r="D1967" s="112">
        <f t="shared" si="732"/>
        <v>-5.2484996454704724E-3</v>
      </c>
      <c r="E1967" s="112">
        <f t="shared" si="732"/>
        <v>-9.3936516549105731E-3</v>
      </c>
      <c r="F1967" s="112">
        <f t="shared" si="732"/>
        <v>8.5359617653346653E-4</v>
      </c>
    </row>
    <row r="1968" spans="1:6">
      <c r="A1968" s="111">
        <f t="shared" si="715"/>
        <v>45504</v>
      </c>
      <c r="B1968" s="112">
        <f t="shared" ref="B1968:F1968" si="733">IFERROR((B726/B725-1),"")</f>
        <v>-4.8937408028472129E-3</v>
      </c>
      <c r="C1968" s="112">
        <f t="shared" si="733"/>
        <v>-1.1880247109139486E-3</v>
      </c>
      <c r="D1968" s="112">
        <f t="shared" si="733"/>
        <v>-7.8848937780618966E-3</v>
      </c>
      <c r="E1968" s="112">
        <f t="shared" si="733"/>
        <v>-9.8849748382459079E-3</v>
      </c>
      <c r="F1968" s="112">
        <f t="shared" si="733"/>
        <v>3.7755508442189889E-3</v>
      </c>
    </row>
    <row r="1969" spans="1:6">
      <c r="A1969" s="111">
        <f t="shared" si="715"/>
        <v>45505</v>
      </c>
      <c r="B1969" s="112">
        <f t="shared" ref="B1969:F1969" si="734">IFERROR((B727/B726-1),"")</f>
        <v>-2.7305866978471705E-2</v>
      </c>
      <c r="C1969" s="112">
        <f t="shared" si="734"/>
        <v>-3.0687495044008362E-3</v>
      </c>
      <c r="D1969" s="112">
        <f t="shared" si="734"/>
        <v>2.0361454707058746E-2</v>
      </c>
      <c r="E1969" s="112">
        <f t="shared" si="734"/>
        <v>-9.3872364701916844E-3</v>
      </c>
      <c r="F1969" s="112">
        <f t="shared" si="734"/>
        <v>2.3946792031630526E-3</v>
      </c>
    </row>
    <row r="1970" spans="1:6">
      <c r="A1970" s="111">
        <f t="shared" si="715"/>
        <v>45506</v>
      </c>
      <c r="B1970" s="112">
        <f t="shared" ref="B1970:F1970" si="735">IFERROR((B728/B727-1),"")</f>
        <v>-2.7842596521001295E-2</v>
      </c>
      <c r="C1970" s="112">
        <f t="shared" si="735"/>
        <v>-3.2794317666616335E-2</v>
      </c>
      <c r="D1970" s="112">
        <f t="shared" si="735"/>
        <v>1.1062798074898961E-2</v>
      </c>
      <c r="E1970" s="112">
        <f t="shared" si="735"/>
        <v>-1.7102519131260152E-3</v>
      </c>
      <c r="F1970" s="112">
        <f t="shared" si="735"/>
        <v>-1.1722888820474342E-2</v>
      </c>
    </row>
    <row r="1971" spans="1:6">
      <c r="A1971" s="111">
        <f t="shared" si="715"/>
        <v>45509</v>
      </c>
      <c r="B1971" s="112">
        <f t="shared" ref="B1971:F1971" si="736">IFERROR((B729/B728-1),"")</f>
        <v>-2.5712363391704463E-2</v>
      </c>
      <c r="C1971" s="112">
        <f t="shared" si="736"/>
        <v>-3.0090460526315699E-2</v>
      </c>
      <c r="D1971" s="112">
        <f t="shared" si="736"/>
        <v>-2.1840425608293801E-2</v>
      </c>
      <c r="E1971" s="112">
        <f t="shared" si="736"/>
        <v>-3.9245850341326216E-3</v>
      </c>
      <c r="F1971" s="112">
        <f t="shared" si="736"/>
        <v>-2.6786472851438536E-2</v>
      </c>
    </row>
    <row r="1972" spans="1:6">
      <c r="A1972" s="111">
        <f t="shared" si="715"/>
        <v>45510</v>
      </c>
      <c r="B1972" s="112">
        <f t="shared" ref="B1972:F1972" si="737">IFERROR((B730/B729-1),"")</f>
        <v>-1.7170906511879691E-2</v>
      </c>
      <c r="C1972" s="112">
        <f t="shared" si="737"/>
        <v>-1.7805512925961331E-4</v>
      </c>
      <c r="D1972" s="112">
        <f t="shared" si="737"/>
        <v>-6.8261389743184964E-4</v>
      </c>
      <c r="E1972" s="112">
        <f t="shared" si="737"/>
        <v>2.7483809824672356E-2</v>
      </c>
      <c r="F1972" s="112">
        <f t="shared" si="737"/>
        <v>-2.6210113237665755E-3</v>
      </c>
    </row>
    <row r="1973" spans="1:6">
      <c r="A1973" s="111">
        <f t="shared" si="715"/>
        <v>45511</v>
      </c>
      <c r="B1973" s="112">
        <f t="shared" ref="B1973:F1973" si="738">IFERROR((B731/B730-1),"")</f>
        <v>1.8192521696196229E-2</v>
      </c>
      <c r="C1973" s="112">
        <f t="shared" si="738"/>
        <v>2.0471506105834258E-2</v>
      </c>
      <c r="D1973" s="112">
        <f t="shared" si="738"/>
        <v>1.7473631636160558E-2</v>
      </c>
      <c r="E1973" s="112">
        <f t="shared" si="738"/>
        <v>-3.0233153984114969E-3</v>
      </c>
      <c r="F1973" s="112">
        <f t="shared" si="738"/>
        <v>1.2710195456506312E-2</v>
      </c>
    </row>
    <row r="1974" spans="1:6">
      <c r="A1974" s="111">
        <f t="shared" si="715"/>
        <v>45512</v>
      </c>
      <c r="B1974" s="112">
        <f t="shared" ref="B1974:F1974" si="739">IFERROR((B732/B731-1),"")</f>
        <v>7.8333364418003981E-4</v>
      </c>
      <c r="C1974" s="112">
        <f t="shared" si="739"/>
        <v>-2.8520617614306798E-2</v>
      </c>
      <c r="D1974" s="112">
        <f t="shared" si="739"/>
        <v>1.7252954297719558E-3</v>
      </c>
      <c r="E1974" s="112">
        <f t="shared" si="739"/>
        <v>-1.5787760416666741E-2</v>
      </c>
      <c r="F1974" s="112">
        <f t="shared" si="739"/>
        <v>-7.4287478135610652E-3</v>
      </c>
    </row>
    <row r="1975" spans="1:6">
      <c r="A1975" s="111">
        <f t="shared" si="715"/>
        <v>45513</v>
      </c>
      <c r="B1975" s="112">
        <f t="shared" ref="B1975:F1975" si="740">IFERROR((B733/B732-1),"")</f>
        <v>2.4674332358038731E-2</v>
      </c>
      <c r="C1975" s="112">
        <f t="shared" si="740"/>
        <v>5.6970796051394323E-3</v>
      </c>
      <c r="D1975" s="112">
        <f t="shared" si="740"/>
        <v>1.0838389807301452E-2</v>
      </c>
      <c r="E1975" s="112">
        <f t="shared" si="740"/>
        <v>-7.5722628880769971E-4</v>
      </c>
      <c r="F1975" s="112">
        <f t="shared" si="740"/>
        <v>1.0386864037815746E-2</v>
      </c>
    </row>
    <row r="1976" spans="1:6">
      <c r="A1976" s="111">
        <f t="shared" si="715"/>
        <v>45516</v>
      </c>
      <c r="B1976" s="112">
        <f t="shared" ref="B1976:F1976" si="741">IFERROR((B734/B733-1),"")</f>
        <v>-1.1458087045086662E-2</v>
      </c>
      <c r="C1976" s="112">
        <f t="shared" si="741"/>
        <v>-6.5494011976041655E-4</v>
      </c>
      <c r="D1976" s="112">
        <f t="shared" si="741"/>
        <v>-1.8100805589220892E-2</v>
      </c>
      <c r="E1976" s="112">
        <f t="shared" si="741"/>
        <v>-1.6471264568053923E-2</v>
      </c>
      <c r="F1976" s="112">
        <f t="shared" si="741"/>
        <v>-8.4128449779419245E-4</v>
      </c>
    </row>
    <row r="1977" spans="1:6">
      <c r="A1977" s="111">
        <f t="shared" si="715"/>
        <v>45517</v>
      </c>
      <c r="B1977" s="112">
        <f t="shared" ref="B1977:F1977" si="742">IFERROR((B735/B734-1),"")</f>
        <v>1.4718598789409398E-4</v>
      </c>
      <c r="C1977" s="112">
        <f t="shared" si="742"/>
        <v>-4.5620515613963297E-3</v>
      </c>
      <c r="D1977" s="112">
        <f t="shared" si="742"/>
        <v>8.981275094205543E-3</v>
      </c>
      <c r="E1977" s="112">
        <f t="shared" si="742"/>
        <v>3.6753310011956586E-3</v>
      </c>
      <c r="F1977" s="112">
        <f t="shared" si="742"/>
        <v>-8.5431469996303244E-3</v>
      </c>
    </row>
    <row r="1978" spans="1:6">
      <c r="A1978" s="111">
        <f t="shared" si="715"/>
        <v>45518</v>
      </c>
      <c r="B1978" s="112">
        <f t="shared" ref="B1978:F1978" si="743">IFERROR((B736/B735-1),"")</f>
        <v>1.0007174260959095E-2</v>
      </c>
      <c r="C1978" s="112">
        <f t="shared" si="743"/>
        <v>3.8561840023940697E-3</v>
      </c>
      <c r="D1978" s="112">
        <f t="shared" si="743"/>
        <v>-2.1206320879627039E-2</v>
      </c>
      <c r="E1978" s="112">
        <f t="shared" si="743"/>
        <v>-1.2970969734404925E-3</v>
      </c>
      <c r="F1978" s="112">
        <f t="shared" si="743"/>
        <v>1.9677699987563635E-4</v>
      </c>
    </row>
    <row r="1979" spans="1:6">
      <c r="A1979" s="111">
        <f t="shared" si="715"/>
        <v>45520</v>
      </c>
      <c r="B1979" s="112">
        <f t="shared" ref="B1979:F1979" si="744">IFERROR((B737/B736-1),"")</f>
        <v>3.4678080320553528E-2</v>
      </c>
      <c r="C1979" s="112">
        <f t="shared" si="744"/>
        <v>3.5211147641517559E-2</v>
      </c>
      <c r="D1979" s="112">
        <f t="shared" si="744"/>
        <v>-1.0954190896993454E-3</v>
      </c>
      <c r="E1979" s="112">
        <f t="shared" si="744"/>
        <v>1.2457701244886543E-2</v>
      </c>
      <c r="F1979" s="112">
        <f t="shared" si="744"/>
        <v>1.6459746311157097E-2</v>
      </c>
    </row>
    <row r="1980" spans="1:6">
      <c r="A1980" s="111">
        <f t="shared" si="715"/>
        <v>45523</v>
      </c>
      <c r="B1980" s="112">
        <f t="shared" ref="B1980:F1980" si="745">IFERROR((B738/B737-1),"")</f>
        <v>-2.6509883997253847E-2</v>
      </c>
      <c r="C1980" s="112">
        <f t="shared" si="745"/>
        <v>-2.8550271515550563E-3</v>
      </c>
      <c r="D1980" s="112">
        <f t="shared" si="745"/>
        <v>1.7332489401789886E-2</v>
      </c>
      <c r="E1980" s="112">
        <f t="shared" si="745"/>
        <v>4.9741258192037563E-4</v>
      </c>
      <c r="F1980" s="112">
        <f t="shared" si="745"/>
        <v>1.283558431450782E-3</v>
      </c>
    </row>
    <row r="1981" spans="1:6">
      <c r="A1981" s="111">
        <f t="shared" si="715"/>
        <v>45524</v>
      </c>
      <c r="B1981" s="112">
        <f t="shared" ref="B1981:F1981" si="746">IFERROR((B739/B738-1),"")</f>
        <v>2.2241108077318827E-3</v>
      </c>
      <c r="C1981" s="112">
        <f t="shared" si="746"/>
        <v>9.1754474268315178E-3</v>
      </c>
      <c r="D1981" s="112">
        <f t="shared" si="746"/>
        <v>7.813234751531839E-3</v>
      </c>
      <c r="E1981" s="112">
        <f t="shared" si="746"/>
        <v>5.8089838639336921E-3</v>
      </c>
      <c r="F1981" s="112">
        <f t="shared" si="746"/>
        <v>5.1357912150296059E-3</v>
      </c>
    </row>
    <row r="1982" spans="1:6">
      <c r="A1982" s="111">
        <f t="shared" si="715"/>
        <v>45525</v>
      </c>
      <c r="B1982" s="112">
        <f t="shared" ref="B1982:F1982" si="747">IFERROR((B740/B739-1),"")</f>
        <v>-6.8559881643992515E-4</v>
      </c>
      <c r="C1982" s="112">
        <f t="shared" si="747"/>
        <v>-4.071787743755384E-3</v>
      </c>
      <c r="D1982" s="112">
        <f t="shared" si="747"/>
        <v>1.3940433718334422E-2</v>
      </c>
      <c r="E1982" s="112">
        <f t="shared" si="747"/>
        <v>1.2409379444309643E-2</v>
      </c>
      <c r="F1982" s="112">
        <f t="shared" si="747"/>
        <v>2.888798466325504E-3</v>
      </c>
    </row>
    <row r="1983" spans="1:6">
      <c r="A1983" s="111">
        <f t="shared" si="715"/>
        <v>45526</v>
      </c>
      <c r="B1983" s="112">
        <f t="shared" ref="B1983:F1983" si="748">IFERROR((B741/B740-1),"")</f>
        <v>-1.3161695674153373E-2</v>
      </c>
      <c r="C1983" s="112">
        <f t="shared" si="748"/>
        <v>-1.0097941826003876E-3</v>
      </c>
      <c r="D1983" s="112">
        <f t="shared" si="748"/>
        <v>-1.3224872388477138E-2</v>
      </c>
      <c r="E1983" s="112">
        <f t="shared" si="748"/>
        <v>-9.4220836509784078E-5</v>
      </c>
      <c r="F1983" s="112">
        <f t="shared" si="748"/>
        <v>1.6673260611541618E-3</v>
      </c>
    </row>
    <row r="1984" spans="1:6">
      <c r="A1984" s="111">
        <f t="shared" si="715"/>
        <v>45527</v>
      </c>
      <c r="B1984" s="112">
        <f t="shared" ref="B1984:F1984" si="749">IFERROR((B742/B741-1),"")</f>
        <v>9.5318245851552241E-3</v>
      </c>
      <c r="C1984" s="112">
        <f t="shared" si="749"/>
        <v>-1.0182111041714514E-2</v>
      </c>
      <c r="D1984" s="112">
        <f t="shared" si="749"/>
        <v>-2.0878024981882959E-3</v>
      </c>
      <c r="E1984" s="112">
        <f t="shared" si="749"/>
        <v>-7.5640762061404132E-3</v>
      </c>
      <c r="F1984" s="112">
        <f t="shared" si="749"/>
        <v>4.6954033411927831E-4</v>
      </c>
    </row>
    <row r="1985" spans="1:6">
      <c r="A1985" s="111">
        <f t="shared" si="715"/>
        <v>45530</v>
      </c>
      <c r="B1985" s="112">
        <f t="shared" ref="B1985:F1985" si="750">IFERROR((B743/B742-1),"")</f>
        <v>1.2359550561797716E-2</v>
      </c>
      <c r="C1985" s="112">
        <f t="shared" si="750"/>
        <v>6.4759848893691796E-4</v>
      </c>
      <c r="D1985" s="112">
        <f t="shared" si="750"/>
        <v>-1.6104680422748263E-3</v>
      </c>
      <c r="E1985" s="112">
        <f t="shared" si="750"/>
        <v>7.4232000897689332E-4</v>
      </c>
      <c r="F1985" s="112">
        <f t="shared" si="750"/>
        <v>7.5514187361394036E-3</v>
      </c>
    </row>
    <row r="1986" spans="1:6">
      <c r="A1986" s="111">
        <f t="shared" si="715"/>
        <v>45531</v>
      </c>
      <c r="B1986" s="112">
        <f t="shared" ref="B1986:F1986" si="751">IFERROR((B744/B743-1),"")</f>
        <v>-4.4037091403815731E-3</v>
      </c>
      <c r="C1986" s="112">
        <f t="shared" si="751"/>
        <v>9.0854027861901887E-3</v>
      </c>
      <c r="D1986" s="112">
        <f t="shared" si="751"/>
        <v>2.830066394941877E-3</v>
      </c>
      <c r="E1986" s="112">
        <f t="shared" si="751"/>
        <v>-5.6322721431096845E-3</v>
      </c>
      <c r="F1986" s="112">
        <f t="shared" si="751"/>
        <v>2.8587878739427808E-4</v>
      </c>
    </row>
    <row r="1987" spans="1:6">
      <c r="A1987" s="111">
        <f t="shared" si="715"/>
        <v>45532</v>
      </c>
      <c r="B1987" s="112">
        <f t="shared" ref="B1987:F1987" si="752">IFERROR((B745/B744-1),"")</f>
        <v>6.1852704257767677E-3</v>
      </c>
      <c r="C1987" s="112">
        <f t="shared" si="752"/>
        <v>2.8704632537946528E-2</v>
      </c>
      <c r="D1987" s="112">
        <f t="shared" si="752"/>
        <v>5.2204884423987519E-3</v>
      </c>
      <c r="E1987" s="112">
        <f t="shared" si="752"/>
        <v>-1.0573703658727007E-2</v>
      </c>
      <c r="F1987" s="112">
        <f t="shared" si="752"/>
        <v>1.3830180571794415E-3</v>
      </c>
    </row>
    <row r="1988" spans="1:6">
      <c r="A1988" s="111">
        <f t="shared" si="715"/>
        <v>45533</v>
      </c>
      <c r="B1988" s="112">
        <f t="shared" ref="B1988:F1988" si="753">IFERROR((B746/B745-1),"")</f>
        <v>-1.4438884917798434E-2</v>
      </c>
      <c r="C1988" s="112">
        <f t="shared" si="753"/>
        <v>4.2842641216860322E-3</v>
      </c>
      <c r="D1988" s="112">
        <f t="shared" si="753"/>
        <v>-9.7366879545096596E-3</v>
      </c>
      <c r="E1988" s="112">
        <f t="shared" si="753"/>
        <v>2.2451716973357572E-2</v>
      </c>
      <c r="F1988" s="112">
        <f t="shared" si="753"/>
        <v>3.975674936682605E-3</v>
      </c>
    </row>
    <row r="1989" spans="1:6">
      <c r="A1989" s="111">
        <f t="shared" si="715"/>
        <v>45534</v>
      </c>
      <c r="B1989" s="112">
        <f t="shared" ref="B1989:F1989" si="754">IFERROR((B747/B746-1),"")</f>
        <v>1.7333913548012836E-2</v>
      </c>
      <c r="C1989" s="112">
        <f t="shared" si="754"/>
        <v>9.8372398424131369E-3</v>
      </c>
      <c r="D1989" s="112">
        <f t="shared" si="754"/>
        <v>1.4456475476652519E-2</v>
      </c>
      <c r="E1989" s="112">
        <f t="shared" si="754"/>
        <v>4.089926947216771E-3</v>
      </c>
      <c r="F1989" s="112">
        <f t="shared" si="754"/>
        <v>3.3377133780880808E-3</v>
      </c>
    </row>
    <row r="1990" spans="1:6">
      <c r="A1990" s="111">
        <f t="shared" si="715"/>
        <v>45537</v>
      </c>
      <c r="B1990" s="112">
        <f t="shared" ref="B1990:F1990" si="755">IFERROR((B748/B747-1),"")</f>
        <v>-1.0123333570970283E-2</v>
      </c>
      <c r="C1990" s="112">
        <f t="shared" si="755"/>
        <v>-5.4381664709457489E-4</v>
      </c>
      <c r="D1990" s="112">
        <f t="shared" si="755"/>
        <v>-2.2641455765962437E-2</v>
      </c>
      <c r="E1990" s="112">
        <f t="shared" si="755"/>
        <v>1.1425643653131701E-2</v>
      </c>
      <c r="F1990" s="112">
        <f t="shared" si="755"/>
        <v>1.6959965763059248E-3</v>
      </c>
    </row>
    <row r="1991" spans="1:6">
      <c r="A1991" s="111">
        <f t="shared" si="715"/>
        <v>45538</v>
      </c>
      <c r="B1991" s="112">
        <f t="shared" ref="B1991:F1991" si="756">IFERROR((B749/B748-1),"")</f>
        <v>2.8267915016204626E-3</v>
      </c>
      <c r="C1991" s="112">
        <f t="shared" si="756"/>
        <v>1.056682332902259E-2</v>
      </c>
      <c r="D1991" s="112">
        <f t="shared" si="756"/>
        <v>-2.6629220840640455E-3</v>
      </c>
      <c r="E1991" s="112">
        <f t="shared" si="756"/>
        <v>-1.0300313230835467E-3</v>
      </c>
      <c r="F1991" s="112">
        <f t="shared" si="756"/>
        <v>4.5492845755390476E-5</v>
      </c>
    </row>
    <row r="1992" spans="1:6">
      <c r="A1992" s="111">
        <f t="shared" si="715"/>
        <v>45539</v>
      </c>
      <c r="B1992" s="112">
        <f t="shared" ref="B1992:F1992" si="757">IFERROR((B750/B749-1),"")</f>
        <v>-1.2657773309154852E-2</v>
      </c>
      <c r="C1992" s="112">
        <f t="shared" si="757"/>
        <v>-1.1938947499843922E-2</v>
      </c>
      <c r="D1992" s="112">
        <f t="shared" si="757"/>
        <v>-9.7244614340844526E-3</v>
      </c>
      <c r="E1992" s="112">
        <f t="shared" si="757"/>
        <v>1.7748328699047633E-3</v>
      </c>
      <c r="F1992" s="112">
        <f t="shared" si="757"/>
        <v>-3.2100665154262131E-3</v>
      </c>
    </row>
    <row r="1993" spans="1:6">
      <c r="A1993" s="111">
        <f t="shared" si="715"/>
        <v>45540</v>
      </c>
      <c r="B1993" s="112">
        <f t="shared" ref="B1993:F1993" si="758">IFERROR((B751/B750-1),"")</f>
        <v>-9.6377654931626422E-3</v>
      </c>
      <c r="C1993" s="112">
        <f t="shared" si="758"/>
        <v>3.4772788299031632E-2</v>
      </c>
      <c r="D1993" s="112">
        <f t="shared" si="758"/>
        <v>-1.3473892032060286E-2</v>
      </c>
      <c r="E1993" s="112">
        <f t="shared" si="758"/>
        <v>-1.2916452236123921E-2</v>
      </c>
      <c r="F1993" s="112">
        <f t="shared" si="758"/>
        <v>-2.127093858016571E-3</v>
      </c>
    </row>
    <row r="1994" spans="1:6">
      <c r="A1994" s="111">
        <f t="shared" si="715"/>
        <v>45541</v>
      </c>
      <c r="B1994" s="112">
        <f t="shared" ref="B1994:F1994" si="759">IFERROR((B752/B751-1),"")</f>
        <v>-9.1807131577981149E-3</v>
      </c>
      <c r="C1994" s="112">
        <f t="shared" si="759"/>
        <v>1.1203968708261902E-2</v>
      </c>
      <c r="D1994" s="112">
        <f t="shared" si="759"/>
        <v>-4.2713661651047063E-3</v>
      </c>
      <c r="E1994" s="112">
        <f t="shared" si="759"/>
        <v>-1.1025641025640409E-3</v>
      </c>
      <c r="F1994" s="112">
        <f t="shared" si="759"/>
        <v>-1.16503811875871E-2</v>
      </c>
    </row>
    <row r="1995" spans="1:6">
      <c r="A1995" s="111">
        <f t="shared" si="715"/>
        <v>45544</v>
      </c>
      <c r="B1995" s="112">
        <f t="shared" ref="B1995:F1995" si="760">IFERROR((B753/B752-1),"")</f>
        <v>3.9842852377598437E-3</v>
      </c>
      <c r="C1995" s="112">
        <f t="shared" si="760"/>
        <v>-2.0212388579019303E-2</v>
      </c>
      <c r="D1995" s="112">
        <f t="shared" si="760"/>
        <v>-1.6873776651192829E-3</v>
      </c>
      <c r="E1995" s="112">
        <f t="shared" si="760"/>
        <v>1.6411256855849654E-2</v>
      </c>
      <c r="F1995" s="112">
        <f t="shared" si="760"/>
        <v>3.3900487482974029E-3</v>
      </c>
    </row>
    <row r="1996" spans="1:6">
      <c r="A1996" s="111">
        <f t="shared" si="715"/>
        <v>45545</v>
      </c>
      <c r="B1996" s="112">
        <f t="shared" ref="B1996:F1996" si="761">IFERROR((B754/B753-1),"")</f>
        <v>-6.9586724994000759E-3</v>
      </c>
      <c r="C1996" s="112">
        <f t="shared" si="761"/>
        <v>4.8723182991179836E-2</v>
      </c>
      <c r="D1996" s="112">
        <f t="shared" si="761"/>
        <v>-8.2633453026648152E-4</v>
      </c>
      <c r="E1996" s="112">
        <f t="shared" si="761"/>
        <v>5.1267373241630221E-3</v>
      </c>
      <c r="F1996" s="112">
        <f t="shared" si="761"/>
        <v>4.1986814455974297E-3</v>
      </c>
    </row>
    <row r="1997" spans="1:6">
      <c r="A1997" s="111">
        <f t="shared" si="715"/>
        <v>45546</v>
      </c>
      <c r="B1997" s="112">
        <f t="shared" ref="B1997:F1997" si="762">IFERROR((B755/B754-1),"")</f>
        <v>-1.3289962825278834E-2</v>
      </c>
      <c r="C1997" s="112">
        <f t="shared" si="762"/>
        <v>5.0095489936829996E-3</v>
      </c>
      <c r="D1997" s="112">
        <f t="shared" si="762"/>
        <v>-5.6989053290027458E-3</v>
      </c>
      <c r="E1997" s="112">
        <f t="shared" si="762"/>
        <v>6.4908959949077083E-3</v>
      </c>
      <c r="F1997" s="112">
        <f t="shared" si="762"/>
        <v>-4.8979477738596566E-3</v>
      </c>
    </row>
    <row r="1998" spans="1:6">
      <c r="A1998" s="111">
        <f t="shared" si="715"/>
        <v>45547</v>
      </c>
      <c r="B1998" s="112">
        <f t="shared" ref="B1998:F1998" si="763">IFERROR((B756/B755-1),"")</f>
        <v>3.2645756805123938E-2</v>
      </c>
      <c r="C1998" s="112">
        <f t="shared" si="763"/>
        <v>5.1746064229436506E-3</v>
      </c>
      <c r="D1998" s="112">
        <f t="shared" si="763"/>
        <v>1.0790170132325194E-2</v>
      </c>
      <c r="E1998" s="112">
        <f t="shared" si="763"/>
        <v>1.6742529519942151E-2</v>
      </c>
      <c r="F1998" s="112">
        <f t="shared" si="763"/>
        <v>1.8879585206944993E-2</v>
      </c>
    </row>
    <row r="1999" spans="1:6">
      <c r="A1999" s="111">
        <f t="shared" si="715"/>
        <v>45548</v>
      </c>
      <c r="B1999" s="112">
        <f t="shared" ref="B1999:F1999" si="764">IFERROR((B757/B756-1),"")</f>
        <v>-6.5671859608162908E-4</v>
      </c>
      <c r="C1999" s="112">
        <f t="shared" si="764"/>
        <v>1.9959281611284796E-2</v>
      </c>
      <c r="D1999" s="112">
        <f t="shared" si="764"/>
        <v>-3.4635726415164214E-3</v>
      </c>
      <c r="E1999" s="112">
        <f t="shared" si="764"/>
        <v>3.9039161926588406E-3</v>
      </c>
      <c r="F1999" s="112">
        <f t="shared" si="764"/>
        <v>-1.276148238009589E-3</v>
      </c>
    </row>
    <row r="2000" spans="1:6">
      <c r="A2000" s="111">
        <f t="shared" si="715"/>
        <v>45551</v>
      </c>
      <c r="B2000" s="112">
        <f t="shared" ref="B2000:F2000" si="765">IFERROR((B758/B757-1),"")</f>
        <v>6.6810266145815866E-3</v>
      </c>
      <c r="C2000" s="112">
        <f t="shared" si="765"/>
        <v>-3.486009623953068E-3</v>
      </c>
      <c r="D2000" s="112">
        <f t="shared" si="765"/>
        <v>-2.0418274355548105E-3</v>
      </c>
      <c r="E2000" s="112">
        <f t="shared" si="765"/>
        <v>-1.1429782654775011E-2</v>
      </c>
      <c r="F2000" s="112">
        <f t="shared" si="765"/>
        <v>1.0746751326089488E-3</v>
      </c>
    </row>
    <row r="2001" spans="1:6">
      <c r="A2001" s="111">
        <f t="shared" si="715"/>
        <v>45552</v>
      </c>
      <c r="B2001" s="112">
        <f t="shared" ref="B2001:F2001" si="766">IFERROR((B759/B758-1),"")</f>
        <v>1.0970479437151015E-2</v>
      </c>
      <c r="C2001" s="112">
        <f t="shared" si="766"/>
        <v>1.3234515616729059E-3</v>
      </c>
      <c r="D2001" s="112">
        <f t="shared" si="766"/>
        <v>-2.3243218847317504E-3</v>
      </c>
      <c r="E2001" s="112">
        <f t="shared" si="766"/>
        <v>7.9251195777667593E-3</v>
      </c>
      <c r="F2001" s="112">
        <f t="shared" si="766"/>
        <v>1.3709558280394774E-3</v>
      </c>
    </row>
    <row r="2002" spans="1:6">
      <c r="A2002" s="111">
        <f t="shared" si="715"/>
        <v>45553</v>
      </c>
      <c r="B2002" s="112">
        <f t="shared" ref="B2002:F2002" si="767">IFERROR((B760/B759-1),"")</f>
        <v>7.3718006205942821E-3</v>
      </c>
      <c r="C2002" s="112">
        <f t="shared" si="767"/>
        <v>-1.9689792885669188E-2</v>
      </c>
      <c r="D2002" s="112">
        <f t="shared" si="767"/>
        <v>-9.6280714452662286E-3</v>
      </c>
      <c r="E2002" s="112">
        <f t="shared" si="767"/>
        <v>1.9963836001997137E-3</v>
      </c>
      <c r="F2002" s="112">
        <f t="shared" si="767"/>
        <v>-1.6129952337957665E-3</v>
      </c>
    </row>
    <row r="2003" spans="1:6">
      <c r="A2003" s="111">
        <f t="shared" si="715"/>
        <v>45554</v>
      </c>
      <c r="B2003" s="112">
        <f t="shared" ref="B2003:F2003" si="768">IFERROR((B761/B760-1),"")</f>
        <v>-3.8102699237945181E-3</v>
      </c>
      <c r="C2003" s="112">
        <f t="shared" si="768"/>
        <v>7.9947527602666213E-3</v>
      </c>
      <c r="D2003" s="112">
        <f t="shared" si="768"/>
        <v>-9.9348335820212963E-3</v>
      </c>
      <c r="E2003" s="112">
        <f t="shared" si="768"/>
        <v>1.8372596251989837E-3</v>
      </c>
      <c r="F2003" s="112">
        <f t="shared" si="768"/>
        <v>1.5072376963103373E-3</v>
      </c>
    </row>
    <row r="2004" spans="1:6">
      <c r="A2004" s="111">
        <f t="shared" si="715"/>
        <v>45555</v>
      </c>
      <c r="B2004" s="112">
        <f t="shared" ref="B2004:F2004" si="769">IFERROR((B762/B761-1),"")</f>
        <v>5.4816800714923897E-2</v>
      </c>
      <c r="C2004" s="112">
        <f t="shared" si="769"/>
        <v>4.3018682399214025E-3</v>
      </c>
      <c r="D2004" s="112">
        <f t="shared" si="769"/>
        <v>7.4739909727723486E-3</v>
      </c>
      <c r="E2004" s="112">
        <f t="shared" si="769"/>
        <v>1.2397098378025939E-2</v>
      </c>
      <c r="F2004" s="112">
        <f t="shared" si="769"/>
        <v>1.4760503308965278E-2</v>
      </c>
    </row>
    <row r="2005" spans="1:6">
      <c r="A2005" s="111">
        <f t="shared" si="715"/>
        <v>45558</v>
      </c>
      <c r="B2005" s="112">
        <f t="shared" ref="B2005:F2005" si="770">IFERROR((B763/B762-1),"")</f>
        <v>3.3532710913804609E-2</v>
      </c>
      <c r="C2005" s="112">
        <f t="shared" si="770"/>
        <v>-8.6460725521392279E-3</v>
      </c>
      <c r="D2005" s="112">
        <f t="shared" si="770"/>
        <v>1.5768223899620848E-2</v>
      </c>
      <c r="E2005" s="112">
        <f t="shared" si="770"/>
        <v>1.0466061781966296E-4</v>
      </c>
      <c r="F2005" s="112">
        <f t="shared" si="770"/>
        <v>5.7423243424534753E-3</v>
      </c>
    </row>
    <row r="2006" spans="1:6">
      <c r="A2006" s="111">
        <f t="shared" si="715"/>
        <v>45559</v>
      </c>
      <c r="B2006" s="112">
        <f t="shared" ref="B2006:F2006" si="771">IFERROR((B764/B763-1),"")</f>
        <v>8.0333136599122223E-3</v>
      </c>
      <c r="C2006" s="112">
        <f t="shared" si="771"/>
        <v>1.6368204726010527E-2</v>
      </c>
      <c r="D2006" s="112">
        <f t="shared" si="771"/>
        <v>-6.1612905649610639E-4</v>
      </c>
      <c r="E2006" s="112">
        <f t="shared" si="771"/>
        <v>-1.2960458526533047E-3</v>
      </c>
      <c r="F2006" s="112">
        <f t="shared" si="771"/>
        <v>5.2045082607143911E-5</v>
      </c>
    </row>
    <row r="2007" spans="1:6">
      <c r="A2007" s="111">
        <f t="shared" si="715"/>
        <v>45560</v>
      </c>
      <c r="B2007" s="112">
        <f t="shared" ref="B2007:F2007" si="772">IFERROR((B765/B764-1),"")</f>
        <v>5.4483947565300284E-3</v>
      </c>
      <c r="C2007" s="112">
        <f t="shared" si="772"/>
        <v>-1.3032294941411893E-2</v>
      </c>
      <c r="D2007" s="112">
        <f t="shared" si="772"/>
        <v>6.1801258580376217E-3</v>
      </c>
      <c r="E2007" s="112">
        <f t="shared" si="772"/>
        <v>-3.6836123582372204E-3</v>
      </c>
      <c r="F2007" s="112">
        <f t="shared" si="772"/>
        <v>2.4575565527131804E-3</v>
      </c>
    </row>
    <row r="2008" spans="1:6">
      <c r="A2008" s="111">
        <f t="shared" si="715"/>
        <v>45561</v>
      </c>
      <c r="B2008" s="112">
        <f t="shared" ref="B2008:F2008" si="773">IFERROR((B766/B765-1),"")</f>
        <v>2.9132495430355343E-2</v>
      </c>
      <c r="C2008" s="112">
        <f t="shared" si="773"/>
        <v>-4.7127468581688037E-3</v>
      </c>
      <c r="D2008" s="112">
        <f t="shared" si="773"/>
        <v>7.9130831135256763E-3</v>
      </c>
      <c r="E2008" s="112">
        <f t="shared" si="773"/>
        <v>1.1941167904470751E-2</v>
      </c>
      <c r="F2008" s="112">
        <f t="shared" si="773"/>
        <v>8.1486993422204002E-3</v>
      </c>
    </row>
    <row r="2009" spans="1:6">
      <c r="A2009" s="111">
        <f t="shared" si="715"/>
        <v>45562</v>
      </c>
      <c r="B2009" s="112">
        <f t="shared" ref="B2009:F2009" si="774">IFERROR((B767/B766-1),"")</f>
        <v>8.0160950614582838E-4</v>
      </c>
      <c r="C2009" s="112">
        <f t="shared" si="774"/>
        <v>8.8882423537113286E-3</v>
      </c>
      <c r="D2009" s="112">
        <f t="shared" si="774"/>
        <v>8.1549137061842636E-4</v>
      </c>
      <c r="E2009" s="112">
        <f t="shared" si="774"/>
        <v>2.3504580994866409E-3</v>
      </c>
      <c r="F2009" s="112">
        <f t="shared" si="774"/>
        <v>-1.4151636116043198E-3</v>
      </c>
    </row>
    <row r="2010" spans="1:6">
      <c r="A2010" s="111">
        <f t="shared" si="715"/>
        <v>45565</v>
      </c>
      <c r="B2010" s="112">
        <f t="shared" ref="B2010:F2010" si="775">IFERROR((B768/B767-1),"")</f>
        <v>-2.7876808066213288E-2</v>
      </c>
      <c r="C2010" s="112">
        <f t="shared" si="775"/>
        <v>1.1693714087969598E-2</v>
      </c>
      <c r="D2010" s="112">
        <f t="shared" si="775"/>
        <v>2.518555830455238E-4</v>
      </c>
      <c r="E2010" s="112">
        <f t="shared" si="775"/>
        <v>1.1062723328228552E-2</v>
      </c>
      <c r="F2010" s="112">
        <f t="shared" si="775"/>
        <v>-1.4060915353747983E-2</v>
      </c>
    </row>
    <row r="2011" spans="1:6">
      <c r="A2011" s="111">
        <f t="shared" si="715"/>
        <v>45566</v>
      </c>
      <c r="B2011" s="112">
        <f t="shared" ref="B2011:F2011" si="776">IFERROR((B769/B768-1),"")</f>
        <v>2.2811722511228094E-2</v>
      </c>
      <c r="C2011" s="112">
        <f t="shared" si="776"/>
        <v>1.5677443721540119E-2</v>
      </c>
      <c r="D2011" s="112">
        <f t="shared" si="776"/>
        <v>-3.7028259968008292E-4</v>
      </c>
      <c r="E2011" s="112">
        <f t="shared" si="776"/>
        <v>1.7023894985129795E-2</v>
      </c>
      <c r="F2011" s="112">
        <f t="shared" si="776"/>
        <v>-5.4047038357885047E-4</v>
      </c>
    </row>
    <row r="2012" spans="1:6">
      <c r="A2012" s="111">
        <f t="shared" si="715"/>
        <v>45568</v>
      </c>
      <c r="B2012" s="112">
        <f t="shared" ref="B2012:F2012" si="777">IFERROR((B770/B769-1),"")</f>
        <v>-1.1262043910914565E-2</v>
      </c>
      <c r="C2012" s="112">
        <f t="shared" si="777"/>
        <v>-9.303369840523712E-3</v>
      </c>
      <c r="D2012" s="112">
        <f t="shared" si="777"/>
        <v>-1.9928583070334405E-3</v>
      </c>
      <c r="E2012" s="112">
        <f t="shared" si="777"/>
        <v>-1.7731789235268192E-2</v>
      </c>
      <c r="F2012" s="112">
        <f t="shared" si="777"/>
        <v>-2.1196345297303298E-2</v>
      </c>
    </row>
    <row r="2013" spans="1:6">
      <c r="A2013" s="111">
        <f t="shared" si="715"/>
        <v>45569</v>
      </c>
      <c r="B2013" s="112">
        <f t="shared" ref="B2013:F2013" si="778">IFERROR((B771/B770-1),"")</f>
        <v>-3.591226416601434E-2</v>
      </c>
      <c r="C2013" s="112">
        <f t="shared" si="778"/>
        <v>9.2632592791936919E-3</v>
      </c>
      <c r="D2013" s="112">
        <f t="shared" si="778"/>
        <v>-1.5202690163532817E-2</v>
      </c>
      <c r="E2013" s="112">
        <f t="shared" si="778"/>
        <v>-1.9860228214948483E-2</v>
      </c>
      <c r="F2013" s="112">
        <f t="shared" si="778"/>
        <v>-9.3266957358584257E-3</v>
      </c>
    </row>
    <row r="2014" spans="1:6">
      <c r="A2014" s="111">
        <f t="shared" si="715"/>
        <v>45572</v>
      </c>
      <c r="B2014" s="112">
        <f t="shared" ref="B2014:F2014" si="779">IFERROR((B772/B771-1),"")</f>
        <v>1.4167591840792637E-2</v>
      </c>
      <c r="C2014" s="112">
        <f t="shared" si="779"/>
        <v>1.1578053623930717E-2</v>
      </c>
      <c r="D2014" s="112">
        <f t="shared" si="779"/>
        <v>-3.5201447254362694E-3</v>
      </c>
      <c r="E2014" s="112">
        <f t="shared" si="779"/>
        <v>-1.3809216886883635E-2</v>
      </c>
      <c r="F2014" s="112">
        <f t="shared" si="779"/>
        <v>-8.7488906478615514E-3</v>
      </c>
    </row>
    <row r="2015" spans="1:6">
      <c r="A2015" s="111">
        <f t="shared" ref="A2015:A2078" si="780">A773</f>
        <v>45573</v>
      </c>
      <c r="B2015" s="112">
        <f t="shared" ref="B2015:F2015" si="781">IFERROR((B773/B772-1),"")</f>
        <v>3.452388732762568E-2</v>
      </c>
      <c r="C2015" s="112">
        <f t="shared" si="781"/>
        <v>1.5801777179681231E-2</v>
      </c>
      <c r="D2015" s="112">
        <f t="shared" si="781"/>
        <v>6.9819513154509849E-3</v>
      </c>
      <c r="E2015" s="112">
        <f t="shared" si="781"/>
        <v>1.3741156479257555E-2</v>
      </c>
      <c r="F2015" s="112">
        <f t="shared" si="781"/>
        <v>8.7676315497615676E-3</v>
      </c>
    </row>
    <row r="2016" spans="1:6">
      <c r="A2016" s="111">
        <f t="shared" si="780"/>
        <v>45574</v>
      </c>
      <c r="B2016" s="112">
        <f t="shared" ref="B2016:F2016" si="782">IFERROR((B774/B773-1),"")</f>
        <v>-4.0589415164963283E-3</v>
      </c>
      <c r="C2016" s="112">
        <f t="shared" si="782"/>
        <v>7.5662904007811616E-3</v>
      </c>
      <c r="D2016" s="112">
        <f t="shared" si="782"/>
        <v>1.3221054529337639E-3</v>
      </c>
      <c r="E2016" s="112">
        <f t="shared" si="782"/>
        <v>-1.7270001934111212E-2</v>
      </c>
      <c r="F2016" s="112">
        <f t="shared" si="782"/>
        <v>-1.2473438971101203E-3</v>
      </c>
    </row>
    <row r="2017" spans="1:6">
      <c r="A2017" s="111">
        <f t="shared" si="780"/>
        <v>45575</v>
      </c>
      <c r="B2017" s="112">
        <f t="shared" ref="B2017:F2017" si="783">IFERROR((B775/B774-1),"")</f>
        <v>1.3098636219473603E-2</v>
      </c>
      <c r="C2017" s="112">
        <f t="shared" si="783"/>
        <v>-1.2992470195937633E-2</v>
      </c>
      <c r="D2017" s="112">
        <f t="shared" si="783"/>
        <v>-1.2265842442065522E-2</v>
      </c>
      <c r="E2017" s="112">
        <f t="shared" si="783"/>
        <v>-1.559719545696836E-2</v>
      </c>
      <c r="F2017" s="112">
        <f t="shared" si="783"/>
        <v>6.6047686429593355E-4</v>
      </c>
    </row>
    <row r="2018" spans="1:6">
      <c r="A2018" s="111">
        <f t="shared" si="780"/>
        <v>45576</v>
      </c>
      <c r="B2018" s="112">
        <f t="shared" ref="B2018:F2018" si="784">IFERROR((B776/B775-1),"")</f>
        <v>-1.8767805152928752E-2</v>
      </c>
      <c r="C2018" s="112">
        <f t="shared" si="784"/>
        <v>1.3609833138776395E-2</v>
      </c>
      <c r="D2018" s="112">
        <f t="shared" si="784"/>
        <v>2.4456563017423161E-3</v>
      </c>
      <c r="E2018" s="112">
        <f t="shared" si="784"/>
        <v>-3.9402547420507306E-3</v>
      </c>
      <c r="F2018" s="112">
        <f t="shared" si="784"/>
        <v>-1.3680848212589414E-3</v>
      </c>
    </row>
    <row r="2019" spans="1:6">
      <c r="A2019" s="111">
        <f t="shared" si="780"/>
        <v>45579</v>
      </c>
      <c r="B2019" s="112">
        <f t="shared" ref="B2019:F2019" si="785">IFERROR((B777/B776-1),"")</f>
        <v>6.5563833011630379E-3</v>
      </c>
      <c r="C2019" s="112">
        <f t="shared" si="785"/>
        <v>6.977752486247768E-3</v>
      </c>
      <c r="D2019" s="112">
        <f t="shared" si="785"/>
        <v>9.1980846163171037E-3</v>
      </c>
      <c r="E2019" s="112">
        <f t="shared" si="785"/>
        <v>-7.5269716484083204E-5</v>
      </c>
      <c r="F2019" s="112">
        <f t="shared" si="785"/>
        <v>6.5573770491802463E-3</v>
      </c>
    </row>
    <row r="2020" spans="1:6">
      <c r="A2020" s="111">
        <f t="shared" si="780"/>
        <v>45580</v>
      </c>
      <c r="B2020" s="112">
        <f t="shared" ref="B2020:F2020" si="786">IFERROR((B778/B777-1),"")</f>
        <v>2.8527053155413817E-4</v>
      </c>
      <c r="C2020" s="112">
        <f t="shared" si="786"/>
        <v>5.0927732404031367E-3</v>
      </c>
      <c r="D2020" s="112">
        <f t="shared" si="786"/>
        <v>-7.244853526329309E-3</v>
      </c>
      <c r="E2020" s="112">
        <f t="shared" si="786"/>
        <v>1.5163807596122458E-2</v>
      </c>
      <c r="F2020" s="112">
        <f t="shared" si="786"/>
        <v>-2.809620362982379E-3</v>
      </c>
    </row>
    <row r="2021" spans="1:6">
      <c r="A2021" s="111">
        <f t="shared" si="780"/>
        <v>45581</v>
      </c>
      <c r="B2021" s="112">
        <f t="shared" ref="B2021:F2021" si="787">IFERROR((B779/B778-1),"")</f>
        <v>-2.7821788453007201E-2</v>
      </c>
      <c r="C2021" s="112">
        <f t="shared" si="787"/>
        <v>-3.5569180516603294E-2</v>
      </c>
      <c r="D2021" s="112">
        <f t="shared" si="787"/>
        <v>1.5011381425211745E-2</v>
      </c>
      <c r="E2021" s="112">
        <f t="shared" si="787"/>
        <v>3.5262906388520143E-3</v>
      </c>
      <c r="F2021" s="112">
        <f t="shared" si="787"/>
        <v>-3.4341221238478603E-3</v>
      </c>
    </row>
    <row r="2022" spans="1:6">
      <c r="A2022" s="111">
        <f t="shared" si="780"/>
        <v>45582</v>
      </c>
      <c r="B2022" s="112">
        <f t="shared" ref="B2022:F2022" si="788">IFERROR((B780/B779-1),"")</f>
        <v>-3.3702737940026095E-2</v>
      </c>
      <c r="C2022" s="112">
        <f t="shared" si="788"/>
        <v>7.3567685741056099E-3</v>
      </c>
      <c r="D2022" s="112">
        <f t="shared" si="788"/>
        <v>-1.0207274732153548E-3</v>
      </c>
      <c r="E2022" s="112">
        <f t="shared" si="788"/>
        <v>-1.6682813090097115E-2</v>
      </c>
      <c r="F2022" s="112">
        <f t="shared" si="788"/>
        <v>-8.8681806714108191E-3</v>
      </c>
    </row>
    <row r="2023" spans="1:6">
      <c r="A2023" s="111">
        <f t="shared" si="780"/>
        <v>45583</v>
      </c>
      <c r="B2023" s="112">
        <f t="shared" ref="B2023:F2023" si="789">IFERROR((B781/B780-1),"")</f>
        <v>-1.1805977197598683E-4</v>
      </c>
      <c r="C2023" s="112">
        <f t="shared" si="789"/>
        <v>-6.4556133521651571E-3</v>
      </c>
      <c r="D2023" s="112">
        <f t="shared" si="789"/>
        <v>5.5265100946444434E-3</v>
      </c>
      <c r="E2023" s="112">
        <f t="shared" si="789"/>
        <v>-1.6915755197461801E-2</v>
      </c>
      <c r="F2023" s="112">
        <f t="shared" si="789"/>
        <v>4.2101265260194864E-3</v>
      </c>
    </row>
    <row r="2024" spans="1:6">
      <c r="A2024" s="111">
        <f t="shared" si="780"/>
        <v>45586</v>
      </c>
      <c r="B2024" s="112">
        <f t="shared" ref="B2024:F2024" si="790">IFERROR((B782/B781-1),"")</f>
        <v>1.145315003795222E-2</v>
      </c>
      <c r="C2024" s="112">
        <f t="shared" si="790"/>
        <v>-5.3415899256629262E-2</v>
      </c>
      <c r="D2024" s="112">
        <f t="shared" si="790"/>
        <v>-6.4826215306107438E-3</v>
      </c>
      <c r="E2024" s="112">
        <f t="shared" si="790"/>
        <v>-1.8497757847533602E-2</v>
      </c>
      <c r="F2024" s="112">
        <f t="shared" si="790"/>
        <v>-2.9351353199982277E-3</v>
      </c>
    </row>
    <row r="2025" spans="1:6">
      <c r="A2025" s="111">
        <f t="shared" si="780"/>
        <v>45587</v>
      </c>
      <c r="B2025" s="112">
        <f t="shared" ref="B2025:F2025" si="791">IFERROR((B783/B782-1),"")</f>
        <v>-3.7022213327996822E-2</v>
      </c>
      <c r="C2025" s="112">
        <f t="shared" si="791"/>
        <v>-3.6628694919600413E-3</v>
      </c>
      <c r="D2025" s="112">
        <f t="shared" si="791"/>
        <v>-5.2259085615313783E-3</v>
      </c>
      <c r="E2025" s="112">
        <f t="shared" si="791"/>
        <v>-8.8780437152795599E-3</v>
      </c>
      <c r="F2025" s="112">
        <f t="shared" si="791"/>
        <v>-1.2469180141317371E-2</v>
      </c>
    </row>
    <row r="2026" spans="1:6">
      <c r="A2026" s="111">
        <f t="shared" si="780"/>
        <v>45588</v>
      </c>
      <c r="B2026" s="112">
        <f t="shared" ref="B2026:F2026" si="792">IFERROR((B784/B783-1),"")</f>
        <v>-3.2453588251593168E-2</v>
      </c>
      <c r="C2026" s="112">
        <f t="shared" si="792"/>
        <v>0.11140031616484691</v>
      </c>
      <c r="D2026" s="112">
        <f t="shared" si="792"/>
        <v>-8.1802353506245096E-3</v>
      </c>
      <c r="E2026" s="112">
        <f t="shared" si="792"/>
        <v>3.8152610441768431E-3</v>
      </c>
      <c r="F2026" s="112">
        <f t="shared" si="792"/>
        <v>-1.4955806816742134E-3</v>
      </c>
    </row>
    <row r="2027" spans="1:6">
      <c r="A2027" s="111">
        <f t="shared" si="780"/>
        <v>45589</v>
      </c>
      <c r="B2027" s="112">
        <f t="shared" ref="B2027:F2027" si="793">IFERROR((B785/B784-1),"")</f>
        <v>1.1759441560766026E-2</v>
      </c>
      <c r="C2027" s="112">
        <f t="shared" si="793"/>
        <v>1.8689301119373392E-2</v>
      </c>
      <c r="D2027" s="112">
        <f t="shared" si="793"/>
        <v>-3.8136170341560582E-3</v>
      </c>
      <c r="E2027" s="112">
        <f t="shared" si="793"/>
        <v>-2.3735181818972606E-2</v>
      </c>
      <c r="F2027" s="112">
        <f t="shared" si="793"/>
        <v>-1.4773587608192251E-3</v>
      </c>
    </row>
    <row r="2028" spans="1:6">
      <c r="A2028" s="111">
        <f t="shared" si="780"/>
        <v>45590</v>
      </c>
      <c r="B2028" s="112">
        <f t="shared" ref="B2028:F2028" si="794">IFERROR((B786/B785-1),"")</f>
        <v>-3.7327294921011167E-2</v>
      </c>
      <c r="C2028" s="112">
        <f t="shared" si="794"/>
        <v>5.2993551152415996E-3</v>
      </c>
      <c r="D2028" s="112">
        <f t="shared" si="794"/>
        <v>-1.0330107706564062E-2</v>
      </c>
      <c r="E2028" s="112">
        <f t="shared" si="794"/>
        <v>1.0156082959161816E-2</v>
      </c>
      <c r="F2028" s="112">
        <f t="shared" si="794"/>
        <v>-8.9592367025419506E-3</v>
      </c>
    </row>
    <row r="2029" spans="1:6">
      <c r="A2029" s="111">
        <f t="shared" si="780"/>
        <v>45593</v>
      </c>
      <c r="B2029" s="112">
        <f t="shared" ref="B2029:F2029" si="795">IFERROR((B787/B786-1),"")</f>
        <v>2.2107062131319299E-2</v>
      </c>
      <c r="C2029" s="112">
        <f t="shared" si="795"/>
        <v>-4.4574507257892915E-3</v>
      </c>
      <c r="D2029" s="112">
        <f t="shared" si="795"/>
        <v>6.5697576250631773E-3</v>
      </c>
      <c r="E2029" s="112">
        <f t="shared" si="795"/>
        <v>9.3307933820159228E-3</v>
      </c>
      <c r="F2029" s="112">
        <f t="shared" si="795"/>
        <v>6.5485840005294893E-3</v>
      </c>
    </row>
    <row r="2030" spans="1:6">
      <c r="A2030" s="111">
        <f t="shared" si="780"/>
        <v>45594</v>
      </c>
      <c r="B2030" s="112">
        <f t="shared" ref="B2030:F2030" si="796">IFERROR((B788/B787-1),"")</f>
        <v>-1.2261776339446251E-2</v>
      </c>
      <c r="C2030" s="112">
        <f t="shared" si="796"/>
        <v>6.2813499711240617E-3</v>
      </c>
      <c r="D2030" s="112">
        <f t="shared" si="796"/>
        <v>-2.8059473884864627E-2</v>
      </c>
      <c r="E2030" s="112">
        <f t="shared" si="796"/>
        <v>-9.5765688621708422E-3</v>
      </c>
      <c r="F2030" s="112">
        <f t="shared" si="796"/>
        <v>5.2466910307056303E-3</v>
      </c>
    </row>
    <row r="2031" spans="1:6">
      <c r="A2031" s="111">
        <f t="shared" si="780"/>
        <v>45595</v>
      </c>
      <c r="B2031" s="112">
        <f t="shared" ref="B2031:F2031" si="797">IFERROR((B789/B788-1),"")</f>
        <v>-1.427063234919379E-2</v>
      </c>
      <c r="C2031" s="112">
        <f t="shared" si="797"/>
        <v>-1.4638078349186179E-3</v>
      </c>
      <c r="D2031" s="112">
        <f t="shared" si="797"/>
        <v>-1.9494783086216438E-2</v>
      </c>
      <c r="E2031" s="112">
        <f t="shared" si="797"/>
        <v>2.029113365681523E-2</v>
      </c>
      <c r="F2031" s="112">
        <f t="shared" si="797"/>
        <v>-5.1498251716097787E-3</v>
      </c>
    </row>
    <row r="2032" spans="1:6">
      <c r="A2032" s="111">
        <f t="shared" si="780"/>
        <v>45596</v>
      </c>
      <c r="B2032" s="112">
        <f t="shared" ref="B2032:F2032" si="798">IFERROR((B790/B789-1),"")</f>
        <v>7.7002622151642885E-3</v>
      </c>
      <c r="C2032" s="112">
        <f t="shared" si="798"/>
        <v>-1.5279499896672877E-2</v>
      </c>
      <c r="D2032" s="112">
        <f t="shared" si="798"/>
        <v>1.9482337880545764E-2</v>
      </c>
      <c r="E2032" s="112">
        <f t="shared" si="798"/>
        <v>-9.6152183311717376E-3</v>
      </c>
      <c r="F2032" s="112">
        <f t="shared" si="798"/>
        <v>-5.5667735514577377E-3</v>
      </c>
    </row>
    <row r="2033" spans="1:6">
      <c r="A2033" s="111">
        <f t="shared" si="780"/>
        <v>45597</v>
      </c>
      <c r="B2033" s="112">
        <f t="shared" ref="B2033:F2033" si="799">IFERROR((B791/B790-1),"")</f>
        <v>3.2654706712356374E-2</v>
      </c>
      <c r="C2033" s="112">
        <f t="shared" si="799"/>
        <v>-9.3650398079773156E-3</v>
      </c>
      <c r="D2033" s="112">
        <f t="shared" si="799"/>
        <v>-1.1458169832051612E-2</v>
      </c>
      <c r="E2033" s="112">
        <f t="shared" si="799"/>
        <v>-5.9107021250588421E-3</v>
      </c>
      <c r="F2033" s="112">
        <f t="shared" si="799"/>
        <v>4.0900048956118429E-3</v>
      </c>
    </row>
    <row r="2034" spans="1:6">
      <c r="A2034" s="111">
        <f t="shared" si="780"/>
        <v>45600</v>
      </c>
      <c r="B2034" s="112">
        <f t="shared" ref="B2034:F2034" si="800">IFERROR((B792/B791-1),"")</f>
        <v>2.3530246836902968E-2</v>
      </c>
      <c r="C2034" s="112">
        <f t="shared" si="800"/>
        <v>-1.2512081772080297E-3</v>
      </c>
      <c r="D2034" s="112">
        <f t="shared" si="800"/>
        <v>6.9069545887583406E-3</v>
      </c>
      <c r="E2034" s="112">
        <f t="shared" si="800"/>
        <v>-1.1918040417702391E-2</v>
      </c>
      <c r="F2034" s="112">
        <f t="shared" si="800"/>
        <v>-1.2713773460306443E-2</v>
      </c>
    </row>
    <row r="2035" spans="1:6">
      <c r="A2035" s="111">
        <f t="shared" si="780"/>
        <v>45601</v>
      </c>
      <c r="B2035" s="112">
        <f t="shared" ref="B2035:F2035" si="801">IFERROR((B793/B792-1),"")</f>
        <v>5.3745730681877824E-3</v>
      </c>
      <c r="C2035" s="112">
        <f t="shared" si="801"/>
        <v>4.3084877208099392E-4</v>
      </c>
      <c r="D2035" s="112">
        <f t="shared" si="801"/>
        <v>3.0749822597178067E-3</v>
      </c>
      <c r="E2035" s="112">
        <f t="shared" si="801"/>
        <v>-3.5732062859986646E-3</v>
      </c>
      <c r="F2035" s="112">
        <f t="shared" si="801"/>
        <v>9.0830098331551312E-3</v>
      </c>
    </row>
    <row r="2036" spans="1:6">
      <c r="A2036" s="111">
        <f t="shared" si="780"/>
        <v>45602</v>
      </c>
      <c r="B2036" s="112">
        <f t="shared" ref="B2036:F2036" si="802">IFERROR((B794/B793-1),"")</f>
        <v>1.2105744192864254E-2</v>
      </c>
      <c r="C2036" s="112">
        <f t="shared" si="802"/>
        <v>3.7500828198502756E-2</v>
      </c>
      <c r="D2036" s="112">
        <f t="shared" si="802"/>
        <v>2.3502593931771676E-2</v>
      </c>
      <c r="E2036" s="112">
        <f t="shared" si="802"/>
        <v>1.6021123619560651E-2</v>
      </c>
      <c r="F2036" s="112">
        <f t="shared" si="802"/>
        <v>1.1181871120417242E-2</v>
      </c>
    </row>
    <row r="2037" spans="1:6">
      <c r="A2037" s="111">
        <f t="shared" si="780"/>
        <v>45603</v>
      </c>
      <c r="B2037" s="112">
        <f t="shared" ref="B2037:F2037" si="803">IFERROR((B795/B794-1),"")</f>
        <v>-1.472116678877522E-2</v>
      </c>
      <c r="C2037" s="112">
        <f t="shared" si="803"/>
        <v>3.0461715307490422E-3</v>
      </c>
      <c r="D2037" s="112">
        <f t="shared" si="803"/>
        <v>-1.1327855003456011E-2</v>
      </c>
      <c r="E2037" s="112">
        <f t="shared" si="803"/>
        <v>-1.0535742506453394E-3</v>
      </c>
      <c r="F2037" s="112">
        <f t="shared" si="803"/>
        <v>-1.1627978214388546E-2</v>
      </c>
    </row>
    <row r="2038" spans="1:6">
      <c r="A2038" s="111">
        <f t="shared" si="780"/>
        <v>45604</v>
      </c>
      <c r="B2038" s="112">
        <f t="shared" ref="B2038:F2038" si="804">IFERROR((B796/B795-1),"")</f>
        <v>2.8896536220104796E-2</v>
      </c>
      <c r="C2038" s="112">
        <f t="shared" si="804"/>
        <v>1.279071988387126E-2</v>
      </c>
      <c r="D2038" s="112">
        <f t="shared" si="804"/>
        <v>-2.8741212568452745E-3</v>
      </c>
      <c r="E2038" s="112">
        <f t="shared" si="804"/>
        <v>1.0239237813988611E-2</v>
      </c>
      <c r="F2038" s="112">
        <f t="shared" si="804"/>
        <v>-2.1136931363857636E-3</v>
      </c>
    </row>
    <row r="2039" spans="1:6">
      <c r="A2039" s="111">
        <f t="shared" si="780"/>
        <v>45607</v>
      </c>
      <c r="B2039" s="112">
        <f t="shared" ref="B2039:F2039" si="805">IFERROR((B797/B796-1),"")</f>
        <v>-1.4891256848969747E-2</v>
      </c>
      <c r="C2039" s="112">
        <f t="shared" si="805"/>
        <v>1.4219618295657543E-2</v>
      </c>
      <c r="D2039" s="112">
        <f t="shared" si="805"/>
        <v>3.3108713434346626E-3</v>
      </c>
      <c r="E2039" s="112">
        <f t="shared" si="805"/>
        <v>-5.4374777063414093E-2</v>
      </c>
      <c r="F2039" s="112">
        <f t="shared" si="805"/>
        <v>-2.8573558277644739E-4</v>
      </c>
    </row>
    <row r="2040" spans="1:6">
      <c r="A2040" s="111">
        <f t="shared" si="780"/>
        <v>45608</v>
      </c>
      <c r="B2040" s="112">
        <f t="shared" ref="B2040:F2040" si="806">IFERROR((B798/B797-1),"")</f>
        <v>-1.0936327032006976E-2</v>
      </c>
      <c r="C2040" s="112">
        <f t="shared" si="806"/>
        <v>4.0102145805698264E-3</v>
      </c>
      <c r="D2040" s="112">
        <f t="shared" si="806"/>
        <v>-1.8634987188446361E-2</v>
      </c>
      <c r="E2040" s="112">
        <f t="shared" si="806"/>
        <v>-7.4908227760757229E-2</v>
      </c>
      <c r="F2040" s="112">
        <f t="shared" si="806"/>
        <v>-1.0680866399075395E-2</v>
      </c>
    </row>
    <row r="2041" spans="1:6">
      <c r="A2041" s="111">
        <f t="shared" si="780"/>
        <v>45609</v>
      </c>
      <c r="B2041" s="112">
        <f t="shared" ref="B2041:F2041" si="807">IFERROR((B799/B798-1),"")</f>
        <v>-3.4362008590502313E-2</v>
      </c>
      <c r="C2041" s="112">
        <f t="shared" si="807"/>
        <v>-5.3153069728677504E-3</v>
      </c>
      <c r="D2041" s="112">
        <f t="shared" si="807"/>
        <v>-1.4953714692618192E-2</v>
      </c>
      <c r="E2041" s="112">
        <f t="shared" si="807"/>
        <v>3.7692315342463534E-3</v>
      </c>
      <c r="F2041" s="112">
        <f t="shared" si="807"/>
        <v>-1.3582627300494754E-2</v>
      </c>
    </row>
    <row r="2042" spans="1:6">
      <c r="A2042" s="111">
        <f t="shared" si="780"/>
        <v>45610</v>
      </c>
      <c r="B2042" s="112">
        <f t="shared" ref="B2042:F2042" si="808">IFERROR((B800/B799-1),"")</f>
        <v>2.9475338966398201E-3</v>
      </c>
      <c r="C2042" s="112">
        <f t="shared" si="808"/>
        <v>2.2094784141406532E-3</v>
      </c>
      <c r="D2042" s="112">
        <f t="shared" si="808"/>
        <v>-1.4698795180722812E-2</v>
      </c>
      <c r="E2042" s="112">
        <f t="shared" si="808"/>
        <v>-2.5938769444169174E-2</v>
      </c>
      <c r="F2042" s="112">
        <f t="shared" si="808"/>
        <v>-1.1184661520731165E-3</v>
      </c>
    </row>
    <row r="2043" spans="1:6">
      <c r="A2043" s="111">
        <f t="shared" si="780"/>
        <v>45614</v>
      </c>
      <c r="B2043" s="112">
        <f t="shared" ref="B2043:F2043" si="809">IFERROR((B801/B800-1),"")</f>
        <v>1.4142205756625836E-2</v>
      </c>
      <c r="C2043" s="112">
        <f t="shared" si="809"/>
        <v>-8.3477830071835291E-3</v>
      </c>
      <c r="D2043" s="112">
        <f t="shared" si="809"/>
        <v>-2.7023722181462539E-2</v>
      </c>
      <c r="E2043" s="112">
        <f t="shared" si="809"/>
        <v>-8.6459435267316476E-4</v>
      </c>
      <c r="F2043" s="112">
        <f t="shared" si="809"/>
        <v>-3.3527814487925856E-3</v>
      </c>
    </row>
    <row r="2044" spans="1:6">
      <c r="A2044" s="111">
        <f t="shared" si="780"/>
        <v>45615</v>
      </c>
      <c r="B2044" s="112">
        <f t="shared" ref="B2044:F2044" si="810">IFERROR((B802/B801-1),"")</f>
        <v>3.5846007938459268E-2</v>
      </c>
      <c r="C2044" s="112">
        <f t="shared" si="810"/>
        <v>1.3726175904878568E-2</v>
      </c>
      <c r="D2044" s="112">
        <f t="shared" si="810"/>
        <v>1.6672950441958934E-2</v>
      </c>
      <c r="E2044" s="112">
        <f t="shared" si="810"/>
        <v>-3.7973266006292583E-3</v>
      </c>
      <c r="F2044" s="112">
        <f t="shared" si="810"/>
        <v>2.758614808687776E-3</v>
      </c>
    </row>
    <row r="2045" spans="1:6">
      <c r="A2045" s="111">
        <f t="shared" si="780"/>
        <v>45617</v>
      </c>
      <c r="B2045" s="112">
        <f t="shared" ref="B2045:F2045" si="811">IFERROR((B803/B802-1),"")</f>
        <v>-4.3066176096575592E-3</v>
      </c>
      <c r="C2045" s="112">
        <f t="shared" si="811"/>
        <v>1.1532064313435564E-2</v>
      </c>
      <c r="D2045" s="112">
        <f t="shared" si="811"/>
        <v>-1.4916148172565924E-2</v>
      </c>
      <c r="E2045" s="112">
        <f t="shared" si="811"/>
        <v>-1.826190038220199E-2</v>
      </c>
      <c r="F2045" s="112">
        <f t="shared" si="811"/>
        <v>-7.1688245423814356E-3</v>
      </c>
    </row>
    <row r="2046" spans="1:6">
      <c r="A2046" s="111">
        <f t="shared" si="780"/>
        <v>45618</v>
      </c>
      <c r="B2046" s="112">
        <f t="shared" ref="B2046:F2046" si="812">IFERROR((B804/B803-1),"")</f>
        <v>2.6121753937845771E-2</v>
      </c>
      <c r="C2046" s="112">
        <f t="shared" si="812"/>
        <v>1.4299460420701404E-2</v>
      </c>
      <c r="D2046" s="112">
        <f t="shared" si="812"/>
        <v>1.5978583678420755E-2</v>
      </c>
      <c r="E2046" s="112">
        <f t="shared" si="812"/>
        <v>9.3684615945122118E-3</v>
      </c>
      <c r="F2046" s="112">
        <f t="shared" si="812"/>
        <v>2.3869481239748191E-2</v>
      </c>
    </row>
    <row r="2047" spans="1:6">
      <c r="A2047" s="111">
        <f t="shared" si="780"/>
        <v>45621</v>
      </c>
      <c r="B2047" s="112">
        <f t="shared" ref="B2047:F2047" si="813">IFERROR((B805/B804-1),"")</f>
        <v>1.0836555535272741E-2</v>
      </c>
      <c r="C2047" s="112">
        <f t="shared" si="813"/>
        <v>3.4115881116781654E-2</v>
      </c>
      <c r="D2047" s="112">
        <f t="shared" si="813"/>
        <v>-4.2406027419820136E-3</v>
      </c>
      <c r="E2047" s="112">
        <f t="shared" si="813"/>
        <v>1.1467818948714292E-2</v>
      </c>
      <c r="F2047" s="112">
        <f t="shared" si="813"/>
        <v>1.3161279528176584E-2</v>
      </c>
    </row>
    <row r="2048" spans="1:6">
      <c r="A2048" s="111">
        <f t="shared" si="780"/>
        <v>45622</v>
      </c>
      <c r="B2048" s="112">
        <f t="shared" ref="B2048:F2048" si="814">IFERROR((B806/B805-1),"")</f>
        <v>-1.9831888626214877E-2</v>
      </c>
      <c r="C2048" s="112">
        <f t="shared" si="814"/>
        <v>5.7480607552595764E-4</v>
      </c>
      <c r="D2048" s="112">
        <f t="shared" si="814"/>
        <v>-5.3750103365568513E-4</v>
      </c>
      <c r="E2048" s="112">
        <f t="shared" si="814"/>
        <v>2.2359526504144744E-2</v>
      </c>
      <c r="F2048" s="112">
        <f t="shared" si="814"/>
        <v>-1.1312077087264338E-3</v>
      </c>
    </row>
    <row r="2049" spans="1:6">
      <c r="A2049" s="111">
        <f t="shared" si="780"/>
        <v>45623</v>
      </c>
      <c r="B2049" s="112">
        <f t="shared" ref="B2049:F2049" si="815">IFERROR((B807/B806-1),"")</f>
        <v>6.5657242395820159E-3</v>
      </c>
      <c r="C2049" s="112">
        <f t="shared" si="815"/>
        <v>6.5397403833320489E-3</v>
      </c>
      <c r="D2049" s="112">
        <f t="shared" si="815"/>
        <v>-7.239482066768721E-3</v>
      </c>
      <c r="E2049" s="112">
        <f t="shared" si="815"/>
        <v>-5.8740226583693378E-3</v>
      </c>
      <c r="F2049" s="112">
        <f t="shared" si="815"/>
        <v>3.3230692926078387E-3</v>
      </c>
    </row>
    <row r="2050" spans="1:6">
      <c r="A2050" s="111">
        <f t="shared" si="780"/>
        <v>45624</v>
      </c>
      <c r="B2050" s="112">
        <f t="shared" ref="B2050:F2050" si="816">IFERROR((B808/B807-1),"")</f>
        <v>-3.5310170394036278E-2</v>
      </c>
      <c r="C2050" s="112">
        <f t="shared" si="816"/>
        <v>-1.3663249893345331E-3</v>
      </c>
      <c r="D2050" s="112">
        <f t="shared" si="816"/>
        <v>-6.6255521293441255E-3</v>
      </c>
      <c r="E2050" s="112">
        <f t="shared" si="816"/>
        <v>-1.21384789783614E-2</v>
      </c>
      <c r="F2050" s="112">
        <f t="shared" si="816"/>
        <v>-1.4861029293632533E-2</v>
      </c>
    </row>
    <row r="2051" spans="1:6">
      <c r="A2051" s="111">
        <f t="shared" si="780"/>
        <v>45625</v>
      </c>
      <c r="B2051" s="112">
        <f t="shared" ref="B2051:F2051" si="817">IFERROR((B809/B808-1),"")</f>
        <v>2.3251802532169519E-2</v>
      </c>
      <c r="C2051" s="112">
        <f t="shared" si="817"/>
        <v>2.8633941612159486E-3</v>
      </c>
      <c r="D2051" s="112">
        <f t="shared" si="817"/>
        <v>8.6832501363311998E-3</v>
      </c>
      <c r="E2051" s="112">
        <f t="shared" si="817"/>
        <v>3.5542737603200258E-3</v>
      </c>
      <c r="F2051" s="112">
        <f t="shared" si="817"/>
        <v>9.0720347576642713E-3</v>
      </c>
    </row>
    <row r="2052" spans="1:6">
      <c r="A2052" s="111">
        <f t="shared" si="780"/>
        <v>45628</v>
      </c>
      <c r="B2052" s="112">
        <f t="shared" ref="B2052:F2052" si="818">IFERROR((B810/B809-1),"")</f>
        <v>1.6958295404740253E-2</v>
      </c>
      <c r="C2052" s="112">
        <f t="shared" si="818"/>
        <v>2.8609750341073159E-3</v>
      </c>
      <c r="D2052" s="112">
        <f t="shared" si="818"/>
        <v>1.6177326790318691E-2</v>
      </c>
      <c r="E2052" s="112">
        <f t="shared" si="818"/>
        <v>-6.8607510397376004E-3</v>
      </c>
      <c r="F2052" s="112">
        <f t="shared" si="818"/>
        <v>6.0067713448621607E-3</v>
      </c>
    </row>
    <row r="2053" spans="1:6">
      <c r="A2053" s="111">
        <f t="shared" si="780"/>
        <v>45629</v>
      </c>
      <c r="B2053" s="112">
        <f t="shared" ref="B2053:F2053" si="819">IFERROR((B811/B810-1),"")</f>
        <v>3.6135791009150875E-3</v>
      </c>
      <c r="C2053" s="112">
        <f t="shared" si="819"/>
        <v>8.6675008897096895E-4</v>
      </c>
      <c r="D2053" s="112">
        <f t="shared" si="819"/>
        <v>2.2508696541845286E-3</v>
      </c>
      <c r="E2053" s="112">
        <f t="shared" si="819"/>
        <v>4.7888328493561616E-4</v>
      </c>
      <c r="F2053" s="112">
        <f t="shared" si="819"/>
        <v>7.4600274756395635E-3</v>
      </c>
    </row>
    <row r="2054" spans="1:6">
      <c r="A2054" s="111">
        <f t="shared" si="780"/>
        <v>45630</v>
      </c>
      <c r="B2054" s="112">
        <f t="shared" ref="B2054:F2054" si="820">IFERROR((B812/B811-1),"")</f>
        <v>1.4699567271165837E-3</v>
      </c>
      <c r="C2054" s="112">
        <f t="shared" si="820"/>
        <v>5.4655464112636221E-3</v>
      </c>
      <c r="D2054" s="112">
        <f t="shared" si="820"/>
        <v>-7.309105757452028E-3</v>
      </c>
      <c r="E2054" s="112">
        <f t="shared" si="820"/>
        <v>-1.1823773830861972E-2</v>
      </c>
      <c r="F2054" s="112">
        <f t="shared" si="820"/>
        <v>4.2114473681520437E-4</v>
      </c>
    </row>
    <row r="2055" spans="1:6">
      <c r="A2055" s="111">
        <f t="shared" si="780"/>
        <v>45631</v>
      </c>
      <c r="B2055" s="112">
        <f t="shared" ref="B2055:F2055" si="821">IFERROR((B813/B812-1),"")</f>
        <v>1.3144223633215102E-2</v>
      </c>
      <c r="C2055" s="112">
        <f t="shared" si="821"/>
        <v>5.9206698684675096E-3</v>
      </c>
      <c r="D2055" s="112">
        <f t="shared" si="821"/>
        <v>1.9990950598494539E-2</v>
      </c>
      <c r="E2055" s="112">
        <f t="shared" si="821"/>
        <v>4.2151477362903922E-3</v>
      </c>
      <c r="F2055" s="112">
        <f t="shared" si="821"/>
        <v>9.8477773531773227E-3</v>
      </c>
    </row>
    <row r="2056" spans="1:6">
      <c r="A2056" s="111">
        <f t="shared" si="780"/>
        <v>45632</v>
      </c>
      <c r="B2056" s="112">
        <f t="shared" ref="B2056:F2056" si="822">IFERROR((B814/B813-1),"")</f>
        <v>4.5578851412941823E-4</v>
      </c>
      <c r="C2056" s="112">
        <f t="shared" si="822"/>
        <v>9.4864932296037097E-3</v>
      </c>
      <c r="D2056" s="112">
        <f t="shared" si="822"/>
        <v>1.1170706133806663E-2</v>
      </c>
      <c r="E2056" s="112">
        <f t="shared" si="822"/>
        <v>-2.3604269293919788E-4</v>
      </c>
      <c r="F2056" s="112">
        <f t="shared" si="822"/>
        <v>-1.2384452251057443E-3</v>
      </c>
    </row>
    <row r="2057" spans="1:6">
      <c r="A2057" s="111">
        <f t="shared" si="780"/>
        <v>45635</v>
      </c>
      <c r="B2057" s="112">
        <f t="shared" ref="B2057:F2057" si="823">IFERROR((B815/B814-1),"")</f>
        <v>-7.0777741620565715E-3</v>
      </c>
      <c r="C2057" s="112">
        <f t="shared" si="823"/>
        <v>1.9266523993282103E-3</v>
      </c>
      <c r="D2057" s="112">
        <f t="shared" si="823"/>
        <v>1.1565765334609068E-3</v>
      </c>
      <c r="E2057" s="112">
        <f t="shared" si="823"/>
        <v>-1.5982836671217582E-2</v>
      </c>
      <c r="F2057" s="112">
        <f t="shared" si="823"/>
        <v>-2.3827083451523068E-3</v>
      </c>
    </row>
    <row r="2058" spans="1:6">
      <c r="A2058" s="111">
        <f t="shared" si="780"/>
        <v>45636</v>
      </c>
      <c r="B2058" s="112">
        <f t="shared" ref="B2058:F2058" si="824">IFERROR((B816/B815-1),"")</f>
        <v>5.1290454731667268E-3</v>
      </c>
      <c r="C2058" s="112">
        <f t="shared" si="824"/>
        <v>1.0085663669185729E-2</v>
      </c>
      <c r="D2058" s="112">
        <f t="shared" si="824"/>
        <v>-1.1791419352268795E-2</v>
      </c>
      <c r="E2058" s="112">
        <f t="shared" si="824"/>
        <v>-1.199666179845571E-3</v>
      </c>
      <c r="F2058" s="112">
        <f t="shared" si="824"/>
        <v>-3.6354035501040549E-4</v>
      </c>
    </row>
    <row r="2059" spans="1:6">
      <c r="A2059" s="111">
        <f t="shared" si="780"/>
        <v>45637</v>
      </c>
      <c r="B2059" s="112">
        <f t="shared" ref="B2059:F2059" si="825">IFERROR((B817/B816-1),"")</f>
        <v>1.6792200593434004E-3</v>
      </c>
      <c r="C2059" s="112">
        <f t="shared" si="825"/>
        <v>-1.3709198483662366E-3</v>
      </c>
      <c r="D2059" s="112">
        <f t="shared" si="825"/>
        <v>-1.4512032893940763E-3</v>
      </c>
      <c r="E2059" s="112">
        <f t="shared" si="825"/>
        <v>2.1358817692829879E-2</v>
      </c>
      <c r="F2059" s="112">
        <f t="shared" si="825"/>
        <v>1.2901233439184256E-3</v>
      </c>
    </row>
    <row r="2060" spans="1:6">
      <c r="A2060" s="111">
        <f t="shared" si="780"/>
        <v>45638</v>
      </c>
      <c r="B2060" s="112">
        <f t="shared" ref="B2060:F2060" si="826">IFERROR((B818/B817-1),"")</f>
        <v>-1.4973714620531986E-3</v>
      </c>
      <c r="C2060" s="112">
        <f t="shared" si="826"/>
        <v>2.2203819390409274E-2</v>
      </c>
      <c r="D2060" s="112">
        <f t="shared" si="826"/>
        <v>5.5306608534173574E-3</v>
      </c>
      <c r="E2060" s="112">
        <f t="shared" si="826"/>
        <v>-1.250639124654862E-2</v>
      </c>
      <c r="F2060" s="112">
        <f t="shared" si="826"/>
        <v>-3.778133090926783E-3</v>
      </c>
    </row>
    <row r="2061" spans="1:6">
      <c r="A2061" s="111">
        <f t="shared" si="780"/>
        <v>45639</v>
      </c>
      <c r="B2061" s="112">
        <f t="shared" ref="B2061:F2061" si="827">IFERROR((B819/B818-1),"")</f>
        <v>4.5477513895908483E-3</v>
      </c>
      <c r="C2061" s="112">
        <f t="shared" si="827"/>
        <v>1.1396321206618154E-2</v>
      </c>
      <c r="D2061" s="112">
        <f t="shared" si="827"/>
        <v>7.6280713023924029E-4</v>
      </c>
      <c r="E2061" s="112">
        <f t="shared" si="827"/>
        <v>4.5046444437539801E-3</v>
      </c>
      <c r="F2061" s="112">
        <f t="shared" si="827"/>
        <v>8.9454838749098986E-3</v>
      </c>
    </row>
    <row r="2062" spans="1:6">
      <c r="A2062" s="111">
        <f t="shared" si="780"/>
        <v>45642</v>
      </c>
      <c r="B2062" s="112">
        <f t="shared" ref="B2062:F2062" si="828">IFERROR((B820/B819-1),"")</f>
        <v>1.1196209515154099E-3</v>
      </c>
      <c r="C2062" s="112">
        <f t="shared" si="828"/>
        <v>-1.7256672848964261E-3</v>
      </c>
      <c r="D2062" s="112">
        <f t="shared" si="828"/>
        <v>1.8935291049865688E-2</v>
      </c>
      <c r="E2062" s="112">
        <f t="shared" si="828"/>
        <v>-7.4225273705708084E-4</v>
      </c>
      <c r="F2062" s="112">
        <f t="shared" si="828"/>
        <v>-4.0394375068131261E-3</v>
      </c>
    </row>
    <row r="2063" spans="1:6">
      <c r="A2063" s="111">
        <f t="shared" si="780"/>
        <v>45643</v>
      </c>
      <c r="B2063" s="112">
        <f t="shared" ref="B2063:F2063" si="829">IFERROR((B821/B820-1),"")</f>
        <v>-1.4052547125467996E-2</v>
      </c>
      <c r="C2063" s="112">
        <f t="shared" si="829"/>
        <v>1.2736006548407452E-2</v>
      </c>
      <c r="D2063" s="112">
        <f t="shared" si="829"/>
        <v>-1.7559746446710434E-2</v>
      </c>
      <c r="E2063" s="112">
        <f t="shared" si="829"/>
        <v>-1.4391829155060321E-2</v>
      </c>
      <c r="F2063" s="112">
        <f t="shared" si="829"/>
        <v>-1.3468730047733413E-2</v>
      </c>
    </row>
    <row r="2064" spans="1:6">
      <c r="A2064" s="111">
        <f t="shared" si="780"/>
        <v>45644</v>
      </c>
      <c r="B2064" s="112">
        <f t="shared" ref="B2064:F2064" si="830">IFERROR((B822/B821-1),"")</f>
        <v>3.1892158474435828E-3</v>
      </c>
      <c r="C2064" s="112">
        <f t="shared" si="830"/>
        <v>7.274312848627229E-3</v>
      </c>
      <c r="D2064" s="112">
        <f t="shared" si="830"/>
        <v>2.2241814611469568E-2</v>
      </c>
      <c r="E2064" s="112">
        <f t="shared" si="830"/>
        <v>1.2351494216777947E-3</v>
      </c>
      <c r="F2064" s="112">
        <f t="shared" si="830"/>
        <v>-5.6356837606837962E-3</v>
      </c>
    </row>
    <row r="2065" spans="1:6">
      <c r="A2065" s="111">
        <f t="shared" si="780"/>
        <v>45645</v>
      </c>
      <c r="B2065" s="112">
        <f t="shared" ref="B2065:F2065" si="831">IFERROR((B823/B822-1),"")</f>
        <v>-1.1978893550078529E-2</v>
      </c>
      <c r="C2065" s="112">
        <f t="shared" si="831"/>
        <v>1.9611776568282391E-2</v>
      </c>
      <c r="D2065" s="112">
        <f t="shared" si="831"/>
        <v>3.9360200721342276E-2</v>
      </c>
      <c r="E2065" s="112">
        <f t="shared" si="831"/>
        <v>6.4817622029633704E-4</v>
      </c>
      <c r="F2065" s="112">
        <f t="shared" si="831"/>
        <v>-1.0213295259898669E-2</v>
      </c>
    </row>
    <row r="2066" spans="1:6">
      <c r="A2066" s="111">
        <f t="shared" si="780"/>
        <v>45646</v>
      </c>
      <c r="B2066" s="112">
        <f t="shared" ref="B2066:F2066" si="832">IFERROR((B824/B823-1),"")</f>
        <v>-3.5924568357852515E-2</v>
      </c>
      <c r="C2066" s="112">
        <f t="shared" si="832"/>
        <v>-2.9682824036201372E-2</v>
      </c>
      <c r="D2066" s="112">
        <f t="shared" si="832"/>
        <v>1.3616475558237973E-2</v>
      </c>
      <c r="E2066" s="112">
        <f t="shared" si="832"/>
        <v>-1.8314788695606654E-2</v>
      </c>
      <c r="F2066" s="112">
        <f t="shared" si="832"/>
        <v>-1.5205601272561098E-2</v>
      </c>
    </row>
    <row r="2067" spans="1:6">
      <c r="A2067" s="111">
        <f t="shared" si="780"/>
        <v>45649</v>
      </c>
      <c r="B2067" s="112">
        <f t="shared" ref="B2067:F2067" si="833">IFERROR((B825/B824-1),"")</f>
        <v>1.0150188380615432E-3</v>
      </c>
      <c r="C2067" s="112">
        <f t="shared" si="833"/>
        <v>3.8311927388758882E-3</v>
      </c>
      <c r="D2067" s="112">
        <f t="shared" si="833"/>
        <v>-1.711755293417272E-3</v>
      </c>
      <c r="E2067" s="112">
        <f t="shared" si="833"/>
        <v>1.3303250250100707E-3</v>
      </c>
      <c r="F2067" s="112">
        <f t="shared" si="833"/>
        <v>7.0355060943296799E-3</v>
      </c>
    </row>
    <row r="2068" spans="1:6">
      <c r="A2068" s="111">
        <f t="shared" si="780"/>
        <v>45650</v>
      </c>
      <c r="B2068" s="112">
        <f t="shared" ref="B2068:F2068" si="834">IFERROR((B826/B825-1),"")</f>
        <v>6.6682707180421019E-3</v>
      </c>
      <c r="C2068" s="112">
        <f t="shared" si="834"/>
        <v>-1.3448362010769488E-3</v>
      </c>
      <c r="D2068" s="112">
        <f t="shared" si="834"/>
        <v>7.1196928467589515E-3</v>
      </c>
      <c r="E2068" s="112">
        <f t="shared" si="834"/>
        <v>8.4496264095996754E-3</v>
      </c>
      <c r="F2068" s="112">
        <f t="shared" si="834"/>
        <v>-1.0861580107310864E-3</v>
      </c>
    </row>
    <row r="2069" spans="1:6">
      <c r="A2069" s="111">
        <f t="shared" si="780"/>
        <v>45652</v>
      </c>
      <c r="B2069" s="112">
        <f t="shared" ref="B2069:F2069" si="835">IFERROR((B827/B826-1),"")</f>
        <v>1.6031003516918885E-2</v>
      </c>
      <c r="C2069" s="112">
        <f t="shared" si="835"/>
        <v>1.05975281305557E-2</v>
      </c>
      <c r="D2069" s="112">
        <f t="shared" si="835"/>
        <v>3.1460507809608629E-3</v>
      </c>
      <c r="E2069" s="112">
        <f t="shared" si="835"/>
        <v>3.6993318016060872E-3</v>
      </c>
      <c r="F2069" s="112">
        <f t="shared" si="835"/>
        <v>9.5036803054671104E-4</v>
      </c>
    </row>
    <row r="2070" spans="1:6">
      <c r="A2070" s="111">
        <f t="shared" si="780"/>
        <v>45653</v>
      </c>
      <c r="B2070" s="112">
        <f t="shared" ref="B2070:F2070" si="836">IFERROR((B828/B827-1),"")</f>
        <v>2.480130391679114E-2</v>
      </c>
      <c r="C2070" s="112">
        <f t="shared" si="836"/>
        <v>-4.439996839859961E-3</v>
      </c>
      <c r="D2070" s="112">
        <f t="shared" si="836"/>
        <v>2.5310851197284379E-2</v>
      </c>
      <c r="E2070" s="112">
        <f t="shared" si="836"/>
        <v>1.6065859523486381E-3</v>
      </c>
      <c r="F2070" s="112">
        <f t="shared" si="836"/>
        <v>2.6610302229033156E-3</v>
      </c>
    </row>
    <row r="2071" spans="1:6">
      <c r="A2071" s="111">
        <f t="shared" si="780"/>
        <v>45656</v>
      </c>
      <c r="B2071" s="112">
        <f t="shared" ref="B2071:F2071" si="837">IFERROR((B829/B828-1),"")</f>
        <v>-1.5265047795503972E-2</v>
      </c>
      <c r="C2071" s="112">
        <f t="shared" si="837"/>
        <v>3.8815587603559409E-2</v>
      </c>
      <c r="D2071" s="112">
        <f t="shared" si="837"/>
        <v>-9.0323509302241423E-3</v>
      </c>
      <c r="E2071" s="112">
        <f t="shared" si="837"/>
        <v>6.3216824271905558E-3</v>
      </c>
      <c r="F2071" s="112">
        <f t="shared" si="837"/>
        <v>-7.0758480519371725E-3</v>
      </c>
    </row>
    <row r="2072" spans="1:6">
      <c r="A2072" s="111">
        <f t="shared" si="780"/>
        <v>45657</v>
      </c>
      <c r="B2072" s="112">
        <f t="shared" ref="B2072:F2072" si="838">IFERROR((B830/B829-1),"")</f>
        <v>1.3986479736254331E-3</v>
      </c>
      <c r="C2072" s="112">
        <f t="shared" si="838"/>
        <v>-1.5787409795323892E-2</v>
      </c>
      <c r="D2072" s="112">
        <f t="shared" si="838"/>
        <v>8.4247222020479295E-3</v>
      </c>
      <c r="E2072" s="112">
        <f t="shared" si="838"/>
        <v>-7.6467095187989775E-3</v>
      </c>
      <c r="F2072" s="112">
        <f t="shared" si="838"/>
        <v>-4.2292418238609741E-6</v>
      </c>
    </row>
    <row r="2073" spans="1:6">
      <c r="A2073" s="111">
        <f t="shared" si="780"/>
        <v>45658</v>
      </c>
      <c r="B2073" s="112">
        <f t="shared" ref="B2073:F2073" si="839">IFERROR((B831/B830-1),"")</f>
        <v>2.4907718399787226E-2</v>
      </c>
      <c r="C2073" s="112">
        <f t="shared" si="839"/>
        <v>-3.5599894442173152E-3</v>
      </c>
      <c r="D2073" s="112">
        <f t="shared" si="839"/>
        <v>-1.4043932301044282E-2</v>
      </c>
      <c r="E2073" s="112">
        <f t="shared" si="839"/>
        <v>6.7188074116844021E-3</v>
      </c>
      <c r="F2073" s="112">
        <f t="shared" si="839"/>
        <v>4.1489037758830616E-3</v>
      </c>
    </row>
    <row r="2074" spans="1:6">
      <c r="A2074" s="111">
        <f t="shared" si="780"/>
        <v>45659</v>
      </c>
      <c r="B2074" s="112">
        <f t="shared" ref="B2074:F2074" si="840">IFERROR((B832/B831-1),"")</f>
        <v>4.1888384166125947E-2</v>
      </c>
      <c r="C2074" s="112">
        <f t="shared" si="840"/>
        <v>7.0727160372017206E-3</v>
      </c>
      <c r="D2074" s="112">
        <f t="shared" si="840"/>
        <v>4.4192841490138246E-3</v>
      </c>
      <c r="E2074" s="112">
        <f t="shared" si="840"/>
        <v>-1.4495020595443053E-3</v>
      </c>
      <c r="F2074" s="112">
        <f t="shared" si="840"/>
        <v>1.8774033500541298E-2</v>
      </c>
    </row>
    <row r="2075" spans="1:6">
      <c r="A2075" s="111">
        <f t="shared" si="780"/>
        <v>45660</v>
      </c>
      <c r="B2075" s="112">
        <f t="shared" ref="B2075:F2075" si="841">IFERROR((B833/B832-1),"")</f>
        <v>-6.3996761234467181E-3</v>
      </c>
      <c r="C2075" s="112">
        <f t="shared" si="841"/>
        <v>-2.7844668003897954E-3</v>
      </c>
      <c r="D2075" s="112">
        <f t="shared" si="841"/>
        <v>-1.6290316715755648E-2</v>
      </c>
      <c r="E2075" s="112">
        <f t="shared" si="841"/>
        <v>9.6704122979238694E-3</v>
      </c>
      <c r="F2075" s="112">
        <f t="shared" si="841"/>
        <v>-7.6027393012839672E-3</v>
      </c>
    </row>
    <row r="2076" spans="1:6">
      <c r="A2076" s="111">
        <f t="shared" si="780"/>
        <v>45663</v>
      </c>
      <c r="B2076" s="112">
        <f t="shared" ref="B2076:F2076" si="842">IFERROR((B834/B833-1),"")</f>
        <v>-2.6594160881352802E-2</v>
      </c>
      <c r="C2076" s="112">
        <f t="shared" si="842"/>
        <v>-3.9194800225448301E-3</v>
      </c>
      <c r="D2076" s="112">
        <f t="shared" si="842"/>
        <v>-1.7003659483237898E-3</v>
      </c>
      <c r="E2076" s="112">
        <f t="shared" si="842"/>
        <v>-8.8641112099461239E-3</v>
      </c>
      <c r="F2076" s="112">
        <f t="shared" si="842"/>
        <v>-1.6192628542267662E-2</v>
      </c>
    </row>
    <row r="2077" spans="1:6">
      <c r="A2077" s="111">
        <f t="shared" si="780"/>
        <v>45664</v>
      </c>
      <c r="B2077" s="112">
        <f t="shared" ref="B2077:F2077" si="843">IFERROR((B835/B834-1),"")</f>
        <v>1.0142640950510096E-3</v>
      </c>
      <c r="C2077" s="112">
        <f t="shared" si="843"/>
        <v>-1.1991590313286116E-3</v>
      </c>
      <c r="D2077" s="112">
        <f t="shared" si="843"/>
        <v>8.8865849594554902E-4</v>
      </c>
      <c r="E2077" s="112">
        <f t="shared" si="843"/>
        <v>8.5572658492043541E-3</v>
      </c>
      <c r="F2077" s="112">
        <f t="shared" si="843"/>
        <v>3.8893040961549552E-3</v>
      </c>
    </row>
    <row r="2078" spans="1:6">
      <c r="A2078" s="111">
        <f t="shared" si="780"/>
        <v>45665</v>
      </c>
      <c r="B2078" s="112">
        <f t="shared" ref="B2078:F2078" si="844">IFERROR((B836/B835-1),"")</f>
        <v>-7.317818485935268E-3</v>
      </c>
      <c r="C2078" s="112">
        <f t="shared" si="844"/>
        <v>-6.4655620465271513E-3</v>
      </c>
      <c r="D2078" s="112">
        <f t="shared" si="844"/>
        <v>1.4205911730975629E-2</v>
      </c>
      <c r="E2078" s="112">
        <f t="shared" si="844"/>
        <v>5.7219721661752043E-3</v>
      </c>
      <c r="F2078" s="112">
        <f t="shared" si="844"/>
        <v>-7.9931162186441806E-4</v>
      </c>
    </row>
    <row r="2079" spans="1:6">
      <c r="A2079" s="111">
        <f t="shared" ref="A2079:A2142" si="845">A837</f>
        <v>45666</v>
      </c>
      <c r="B2079" s="112">
        <f t="shared" ref="B2079:F2079" si="846">IFERROR((B837/B836-1),"")</f>
        <v>1.3090956223064776E-2</v>
      </c>
      <c r="C2079" s="112">
        <f t="shared" si="846"/>
        <v>-2.8771709562670056E-2</v>
      </c>
      <c r="D2079" s="112">
        <f t="shared" si="846"/>
        <v>6.2009848623012509E-4</v>
      </c>
      <c r="E2079" s="112">
        <f t="shared" si="846"/>
        <v>1.3662832568571481E-2</v>
      </c>
      <c r="F2079" s="112">
        <f t="shared" si="846"/>
        <v>-6.8576277124988705E-3</v>
      </c>
    </row>
    <row r="2080" spans="1:6">
      <c r="A2080" s="111">
        <f t="shared" si="845"/>
        <v>45667</v>
      </c>
      <c r="B2080" s="112">
        <f t="shared" ref="B2080:F2080" si="847">IFERROR((B838/B837-1),"")</f>
        <v>-1.0762833839756958E-2</v>
      </c>
      <c r="C2080" s="112">
        <f t="shared" si="847"/>
        <v>1.3050737908003818E-2</v>
      </c>
      <c r="D2080" s="112">
        <f t="shared" si="847"/>
        <v>-1.2540099154272233E-2</v>
      </c>
      <c r="E2080" s="112">
        <f t="shared" si="847"/>
        <v>2.618598136532313E-3</v>
      </c>
      <c r="F2080" s="112">
        <f t="shared" si="847"/>
        <v>-4.037999702463213E-3</v>
      </c>
    </row>
    <row r="2081" spans="1:6">
      <c r="A2081" s="111">
        <f t="shared" si="845"/>
        <v>45670</v>
      </c>
      <c r="B2081" s="112">
        <f t="shared" ref="B2081:F2081" si="848">IFERROR((B839/B838-1),"")</f>
        <v>-3.0134018785262673E-2</v>
      </c>
      <c r="C2081" s="112">
        <f t="shared" si="848"/>
        <v>-7.4286352301909275E-2</v>
      </c>
      <c r="D2081" s="112">
        <f t="shared" si="848"/>
        <v>-1.4249852333136581E-2</v>
      </c>
      <c r="E2081" s="112">
        <f t="shared" si="848"/>
        <v>-2.4599125364430652E-3</v>
      </c>
      <c r="F2081" s="112">
        <f t="shared" si="848"/>
        <v>-1.4747241960608504E-2</v>
      </c>
    </row>
    <row r="2082" spans="1:6">
      <c r="A2082" s="111">
        <f t="shared" si="845"/>
        <v>45671</v>
      </c>
      <c r="B2082" s="112">
        <f t="shared" ref="B2082:F2082" si="849">IFERROR((B840/B839-1),"")</f>
        <v>1.6618605503975425E-2</v>
      </c>
      <c r="C2082" s="112">
        <f t="shared" si="849"/>
        <v>-1.2997455646110767E-2</v>
      </c>
      <c r="D2082" s="112">
        <f t="shared" si="849"/>
        <v>1.8350685341921302E-3</v>
      </c>
      <c r="E2082" s="112">
        <f t="shared" si="849"/>
        <v>-1.3121441836393077E-2</v>
      </c>
      <c r="F2082" s="112">
        <f t="shared" si="849"/>
        <v>3.9028066854513987E-3</v>
      </c>
    </row>
    <row r="2083" spans="1:6">
      <c r="A2083" s="111">
        <f t="shared" si="845"/>
        <v>45672</v>
      </c>
      <c r="B2083" s="112">
        <f t="shared" ref="B2083:F2083" si="850">IFERROR((B841/B840-1),"")</f>
        <v>-2.9267092966060004E-2</v>
      </c>
      <c r="C2083" s="112">
        <f t="shared" si="850"/>
        <v>-1.0532563660908822E-3</v>
      </c>
      <c r="D2083" s="112">
        <f t="shared" si="850"/>
        <v>-2.6167246084252138E-4</v>
      </c>
      <c r="E2083" s="112">
        <f t="shared" si="850"/>
        <v>3.0026324448833019E-3</v>
      </c>
      <c r="F2083" s="112">
        <f t="shared" si="850"/>
        <v>1.6029478707546563E-3</v>
      </c>
    </row>
    <row r="2084" spans="1:6">
      <c r="A2084" s="111">
        <f t="shared" si="845"/>
        <v>45673</v>
      </c>
      <c r="B2084" s="112">
        <f t="shared" ref="B2084:F2084" si="851">IFERROR((B842/B841-1),"")</f>
        <v>6.8744193902541273E-3</v>
      </c>
      <c r="C2084" s="112">
        <f t="shared" si="851"/>
        <v>1.7242684965660171E-2</v>
      </c>
      <c r="D2084" s="112">
        <f t="shared" si="851"/>
        <v>-2.5762787915046381E-2</v>
      </c>
      <c r="E2084" s="112">
        <f t="shared" si="851"/>
        <v>-6.6536805413163203E-3</v>
      </c>
      <c r="F2084" s="112">
        <f t="shared" si="851"/>
        <v>4.2475832715866968E-3</v>
      </c>
    </row>
    <row r="2085" spans="1:6">
      <c r="A2085" s="111">
        <f t="shared" si="845"/>
        <v>45674</v>
      </c>
      <c r="B2085" s="112">
        <f t="shared" ref="B2085:F2085" si="852">IFERROR((B843/B842-1),"")</f>
        <v>-2.1220559618868706E-2</v>
      </c>
      <c r="C2085" s="112">
        <f t="shared" si="852"/>
        <v>-1.028477841341835E-2</v>
      </c>
      <c r="D2085" s="112">
        <f t="shared" si="852"/>
        <v>5.1045864517367256E-3</v>
      </c>
      <c r="E2085" s="112">
        <f t="shared" si="852"/>
        <v>2.0332125790836209E-3</v>
      </c>
      <c r="F2085" s="112">
        <f t="shared" si="852"/>
        <v>-4.6585849226571385E-3</v>
      </c>
    </row>
    <row r="2086" spans="1:6">
      <c r="A2086" s="111">
        <f t="shared" si="845"/>
        <v>45677</v>
      </c>
      <c r="B2086" s="112">
        <f t="shared" ref="B2086:F2086" si="853">IFERROR((B844/B843-1),"")</f>
        <v>-1.0026222427888309E-2</v>
      </c>
      <c r="C2086" s="112">
        <f t="shared" si="853"/>
        <v>2.378045605244461E-3</v>
      </c>
      <c r="D2086" s="112">
        <f t="shared" si="853"/>
        <v>-5.3841454101116737E-3</v>
      </c>
      <c r="E2086" s="112">
        <f t="shared" si="853"/>
        <v>6.3859591298616181E-3</v>
      </c>
      <c r="F2086" s="112">
        <f t="shared" si="853"/>
        <v>6.1004516618397009E-3</v>
      </c>
    </row>
    <row r="2087" spans="1:6">
      <c r="A2087" s="111">
        <f t="shared" si="845"/>
        <v>45678</v>
      </c>
      <c r="B2087" s="112">
        <f t="shared" ref="B2087:F2087" si="854">IFERROR((B845/B844-1),"")</f>
        <v>-2.3129393026557143E-2</v>
      </c>
      <c r="C2087" s="112">
        <f t="shared" si="854"/>
        <v>-4.6293623948003404E-2</v>
      </c>
      <c r="D2087" s="112">
        <f t="shared" si="854"/>
        <v>-1.0903366990440255E-2</v>
      </c>
      <c r="E2087" s="112">
        <f t="shared" si="854"/>
        <v>3.7765587260001343E-3</v>
      </c>
      <c r="F2087" s="112">
        <f t="shared" si="854"/>
        <v>-1.3711862410177855E-2</v>
      </c>
    </row>
    <row r="2088" spans="1:6">
      <c r="A2088" s="111">
        <f t="shared" si="845"/>
        <v>45679</v>
      </c>
      <c r="B2088" s="112">
        <f t="shared" ref="B2088:F2088" si="855">IFERROR((B846/B845-1),"")</f>
        <v>1.8253996384645088E-3</v>
      </c>
      <c r="C2088" s="112">
        <f t="shared" si="855"/>
        <v>-3.9825204875864051E-3</v>
      </c>
      <c r="D2088" s="112">
        <f t="shared" si="855"/>
        <v>6.2880875674415915E-3</v>
      </c>
      <c r="E2088" s="112">
        <f t="shared" si="855"/>
        <v>1.0777246449218403E-2</v>
      </c>
      <c r="F2088" s="112">
        <f t="shared" si="855"/>
        <v>5.6765249417471964E-3</v>
      </c>
    </row>
    <row r="2089" spans="1:6">
      <c r="A2089" s="111">
        <f t="shared" si="845"/>
        <v>45680</v>
      </c>
      <c r="B2089" s="112">
        <f t="shared" ref="B2089:F2089" si="856">IFERROR((B847/B846-1),"")</f>
        <v>2.1228042243804035E-2</v>
      </c>
      <c r="C2089" s="112">
        <f t="shared" si="856"/>
        <v>0.11767458253323926</v>
      </c>
      <c r="D2089" s="112">
        <f t="shared" si="856"/>
        <v>-5.2844744455158299E-3</v>
      </c>
      <c r="E2089" s="112">
        <f t="shared" si="856"/>
        <v>1.1277664575221502E-2</v>
      </c>
      <c r="F2089" s="112">
        <f t="shared" si="856"/>
        <v>2.1593281898135697E-3</v>
      </c>
    </row>
    <row r="2090" spans="1:6">
      <c r="A2090" s="111">
        <f t="shared" si="845"/>
        <v>45681</v>
      </c>
      <c r="B2090" s="112">
        <f t="shared" ref="B2090:F2090" si="857">IFERROR((B848/B847-1),"")</f>
        <v>-2.9465260094579726E-2</v>
      </c>
      <c r="C2090" s="112">
        <f t="shared" si="857"/>
        <v>4.1483398485284706E-3</v>
      </c>
      <c r="D2090" s="112">
        <f t="shared" si="857"/>
        <v>-5.0411043896385954E-2</v>
      </c>
      <c r="E2090" s="112">
        <f t="shared" si="857"/>
        <v>1.7745281889637976E-2</v>
      </c>
      <c r="F2090" s="112">
        <f t="shared" si="857"/>
        <v>-4.876030742910431E-3</v>
      </c>
    </row>
    <row r="2091" spans="1:6">
      <c r="A2091" s="111">
        <f t="shared" si="845"/>
        <v>45684</v>
      </c>
      <c r="B2091" s="112">
        <f t="shared" ref="B2091:F2091" si="858">IFERROR((B849/B848-1),"")</f>
        <v>1.0780324123652374E-2</v>
      </c>
      <c r="C2091" s="112">
        <f t="shared" si="858"/>
        <v>-4.6878045611071451E-2</v>
      </c>
      <c r="D2091" s="112">
        <f t="shared" si="858"/>
        <v>-2.1847435478601795E-2</v>
      </c>
      <c r="E2091" s="112">
        <f t="shared" si="858"/>
        <v>1.464260861894906E-2</v>
      </c>
      <c r="F2091" s="112">
        <f t="shared" si="858"/>
        <v>-1.139129229783209E-2</v>
      </c>
    </row>
    <row r="2092" spans="1:6">
      <c r="A2092" s="111">
        <f t="shared" si="845"/>
        <v>45685</v>
      </c>
      <c r="B2092" s="112">
        <f t="shared" ref="B2092:F2092" si="859">IFERROR((B850/B849-1),"")</f>
        <v>1.377313179827655E-2</v>
      </c>
      <c r="C2092" s="112">
        <f t="shared" si="859"/>
        <v>-3.4413806423759019E-2</v>
      </c>
      <c r="D2092" s="112">
        <f t="shared" si="859"/>
        <v>-1.3693483071014145E-2</v>
      </c>
      <c r="E2092" s="112">
        <f t="shared" si="859"/>
        <v>-2.231345085728087E-2</v>
      </c>
      <c r="F2092" s="112">
        <f t="shared" si="859"/>
        <v>5.6112470240896606E-3</v>
      </c>
    </row>
    <row r="2093" spans="1:6">
      <c r="A2093" s="111">
        <f t="shared" si="845"/>
        <v>45686</v>
      </c>
      <c r="B2093" s="112">
        <f t="shared" ref="B2093:F2093" si="860">IFERROR((B851/B850-1),"")</f>
        <v>1.8724308506932408E-2</v>
      </c>
      <c r="C2093" s="112">
        <f t="shared" si="860"/>
        <v>2.9151174283428283E-2</v>
      </c>
      <c r="D2093" s="112">
        <f t="shared" si="860"/>
        <v>-4.232804232795484E-5</v>
      </c>
      <c r="E2093" s="112">
        <f t="shared" si="860"/>
        <v>-4.683100330978629E-3</v>
      </c>
      <c r="F2093" s="112">
        <f t="shared" si="860"/>
        <v>8.9666663036731542E-3</v>
      </c>
    </row>
    <row r="2094" spans="1:6">
      <c r="A2094" s="111">
        <f t="shared" si="845"/>
        <v>45687</v>
      </c>
      <c r="B2094" s="112">
        <f t="shared" ref="B2094:F2094" si="861">IFERROR((B852/B851-1),"")</f>
        <v>1.6106143245507409E-2</v>
      </c>
      <c r="C2094" s="112">
        <f t="shared" si="861"/>
        <v>-4.7927468544740504E-2</v>
      </c>
      <c r="D2094" s="112">
        <f t="shared" si="861"/>
        <v>1.1259735861835374E-2</v>
      </c>
      <c r="E2094" s="112">
        <f t="shared" si="861"/>
        <v>7.6036569023536504E-3</v>
      </c>
      <c r="F2094" s="112">
        <f t="shared" si="861"/>
        <v>3.7300706727512178E-3</v>
      </c>
    </row>
    <row r="2095" spans="1:6">
      <c r="A2095" s="111">
        <f t="shared" si="845"/>
        <v>45688</v>
      </c>
      <c r="B2095" s="112">
        <f t="shared" ref="B2095:F2095" si="862">IFERROR((B853/B852-1),"")</f>
        <v>6.1922630365647269E-3</v>
      </c>
      <c r="C2095" s="112">
        <f t="shared" si="862"/>
        <v>-7.6254750911154412E-3</v>
      </c>
      <c r="D2095" s="112">
        <f t="shared" si="862"/>
        <v>1.9129342821263995E-2</v>
      </c>
      <c r="E2095" s="112">
        <f t="shared" si="862"/>
        <v>1.0698769542986986E-2</v>
      </c>
      <c r="F2095" s="112">
        <f t="shared" si="862"/>
        <v>1.1135723348889348E-2</v>
      </c>
    </row>
    <row r="2096" spans="1:6">
      <c r="A2096" s="111">
        <f t="shared" si="845"/>
        <v>45689</v>
      </c>
      <c r="B2096" s="112">
        <f t="shared" ref="B2096:F2096" si="863">IFERROR((B854/B853-1),"")</f>
        <v>2.9065003261033118E-2</v>
      </c>
      <c r="C2096" s="112">
        <f t="shared" si="863"/>
        <v>-2.2689182402875208E-2</v>
      </c>
      <c r="D2096" s="112">
        <f t="shared" si="863"/>
        <v>-1.0186059884174536E-2</v>
      </c>
      <c r="E2096" s="112">
        <f t="shared" si="863"/>
        <v>1.3977561821956863E-2</v>
      </c>
      <c r="F2096" s="112">
        <f t="shared" si="863"/>
        <v>-1.1166221435742196E-3</v>
      </c>
    </row>
    <row r="2097" spans="1:6">
      <c r="A2097" s="111">
        <f t="shared" si="845"/>
        <v>45691</v>
      </c>
      <c r="B2097" s="112">
        <f t="shared" ref="B2097:F2097" si="864">IFERROR((B855/B854-1),"")</f>
        <v>3.138051515397744E-2</v>
      </c>
      <c r="C2097" s="112">
        <f t="shared" si="864"/>
        <v>3.3152352238325467E-2</v>
      </c>
      <c r="D2097" s="112">
        <f t="shared" si="864"/>
        <v>-9.1290095024698648E-4</v>
      </c>
      <c r="E2097" s="112">
        <f t="shared" si="864"/>
        <v>-1.841829525027161E-2</v>
      </c>
      <c r="F2097" s="112">
        <f t="shared" si="864"/>
        <v>-5.1571086974575575E-3</v>
      </c>
    </row>
    <row r="2098" spans="1:6">
      <c r="A2098" s="111">
        <f t="shared" si="845"/>
        <v>45692</v>
      </c>
      <c r="B2098" s="112">
        <f t="shared" ref="B2098:F2098" si="865">IFERROR((B856/B855-1),"")</f>
        <v>4.9632874294898155E-3</v>
      </c>
      <c r="C2098" s="112">
        <f t="shared" si="865"/>
        <v>1.3776201148116618E-2</v>
      </c>
      <c r="D2098" s="112">
        <f t="shared" si="865"/>
        <v>1.3373759189267975E-2</v>
      </c>
      <c r="E2098" s="112">
        <f t="shared" si="865"/>
        <v>-1.5120799913819205E-2</v>
      </c>
      <c r="F2098" s="112">
        <f t="shared" si="865"/>
        <v>1.6189340804458663E-2</v>
      </c>
    </row>
    <row r="2099" spans="1:6">
      <c r="A2099" s="111">
        <f t="shared" si="845"/>
        <v>45693</v>
      </c>
      <c r="B2099" s="112">
        <f t="shared" ref="B2099:F2099" si="866">IFERROR((B857/B856-1),"")</f>
        <v>-3.2298019786457521E-3</v>
      </c>
      <c r="C2099" s="112">
        <f t="shared" si="866"/>
        <v>5.0951347964607319E-3</v>
      </c>
      <c r="D2099" s="112">
        <f t="shared" si="866"/>
        <v>6.2297635148980124E-3</v>
      </c>
      <c r="E2099" s="112">
        <f t="shared" si="866"/>
        <v>-1.9032088060696006E-2</v>
      </c>
      <c r="F2099" s="112">
        <f t="shared" si="866"/>
        <v>-1.8092399717767327E-3</v>
      </c>
    </row>
    <row r="2100" spans="1:6">
      <c r="A2100" s="111">
        <f t="shared" si="845"/>
        <v>45694</v>
      </c>
      <c r="B2100" s="112">
        <f t="shared" ref="B2100:F2100" si="867">IFERROR((B858/B857-1),"")</f>
        <v>-1.2206055839559582E-2</v>
      </c>
      <c r="C2100" s="112">
        <f t="shared" si="867"/>
        <v>2.2582523244119024E-3</v>
      </c>
      <c r="D2100" s="112">
        <f t="shared" si="867"/>
        <v>7.4131399942976017E-3</v>
      </c>
      <c r="E2100" s="112">
        <f t="shared" si="867"/>
        <v>4.7439003375469024E-3</v>
      </c>
      <c r="F2100" s="112">
        <f t="shared" si="867"/>
        <v>-3.922553310010457E-3</v>
      </c>
    </row>
    <row r="2101" spans="1:6">
      <c r="A2101" s="111">
        <f t="shared" si="845"/>
        <v>45695</v>
      </c>
      <c r="B2101" s="112">
        <f t="shared" ref="B2101:F2101" si="868">IFERROR((B859/B858-1),"")</f>
        <v>1.8630869918310866E-2</v>
      </c>
      <c r="C2101" s="112">
        <f t="shared" si="868"/>
        <v>1.7016083132368465E-3</v>
      </c>
      <c r="D2101" s="112">
        <f t="shared" si="868"/>
        <v>3.0323858812113524E-3</v>
      </c>
      <c r="E2101" s="112">
        <f t="shared" si="868"/>
        <v>-1.7261730612080251E-2</v>
      </c>
      <c r="F2101" s="112">
        <f t="shared" si="868"/>
        <v>-1.8387220458111475E-3</v>
      </c>
    </row>
    <row r="2102" spans="1:6">
      <c r="A2102" s="111">
        <f t="shared" si="845"/>
        <v>45698</v>
      </c>
      <c r="B2102" s="112">
        <f t="shared" ref="B2102:F2102" si="869">IFERROR((B860/B859-1),"")</f>
        <v>-1.91342681611405E-2</v>
      </c>
      <c r="C2102" s="112">
        <f t="shared" si="869"/>
        <v>-1.4222368012558828E-2</v>
      </c>
      <c r="D2102" s="112">
        <f t="shared" si="869"/>
        <v>-1.5680425669139075E-2</v>
      </c>
      <c r="E2102" s="112">
        <f t="shared" si="869"/>
        <v>8.0381890976284343E-3</v>
      </c>
      <c r="F2102" s="112">
        <f t="shared" si="869"/>
        <v>-7.5700500213287114E-3</v>
      </c>
    </row>
    <row r="2103" spans="1:6">
      <c r="A2103" s="111">
        <f t="shared" si="845"/>
        <v>45699</v>
      </c>
      <c r="B2103" s="112">
        <f t="shared" ref="B2103:F2103" si="870">IFERROR((B861/B860-1),"")</f>
        <v>-1.63519005498447E-2</v>
      </c>
      <c r="C2103" s="112">
        <f t="shared" si="870"/>
        <v>-3.7756478438876084E-2</v>
      </c>
      <c r="D2103" s="112">
        <f t="shared" si="870"/>
        <v>-9.1322330971784771E-3</v>
      </c>
      <c r="E2103" s="112">
        <f t="shared" si="870"/>
        <v>-1.1406108378396729E-3</v>
      </c>
      <c r="F2103" s="112">
        <f t="shared" si="870"/>
        <v>-1.3249734834228644E-2</v>
      </c>
    </row>
    <row r="2104" spans="1:6">
      <c r="A2104" s="111">
        <f t="shared" si="845"/>
        <v>45700</v>
      </c>
      <c r="B2104" s="112">
        <f t="shared" ref="B2104:F2104" si="871">IFERROR((B862/B861-1),"")</f>
        <v>-3.1999870380271855E-2</v>
      </c>
      <c r="C2104" s="112">
        <f t="shared" si="871"/>
        <v>-1.1405810973538655E-2</v>
      </c>
      <c r="D2104" s="112">
        <f t="shared" si="871"/>
        <v>5.000826582906237E-3</v>
      </c>
      <c r="E2104" s="112">
        <f t="shared" si="871"/>
        <v>2.9057615644212387E-3</v>
      </c>
      <c r="F2104" s="112">
        <f t="shared" si="871"/>
        <v>-1.1507554677138154E-3</v>
      </c>
    </row>
    <row r="2105" spans="1:6">
      <c r="A2105" s="111">
        <f t="shared" si="845"/>
        <v>45701</v>
      </c>
      <c r="B2105" s="112">
        <f t="shared" ref="B2105:F2105" si="872">IFERROR((B863/B862-1),"")</f>
        <v>-3.0798071772897284E-3</v>
      </c>
      <c r="C2105" s="112">
        <f t="shared" si="872"/>
        <v>-1.6109889560741664E-2</v>
      </c>
      <c r="D2105" s="112">
        <f t="shared" si="872"/>
        <v>6.3741415470659479E-3</v>
      </c>
      <c r="E2105" s="112">
        <f t="shared" si="872"/>
        <v>-6.0183396702113701E-3</v>
      </c>
      <c r="F2105" s="112">
        <f t="shared" si="872"/>
        <v>-6.0099152753811946E-4</v>
      </c>
    </row>
    <row r="2106" spans="1:6">
      <c r="A2106" s="111">
        <f t="shared" si="845"/>
        <v>45702</v>
      </c>
      <c r="B2106" s="112">
        <f t="shared" ref="B2106:F2106" si="873">IFERROR((B864/B863-1),"")</f>
        <v>-1.1887172599059803E-2</v>
      </c>
      <c r="C2106" s="112">
        <f t="shared" si="873"/>
        <v>-1.0424801122475458E-2</v>
      </c>
      <c r="D2106" s="112">
        <f t="shared" si="873"/>
        <v>-2.1698267407649574E-2</v>
      </c>
      <c r="E2106" s="112">
        <f t="shared" si="873"/>
        <v>1.0421993577024447E-2</v>
      </c>
      <c r="F2106" s="112">
        <f t="shared" si="873"/>
        <v>-4.4352492683902289E-3</v>
      </c>
    </row>
    <row r="2107" spans="1:6">
      <c r="A2107" s="111">
        <f t="shared" si="845"/>
        <v>45705</v>
      </c>
      <c r="B2107" s="112">
        <f t="shared" ref="B2107:F2107" si="874">IFERROR((B865/B864-1),"")</f>
        <v>-3.7602800244681656E-2</v>
      </c>
      <c r="C2107" s="112">
        <f t="shared" si="874"/>
        <v>-1.4037608987149341E-2</v>
      </c>
      <c r="D2107" s="112">
        <f t="shared" si="874"/>
        <v>1.5872352867467576E-3</v>
      </c>
      <c r="E2107" s="112">
        <f t="shared" si="874"/>
        <v>4.8687660056887516E-3</v>
      </c>
      <c r="F2107" s="112">
        <f t="shared" si="874"/>
        <v>1.3192755977626813E-3</v>
      </c>
    </row>
    <row r="2108" spans="1:6">
      <c r="A2108" s="111">
        <f t="shared" si="845"/>
        <v>45706</v>
      </c>
      <c r="B2108" s="112">
        <f t="shared" ref="B2108:F2108" si="875">IFERROR((B866/B865-1),"")</f>
        <v>-1.4795458959374175E-2</v>
      </c>
      <c r="C2108" s="112">
        <f t="shared" si="875"/>
        <v>1.0801736086258895E-3</v>
      </c>
      <c r="D2108" s="112">
        <f t="shared" si="875"/>
        <v>-1.2927978647983007E-3</v>
      </c>
      <c r="E2108" s="112">
        <f t="shared" si="875"/>
        <v>-1.4606039849305974E-2</v>
      </c>
      <c r="F2108" s="112">
        <f t="shared" si="875"/>
        <v>-6.1848036760381309E-4</v>
      </c>
    </row>
    <row r="2109" spans="1:6">
      <c r="A2109" s="111">
        <f t="shared" si="845"/>
        <v>45707</v>
      </c>
      <c r="B2109" s="112">
        <f t="shared" ref="B2109:F2109" si="876">IFERROR((B867/B866-1),"")</f>
        <v>-1.1702299241949099E-2</v>
      </c>
      <c r="C2109" s="112">
        <f t="shared" si="876"/>
        <v>1.071208034060267E-2</v>
      </c>
      <c r="D2109" s="112">
        <f t="shared" si="876"/>
        <v>-2.6348755637214061E-2</v>
      </c>
      <c r="E2109" s="112">
        <f t="shared" si="876"/>
        <v>-1.0978900883218845E-2</v>
      </c>
      <c r="F2109" s="112">
        <f t="shared" si="876"/>
        <v>-5.4041568425766684E-4</v>
      </c>
    </row>
    <row r="2110" spans="1:6">
      <c r="A2110" s="111">
        <f t="shared" si="845"/>
        <v>45708</v>
      </c>
      <c r="B2110" s="112">
        <f t="shared" ref="B2110:F2110" si="877">IFERROR((B868/B867-1),"")</f>
        <v>2.975629215928044E-2</v>
      </c>
      <c r="C2110" s="112">
        <f t="shared" si="877"/>
        <v>2.4052529695870462E-3</v>
      </c>
      <c r="D2110" s="112">
        <f t="shared" si="877"/>
        <v>4.3744907149292356E-3</v>
      </c>
      <c r="E2110" s="112">
        <f t="shared" si="877"/>
        <v>-1.0542635658915556E-3</v>
      </c>
      <c r="F2110" s="112">
        <f t="shared" si="877"/>
        <v>-8.6120813329326751E-4</v>
      </c>
    </row>
    <row r="2111" spans="1:6">
      <c r="A2111" s="111">
        <f t="shared" si="845"/>
        <v>45709</v>
      </c>
      <c r="B2111" s="112">
        <f t="shared" ref="B2111:F2111" si="878">IFERROR((B869/B868-1),"")</f>
        <v>-5.9905967705013219E-2</v>
      </c>
      <c r="C2111" s="112">
        <f t="shared" si="878"/>
        <v>-3.8128660973778983E-2</v>
      </c>
      <c r="D2111" s="112">
        <f t="shared" si="878"/>
        <v>-1.635424228190796E-2</v>
      </c>
      <c r="E2111" s="112">
        <f t="shared" si="878"/>
        <v>-1.034682559390987E-4</v>
      </c>
      <c r="F2111" s="112">
        <f t="shared" si="878"/>
        <v>-5.1171488861200265E-3</v>
      </c>
    </row>
    <row r="2112" spans="1:6">
      <c r="A2112" s="111">
        <f t="shared" si="845"/>
        <v>45712</v>
      </c>
      <c r="B2112" s="112">
        <f t="shared" ref="B2112:F2112" si="879">IFERROR((B870/B869-1),"")</f>
        <v>1.4928727967482791E-2</v>
      </c>
      <c r="C2112" s="112">
        <f t="shared" si="879"/>
        <v>1.7635602038366116E-2</v>
      </c>
      <c r="D2112" s="112">
        <f t="shared" si="879"/>
        <v>1.1069630144122211E-2</v>
      </c>
      <c r="E2112" s="112">
        <f t="shared" si="879"/>
        <v>-5.712038742523573E-3</v>
      </c>
      <c r="F2112" s="112">
        <f t="shared" si="879"/>
        <v>-1.0640071240881177E-2</v>
      </c>
    </row>
    <row r="2113" spans="1:6">
      <c r="A2113" s="111">
        <f t="shared" si="845"/>
        <v>45713</v>
      </c>
      <c r="B2113" s="112">
        <f t="shared" ref="B2113:F2113" si="880">IFERROR((B871/B870-1),"")</f>
        <v>2.5339583640927144E-2</v>
      </c>
      <c r="C2113" s="112">
        <f t="shared" si="880"/>
        <v>7.0132662157207371E-4</v>
      </c>
      <c r="D2113" s="112">
        <f t="shared" si="880"/>
        <v>-3.1256708599888272E-2</v>
      </c>
      <c r="E2113" s="112">
        <f t="shared" si="880"/>
        <v>-1.3009179276898264E-3</v>
      </c>
      <c r="F2113" s="112">
        <f t="shared" si="880"/>
        <v>-2.5716800386632599E-4</v>
      </c>
    </row>
    <row r="2114" spans="1:6">
      <c r="A2114" s="111">
        <f t="shared" si="845"/>
        <v>45715</v>
      </c>
      <c r="B2114" s="112">
        <f t="shared" ref="B2114:F2114" si="881">IFERROR((B872/B871-1),"")</f>
        <v>-1.8467519844483915E-2</v>
      </c>
      <c r="C2114" s="112">
        <f t="shared" si="881"/>
        <v>-1.8961847060749992E-2</v>
      </c>
      <c r="D2114" s="112">
        <f t="shared" si="881"/>
        <v>-2.3046580685194273E-3</v>
      </c>
      <c r="E2114" s="112">
        <f t="shared" si="881"/>
        <v>-3.1783745479934122E-3</v>
      </c>
      <c r="F2114" s="112">
        <f t="shared" si="881"/>
        <v>-1.1087679149179852E-4</v>
      </c>
    </row>
    <row r="2115" spans="1:6">
      <c r="A2115" s="111">
        <f t="shared" si="845"/>
        <v>45716</v>
      </c>
      <c r="B2115" s="112">
        <f t="shared" ref="B2115:F2115" si="882">IFERROR((B873/B872-1),"")</f>
        <v>-5.1878747868185138E-2</v>
      </c>
      <c r="C2115" s="112">
        <f t="shared" si="882"/>
        <v>-1.6938175991454085E-2</v>
      </c>
      <c r="D2115" s="112">
        <f t="shared" si="882"/>
        <v>-8.0405135267201944E-3</v>
      </c>
      <c r="E2115" s="112">
        <f t="shared" si="882"/>
        <v>-3.9171614953583789E-2</v>
      </c>
      <c r="F2115" s="112">
        <f t="shared" si="882"/>
        <v>-1.8644891007116748E-2</v>
      </c>
    </row>
    <row r="2116" spans="1:6">
      <c r="A2116" s="111">
        <f t="shared" si="845"/>
        <v>45719</v>
      </c>
      <c r="B2116" s="112">
        <f t="shared" ref="B2116:F2116" si="883">IFERROR((B874/B873-1),"")</f>
        <v>1.0367103787087606E-2</v>
      </c>
      <c r="C2116" s="112">
        <f t="shared" si="883"/>
        <v>-6.927324219148101E-4</v>
      </c>
      <c r="D2116" s="112">
        <f t="shared" si="883"/>
        <v>2.7765338110163906E-3</v>
      </c>
      <c r="E2116" s="112">
        <f t="shared" si="883"/>
        <v>2.5024752744573497E-4</v>
      </c>
      <c r="F2116" s="112">
        <f t="shared" si="883"/>
        <v>-2.4407110604895976E-4</v>
      </c>
    </row>
    <row r="2117" spans="1:6">
      <c r="A2117" s="111">
        <f t="shared" si="845"/>
        <v>45720</v>
      </c>
      <c r="B2117" s="112">
        <f t="shared" ref="B2117:F2117" si="884">IFERROR((B875/B874-1),"")</f>
        <v>5.551514223360865E-4</v>
      </c>
      <c r="C2117" s="112">
        <f t="shared" si="884"/>
        <v>-1.9661413202302636E-2</v>
      </c>
      <c r="D2117" s="112">
        <f t="shared" si="884"/>
        <v>4.912468738837994E-4</v>
      </c>
      <c r="E2117" s="112">
        <f t="shared" si="884"/>
        <v>-4.6556150197973878E-3</v>
      </c>
      <c r="F2117" s="112">
        <f t="shared" si="884"/>
        <v>-1.6569240437083188E-3</v>
      </c>
    </row>
    <row r="2118" spans="1:6">
      <c r="A2118" s="111">
        <f t="shared" si="845"/>
        <v>45721</v>
      </c>
      <c r="B2118" s="112">
        <f t="shared" ref="B2118:F2118" si="885">IFERROR((B876/B875-1),"")</f>
        <v>4.3335182811334194E-2</v>
      </c>
      <c r="C2118" s="112">
        <f t="shared" si="885"/>
        <v>8.3439631745327425E-2</v>
      </c>
      <c r="D2118" s="112">
        <f t="shared" si="885"/>
        <v>5.5796098736775601E-3</v>
      </c>
      <c r="E2118" s="112">
        <f t="shared" si="885"/>
        <v>3.2118814478055535E-2</v>
      </c>
      <c r="F2118" s="112">
        <f t="shared" si="885"/>
        <v>1.1531677583985545E-2</v>
      </c>
    </row>
    <row r="2119" spans="1:6">
      <c r="A2119" s="111">
        <f t="shared" si="845"/>
        <v>45722</v>
      </c>
      <c r="B2119" s="112">
        <f t="shared" ref="B2119:F2119" si="886">IFERROR((B877/B876-1),"")</f>
        <v>5.7947627081347264E-3</v>
      </c>
      <c r="C2119" s="112">
        <f t="shared" si="886"/>
        <v>-2.4193135573699176E-2</v>
      </c>
      <c r="D2119" s="112">
        <f t="shared" si="886"/>
        <v>1.2162642045454364E-2</v>
      </c>
      <c r="E2119" s="112">
        <f t="shared" si="886"/>
        <v>-4.150651715849607E-3</v>
      </c>
      <c r="F2119" s="112">
        <f t="shared" si="886"/>
        <v>9.2849180518683738E-3</v>
      </c>
    </row>
    <row r="2120" spans="1:6">
      <c r="A2120" s="111">
        <f t="shared" si="845"/>
        <v>45723</v>
      </c>
      <c r="B2120" s="112">
        <f t="shared" ref="B2120:F2120" si="887">IFERROR((B878/B877-1),"")</f>
        <v>-5.3055717619604481E-3</v>
      </c>
      <c r="C2120" s="112">
        <f t="shared" si="887"/>
        <v>1.0767001304892387E-2</v>
      </c>
      <c r="D2120" s="112">
        <f t="shared" si="887"/>
        <v>-6.008244890798986E-3</v>
      </c>
      <c r="E2120" s="112">
        <f t="shared" si="887"/>
        <v>9.718131651976103E-3</v>
      </c>
      <c r="F2120" s="112">
        <f t="shared" si="887"/>
        <v>3.459793210820461E-4</v>
      </c>
    </row>
    <row r="2121" spans="1:6">
      <c r="A2121" s="111">
        <f t="shared" si="845"/>
        <v>45726</v>
      </c>
      <c r="B2121" s="112">
        <f t="shared" ref="B2121:F2121" si="888">IFERROR((B879/B878-1),"")</f>
        <v>-9.256374067489026E-3</v>
      </c>
      <c r="C2121" s="112">
        <f t="shared" si="888"/>
        <v>-2.2407473482759732E-2</v>
      </c>
      <c r="D2121" s="112">
        <f t="shared" si="888"/>
        <v>-1.1515552614162816E-2</v>
      </c>
      <c r="E2121" s="112">
        <f t="shared" si="888"/>
        <v>-2.2218712157110465E-3</v>
      </c>
      <c r="F2121" s="112">
        <f t="shared" si="888"/>
        <v>-4.0882385544840361E-3</v>
      </c>
    </row>
    <row r="2122" spans="1:6">
      <c r="A2122" s="111">
        <f t="shared" si="845"/>
        <v>45727</v>
      </c>
      <c r="B2122" s="112">
        <f t="shared" ref="B2122:F2122" si="889">IFERROR((B880/B879-1),"")</f>
        <v>-2.1090801450455166E-2</v>
      </c>
      <c r="C2122" s="112">
        <f t="shared" si="889"/>
        <v>1.2947024042577082E-2</v>
      </c>
      <c r="D2122" s="112">
        <f t="shared" si="889"/>
        <v>-3.1690769505444694E-3</v>
      </c>
      <c r="E2122" s="112">
        <f t="shared" si="889"/>
        <v>5.1396247124133598E-3</v>
      </c>
      <c r="F2122" s="112">
        <f t="shared" si="889"/>
        <v>1.6740649056334878E-3</v>
      </c>
    </row>
    <row r="2123" spans="1:6">
      <c r="A2123" s="111">
        <f t="shared" si="845"/>
        <v>45728</v>
      </c>
      <c r="B2123" s="112">
        <f t="shared" ref="B2123:F2123" si="890">IFERROR((B881/B880-1),"")</f>
        <v>2.9104928938616936E-3</v>
      </c>
      <c r="C2123" s="112">
        <f t="shared" si="890"/>
        <v>-3.037171944812056E-2</v>
      </c>
      <c r="D2123" s="112">
        <f t="shared" si="890"/>
        <v>-1.0298661174047319E-2</v>
      </c>
      <c r="E2123" s="112">
        <f t="shared" si="890"/>
        <v>6.2998078558604842E-3</v>
      </c>
      <c r="F2123" s="112">
        <f t="shared" si="890"/>
        <v>-1.2178914476462799E-3</v>
      </c>
    </row>
    <row r="2124" spans="1:6">
      <c r="A2124" s="111">
        <f t="shared" si="845"/>
        <v>45729</v>
      </c>
      <c r="B2124" s="112">
        <f t="shared" ref="B2124:F2124" si="891">IFERROR((B882/B881-1),"")</f>
        <v>-3.6935137376098437E-3</v>
      </c>
      <c r="C2124" s="112">
        <f t="shared" si="891"/>
        <v>-1.4600759428671783E-2</v>
      </c>
      <c r="D2124" s="112">
        <f t="shared" si="891"/>
        <v>2.5335927249694468E-3</v>
      </c>
      <c r="E2124" s="112">
        <f t="shared" si="891"/>
        <v>-1.3313717511294731E-2</v>
      </c>
      <c r="F2124" s="112">
        <f t="shared" si="891"/>
        <v>-3.2620546939320372E-3</v>
      </c>
    </row>
    <row r="2125" spans="1:6">
      <c r="A2125" s="111">
        <f t="shared" si="845"/>
        <v>45733</v>
      </c>
      <c r="B2125" s="112">
        <f t="shared" ref="B2125:F2125" si="892">IFERROR((B883/B882-1),"")</f>
        <v>2.3321354265178673E-2</v>
      </c>
      <c r="C2125" s="112">
        <f t="shared" si="892"/>
        <v>9.9832013438925227E-3</v>
      </c>
      <c r="D2125" s="112">
        <f t="shared" si="892"/>
        <v>3.8584773681122897E-2</v>
      </c>
      <c r="E2125" s="112">
        <f t="shared" si="892"/>
        <v>-1.1283244329297393E-2</v>
      </c>
      <c r="F2125" s="112">
        <f t="shared" si="892"/>
        <v>4.9805332809458314E-3</v>
      </c>
    </row>
    <row r="2126" spans="1:6">
      <c r="A2126" s="111">
        <f t="shared" si="845"/>
        <v>45734</v>
      </c>
      <c r="B2126" s="112">
        <f t="shared" ref="B2126:F2126" si="893">IFERROR((B884/B883-1),"")</f>
        <v>3.1883629373602229E-2</v>
      </c>
      <c r="C2126" s="112">
        <f t="shared" si="893"/>
        <v>2.7284268267018019E-2</v>
      </c>
      <c r="D2126" s="112">
        <f t="shared" si="893"/>
        <v>1.1297471104545043E-2</v>
      </c>
      <c r="E2126" s="112">
        <f t="shared" si="893"/>
        <v>1.9979036984748566E-2</v>
      </c>
      <c r="F2126" s="112">
        <f t="shared" si="893"/>
        <v>1.4463264286110888E-2</v>
      </c>
    </row>
    <row r="2127" spans="1:6">
      <c r="A2127" s="111">
        <f t="shared" si="845"/>
        <v>45735</v>
      </c>
      <c r="B2127" s="112">
        <f t="shared" ref="B2127:F2127" si="894">IFERROR((B885/B884-1),"")</f>
        <v>-8.2395930357537228E-4</v>
      </c>
      <c r="C2127" s="112">
        <f t="shared" si="894"/>
        <v>-2.0552471583400456E-3</v>
      </c>
      <c r="D2127" s="112">
        <f t="shared" si="894"/>
        <v>7.2183552461972944E-3</v>
      </c>
      <c r="E2127" s="112">
        <f t="shared" si="894"/>
        <v>-1.2834762913407238E-2</v>
      </c>
      <c r="F2127" s="112">
        <f t="shared" si="894"/>
        <v>3.2100830767747279E-3</v>
      </c>
    </row>
    <row r="2128" spans="1:6">
      <c r="A2128" s="111">
        <f t="shared" si="845"/>
        <v>45736</v>
      </c>
      <c r="B2128" s="112">
        <f t="shared" ref="B2128:F2128" si="895">IFERROR((B886/B885-1),"")</f>
        <v>1.3983005270517435E-2</v>
      </c>
      <c r="C2128" s="112">
        <f t="shared" si="895"/>
        <v>3.68852187617974E-3</v>
      </c>
      <c r="D2128" s="112">
        <f t="shared" si="895"/>
        <v>1.2882859824247195E-2</v>
      </c>
      <c r="E2128" s="112">
        <f t="shared" si="895"/>
        <v>2.6343183701217354E-2</v>
      </c>
      <c r="F2128" s="112">
        <f t="shared" si="895"/>
        <v>1.2356161273987754E-2</v>
      </c>
    </row>
    <row r="2129" spans="1:6">
      <c r="A2129" s="111">
        <f t="shared" si="845"/>
        <v>45737</v>
      </c>
      <c r="B2129" s="112">
        <f t="shared" ref="B2129:F2129" si="896">IFERROR((B887/B886-1),"")</f>
        <v>-9.2818500053039044E-3</v>
      </c>
      <c r="C2129" s="112">
        <f t="shared" si="896"/>
        <v>2.2234538089017208E-2</v>
      </c>
      <c r="D2129" s="112">
        <f t="shared" si="896"/>
        <v>1.0908018867924474E-2</v>
      </c>
      <c r="E2129" s="112">
        <f t="shared" si="896"/>
        <v>-3.5395665583408675E-3</v>
      </c>
      <c r="F2129" s="112">
        <f t="shared" si="896"/>
        <v>6.8885520673203082E-3</v>
      </c>
    </row>
    <row r="2130" spans="1:6">
      <c r="A2130" s="111">
        <f t="shared" si="845"/>
        <v>45740</v>
      </c>
      <c r="B2130" s="112">
        <f t="shared" ref="B2130:F2130" si="897">IFERROR((B888/B887-1),"")</f>
        <v>-9.6900262326676811E-3</v>
      </c>
      <c r="C2130" s="112">
        <f t="shared" si="897"/>
        <v>2.9366964424022424E-3</v>
      </c>
      <c r="D2130" s="112">
        <f t="shared" si="897"/>
        <v>8.4572761738115343E-3</v>
      </c>
      <c r="E2130" s="112">
        <f t="shared" si="897"/>
        <v>-3.5625259659326503E-3</v>
      </c>
      <c r="F2130" s="112">
        <f t="shared" si="897"/>
        <v>1.3188210908592346E-2</v>
      </c>
    </row>
    <row r="2131" spans="1:6">
      <c r="A2131" s="111">
        <f t="shared" si="845"/>
        <v>45741</v>
      </c>
      <c r="B2131" s="112">
        <f t="shared" ref="B2131:F2131" si="898">IFERROR((B889/B888-1),"")</f>
        <v>-1.3947453778786811E-2</v>
      </c>
      <c r="C2131" s="112">
        <f t="shared" si="898"/>
        <v>2.4280685496586019E-2</v>
      </c>
      <c r="D2131" s="112">
        <f t="shared" si="898"/>
        <v>-2.6770222258943988E-2</v>
      </c>
      <c r="E2131" s="112">
        <f t="shared" si="898"/>
        <v>1.0079531359120875E-2</v>
      </c>
      <c r="F2131" s="112">
        <f t="shared" si="898"/>
        <v>4.353642582852757E-4</v>
      </c>
    </row>
    <row r="2132" spans="1:6">
      <c r="A2132" s="111">
        <f t="shared" si="845"/>
        <v>45742</v>
      </c>
      <c r="B2132" s="112">
        <f t="shared" ref="B2132:F2132" si="899">IFERROR((B890/B889-1),"")</f>
        <v>2.2843567251462638E-3</v>
      </c>
      <c r="C2132" s="112">
        <f t="shared" si="899"/>
        <v>8.6703023296725856E-3</v>
      </c>
      <c r="D2132" s="112">
        <f t="shared" si="899"/>
        <v>-1.129128109347155E-2</v>
      </c>
      <c r="E2132" s="112">
        <f t="shared" si="899"/>
        <v>9.287542309914798E-4</v>
      </c>
      <c r="F2132" s="112">
        <f t="shared" si="899"/>
        <v>-7.6810464475161044E-3</v>
      </c>
    </row>
    <row r="2133" spans="1:6">
      <c r="A2133" s="111">
        <f t="shared" si="845"/>
        <v>45743</v>
      </c>
      <c r="B2133" s="112">
        <f t="shared" ref="B2133:F2133" si="900">IFERROR((B891/B890-1),"")</f>
        <v>-3.3731424924787756E-3</v>
      </c>
      <c r="C2133" s="112">
        <f t="shared" si="900"/>
        <v>1.001594578433318E-2</v>
      </c>
      <c r="D2133" s="112">
        <f t="shared" si="900"/>
        <v>-2.0607934054609478E-3</v>
      </c>
      <c r="E2133" s="112">
        <f t="shared" si="900"/>
        <v>-1.7526857331381374E-3</v>
      </c>
      <c r="F2133" s="112">
        <f t="shared" si="900"/>
        <v>4.4748444342259663E-3</v>
      </c>
    </row>
    <row r="2134" spans="1:6">
      <c r="A2134" s="111">
        <f t="shared" si="845"/>
        <v>45744</v>
      </c>
      <c r="B2134" s="112">
        <f t="shared" ref="B2134:F2134" si="901">IFERROR((B892/B891-1),"")</f>
        <v>-2.4588364434687038E-2</v>
      </c>
      <c r="C2134" s="112">
        <f t="shared" si="901"/>
        <v>1.9734570033058674E-4</v>
      </c>
      <c r="D2134" s="112">
        <f t="shared" si="901"/>
        <v>-1.548786783686118E-2</v>
      </c>
      <c r="E2134" s="112">
        <f t="shared" si="901"/>
        <v>1.9767826158803459E-2</v>
      </c>
      <c r="F2134" s="112">
        <f t="shared" si="901"/>
        <v>-3.0773208658039231E-3</v>
      </c>
    </row>
    <row r="2135" spans="1:6">
      <c r="A2135" s="111">
        <f t="shared" si="845"/>
        <v>45748</v>
      </c>
      <c r="B2135" s="112">
        <f t="shared" ref="B2135:F2135" si="902">IFERROR((B893/B892-1),"")</f>
        <v>-1.0465901417960888E-2</v>
      </c>
      <c r="C2135" s="112">
        <f t="shared" si="902"/>
        <v>-4.0497213041976954E-2</v>
      </c>
      <c r="D2135" s="112">
        <f t="shared" si="902"/>
        <v>6.9917846530327399E-3</v>
      </c>
      <c r="E2135" s="112">
        <f t="shared" si="902"/>
        <v>-7.312280986043751E-3</v>
      </c>
      <c r="F2135" s="112">
        <f t="shared" si="902"/>
        <v>-1.5036555006834651E-2</v>
      </c>
    </row>
    <row r="2136" spans="1:6">
      <c r="A2136" s="111">
        <f t="shared" si="845"/>
        <v>45749</v>
      </c>
      <c r="B2136" s="112">
        <f t="shared" ref="B2136:F2136" si="903">IFERROR((B894/B893-1),"")</f>
        <v>-1.3268129951848895E-4</v>
      </c>
      <c r="C2136" s="112">
        <f t="shared" si="903"/>
        <v>-2.4740386592638774E-3</v>
      </c>
      <c r="D2136" s="112">
        <f t="shared" si="903"/>
        <v>-1.9093907307758951E-3</v>
      </c>
      <c r="E2136" s="112">
        <f t="shared" si="903"/>
        <v>2.7873000326477104E-2</v>
      </c>
      <c r="F2136" s="112">
        <f t="shared" si="903"/>
        <v>7.1938253538634811E-3</v>
      </c>
    </row>
    <row r="2137" spans="1:6">
      <c r="A2137" s="111">
        <f t="shared" si="845"/>
        <v>45750</v>
      </c>
      <c r="B2137" s="112">
        <f t="shared" ref="B2137:F2137" si="904">IFERROR((B895/B894-1),"")</f>
        <v>-9.8955470038484261E-3</v>
      </c>
      <c r="C2137" s="112">
        <f t="shared" si="904"/>
        <v>-7.7838833738106405E-2</v>
      </c>
      <c r="D2137" s="112">
        <f t="shared" si="904"/>
        <v>1.2608695652174262E-3</v>
      </c>
      <c r="E2137" s="112">
        <f t="shared" si="904"/>
        <v>7.1564696073371792E-3</v>
      </c>
      <c r="F2137" s="112">
        <f t="shared" si="904"/>
        <v>-3.5251485598322141E-3</v>
      </c>
    </row>
    <row r="2138" spans="1:6">
      <c r="A2138" s="111">
        <f t="shared" si="845"/>
        <v>45751</v>
      </c>
      <c r="B2138" s="112">
        <f t="shared" ref="B2138:F2138" si="905">IFERROR((B896/B895-1),"")</f>
        <v>-5.7056424591700461E-3</v>
      </c>
      <c r="C2138" s="112">
        <f t="shared" si="905"/>
        <v>-7.6773688769665061E-2</v>
      </c>
      <c r="D2138" s="112">
        <f t="shared" si="905"/>
        <v>-3.6041512875070514E-2</v>
      </c>
      <c r="E2138" s="112">
        <f t="shared" si="905"/>
        <v>-9.8650819462101635E-3</v>
      </c>
      <c r="F2138" s="112">
        <f t="shared" si="905"/>
        <v>-1.4866602724289302E-2</v>
      </c>
    </row>
    <row r="2139" spans="1:6">
      <c r="A2139" s="111">
        <f t="shared" si="845"/>
        <v>45754</v>
      </c>
      <c r="B2139" s="112">
        <f t="shared" ref="B2139:F2139" si="906">IFERROR((B897/B896-1),"")</f>
        <v>-4.0553811788719751E-2</v>
      </c>
      <c r="C2139" s="112">
        <f t="shared" si="906"/>
        <v>-4.0436447282797716E-2</v>
      </c>
      <c r="D2139" s="112">
        <f t="shared" si="906"/>
        <v>-1.9865759718906251E-2</v>
      </c>
      <c r="E2139" s="112">
        <f t="shared" si="906"/>
        <v>6.4597682844289572E-3</v>
      </c>
      <c r="F2139" s="112">
        <f t="shared" si="906"/>
        <v>-3.2432562231356932E-2</v>
      </c>
    </row>
    <row r="2140" spans="1:6">
      <c r="A2140" s="111">
        <f t="shared" si="845"/>
        <v>45755</v>
      </c>
      <c r="B2140" s="112">
        <f t="shared" ref="B2140:F2140" si="907">IFERROR((B898/B897-1),"")</f>
        <v>1.3005519317611736E-2</v>
      </c>
      <c r="C2140" s="112">
        <f t="shared" si="907"/>
        <v>2.0802119639787398E-2</v>
      </c>
      <c r="D2140" s="112">
        <f t="shared" si="907"/>
        <v>1.8430002757606312E-2</v>
      </c>
      <c r="E2140" s="112">
        <f t="shared" si="907"/>
        <v>2.442714874847951E-2</v>
      </c>
      <c r="F2140" s="112">
        <f t="shared" si="907"/>
        <v>1.68873186051548E-2</v>
      </c>
    </row>
    <row r="2141" spans="1:6">
      <c r="A2141" s="111">
        <f t="shared" si="845"/>
        <v>45756</v>
      </c>
      <c r="B2141" s="112">
        <f t="shared" ref="B2141:F2141" si="908">IFERROR((B899/B898-1),"")</f>
        <v>-2.1793830364758016E-4</v>
      </c>
      <c r="C2141" s="112">
        <f t="shared" si="908"/>
        <v>-2.3012390693075369E-2</v>
      </c>
      <c r="D2141" s="112">
        <f t="shared" si="908"/>
        <v>-1.2545692495148808E-2</v>
      </c>
      <c r="E2141" s="112">
        <f t="shared" si="908"/>
        <v>3.0911214727716629E-2</v>
      </c>
      <c r="F2141" s="112">
        <f t="shared" si="908"/>
        <v>-6.0658905699140231E-3</v>
      </c>
    </row>
    <row r="2142" spans="1:6">
      <c r="A2142" s="111">
        <f t="shared" si="845"/>
        <v>45758</v>
      </c>
      <c r="B2142" s="112">
        <f t="shared" ref="B2142:F2142" si="909">IFERROR((B900/B899-1),"")</f>
        <v>2.2690341246878853E-2</v>
      </c>
      <c r="C2142" s="112">
        <f t="shared" si="909"/>
        <v>-1.1069556347995668E-3</v>
      </c>
      <c r="D2142" s="112">
        <f t="shared" si="909"/>
        <v>1.4121840866505142E-2</v>
      </c>
      <c r="E2142" s="112">
        <f t="shared" si="909"/>
        <v>2.0133159782373955E-3</v>
      </c>
      <c r="F2142" s="112">
        <f t="shared" si="909"/>
        <v>1.91703703042303E-2</v>
      </c>
    </row>
    <row r="2143" spans="1:6">
      <c r="A2143" s="111">
        <f t="shared" ref="A2143:A2206" si="910">A901</f>
        <v>45762</v>
      </c>
      <c r="B2143" s="112">
        <f t="shared" ref="B2143:F2143" si="911">IFERROR((B901/B900-1),"")</f>
        <v>2.5442284961342487E-2</v>
      </c>
      <c r="C2143" s="112">
        <f t="shared" si="911"/>
        <v>2.3643861857155501E-2</v>
      </c>
      <c r="D2143" s="112">
        <f t="shared" si="911"/>
        <v>4.0919333032897853E-2</v>
      </c>
      <c r="E2143" s="112">
        <f t="shared" si="911"/>
        <v>7.6819558147360745E-3</v>
      </c>
      <c r="F2143" s="112">
        <f t="shared" si="911"/>
        <v>2.1902398531663314E-2</v>
      </c>
    </row>
    <row r="2144" spans="1:6">
      <c r="A2144" s="111">
        <f t="shared" si="910"/>
        <v>45763</v>
      </c>
      <c r="B2144" s="112">
        <f t="shared" ref="B2144:F2144" si="912">IFERROR((B902/B901-1),"")</f>
        <v>-4.308390022675801E-3</v>
      </c>
      <c r="C2144" s="112">
        <f t="shared" si="912"/>
        <v>-8.9699969068977037E-3</v>
      </c>
      <c r="D2144" s="112">
        <f t="shared" si="912"/>
        <v>3.0305654169191509E-3</v>
      </c>
      <c r="E2144" s="112">
        <f t="shared" si="912"/>
        <v>4.6185521117354522E-3</v>
      </c>
      <c r="F2144" s="112">
        <f t="shared" si="912"/>
        <v>4.6573833350123106E-3</v>
      </c>
    </row>
    <row r="2145" spans="1:6">
      <c r="A2145" s="111">
        <f t="shared" si="910"/>
        <v>45764</v>
      </c>
      <c r="B2145" s="112">
        <f t="shared" ref="B2145:F2145" si="913">IFERROR((B903/B902-1),"")</f>
        <v>1.7004478858270833E-2</v>
      </c>
      <c r="C2145" s="112">
        <f t="shared" si="913"/>
        <v>2.9962546816479474E-2</v>
      </c>
      <c r="D2145" s="112">
        <f t="shared" si="913"/>
        <v>4.4889502762428535E-3</v>
      </c>
      <c r="E2145" s="112">
        <f t="shared" si="913"/>
        <v>7.0898415863520636E-3</v>
      </c>
      <c r="F2145" s="112">
        <f t="shared" si="913"/>
        <v>1.7683426347857356E-2</v>
      </c>
    </row>
    <row r="2146" spans="1:6">
      <c r="A2146" s="111">
        <f t="shared" si="910"/>
        <v>45768</v>
      </c>
      <c r="B2146" s="112">
        <f t="shared" ref="B2146:F2146" si="914">IFERROR((B904/B903-1),"")</f>
        <v>3.1574233037247046E-2</v>
      </c>
      <c r="C2146" s="112">
        <f t="shared" si="914"/>
        <v>5.1212121212121042E-2</v>
      </c>
      <c r="D2146" s="112">
        <f t="shared" si="914"/>
        <v>1.185974561705061E-2</v>
      </c>
      <c r="E2146" s="112">
        <f t="shared" si="914"/>
        <v>-1.1256554101125804E-2</v>
      </c>
      <c r="F2146" s="112">
        <f t="shared" si="914"/>
        <v>1.1483482274811108E-2</v>
      </c>
    </row>
    <row r="2147" spans="1:6">
      <c r="A2147" s="111">
        <f t="shared" si="910"/>
        <v>45769</v>
      </c>
      <c r="B2147" s="112">
        <f t="shared" ref="B2147:F2147" si="915">IFERROR((B905/B904-1),"")</f>
        <v>1.9211287988422532E-2</v>
      </c>
      <c r="C2147" s="112">
        <f t="shared" si="915"/>
        <v>2.594407610262417E-3</v>
      </c>
      <c r="D2147" s="112">
        <f t="shared" si="915"/>
        <v>-2.03838967215908E-3</v>
      </c>
      <c r="E2147" s="112">
        <f t="shared" si="915"/>
        <v>7.8432099681080558E-3</v>
      </c>
      <c r="F2147" s="112">
        <f t="shared" si="915"/>
        <v>1.7284580040661801E-3</v>
      </c>
    </row>
    <row r="2148" spans="1:6">
      <c r="A2148" s="111">
        <f t="shared" si="910"/>
        <v>45770</v>
      </c>
      <c r="B2148" s="112">
        <f t="shared" ref="B2148:F2148" si="916">IFERROR((B906/B905-1),"")</f>
        <v>3.5745979908416547E-2</v>
      </c>
      <c r="C2148" s="112">
        <f t="shared" si="916"/>
        <v>6.2679700977573249E-2</v>
      </c>
      <c r="D2148" s="112">
        <f t="shared" si="916"/>
        <v>9.3617021276595214E-3</v>
      </c>
      <c r="E2148" s="112">
        <f t="shared" si="916"/>
        <v>2.0016557814368507E-2</v>
      </c>
      <c r="F2148" s="112">
        <f t="shared" si="916"/>
        <v>6.6908729789281196E-3</v>
      </c>
    </row>
    <row r="2149" spans="1:6">
      <c r="A2149" s="111">
        <f t="shared" si="910"/>
        <v>45771</v>
      </c>
      <c r="B2149" s="112">
        <f t="shared" ref="B2149:F2149" si="917">IFERROR((B907/B906-1),"")</f>
        <v>-5.6206731098773499E-3</v>
      </c>
      <c r="C2149" s="112">
        <f t="shared" si="917"/>
        <v>-1.9074675324675328E-2</v>
      </c>
      <c r="D2149" s="112">
        <f t="shared" si="917"/>
        <v>1.2225969645868418E-2</v>
      </c>
      <c r="E2149" s="112">
        <f t="shared" si="917"/>
        <v>-1.4862110636148951E-2</v>
      </c>
      <c r="F2149" s="112">
        <f t="shared" si="917"/>
        <v>-3.380745983694311E-3</v>
      </c>
    </row>
    <row r="2150" spans="1:6">
      <c r="A2150" s="111">
        <f t="shared" si="910"/>
        <v>45772</v>
      </c>
      <c r="B2150" s="112">
        <f t="shared" ref="B2150:F2150" si="918">IFERROR((B908/B907-1),"")</f>
        <v>-1.2821396567174514E-2</v>
      </c>
      <c r="C2150" s="112">
        <f t="shared" si="918"/>
        <v>1.916976968693973E-2</v>
      </c>
      <c r="D2150" s="112">
        <f t="shared" si="918"/>
        <v>-2.1407746772178271E-2</v>
      </c>
      <c r="E2150" s="112">
        <f t="shared" si="918"/>
        <v>-7.5797799300608704E-3</v>
      </c>
      <c r="F2150" s="112">
        <f t="shared" si="918"/>
        <v>-8.5516791975815964E-3</v>
      </c>
    </row>
    <row r="2151" spans="1:6">
      <c r="A2151" s="111">
        <f t="shared" si="910"/>
        <v>45775</v>
      </c>
      <c r="B2151" s="112">
        <f t="shared" ref="B2151:F2151" si="919">IFERROR((B909/B908-1),"")</f>
        <v>2.3182738635570077E-2</v>
      </c>
      <c r="C2151" s="112">
        <f t="shared" si="919"/>
        <v>-1.6914749661705031E-3</v>
      </c>
      <c r="D2151" s="112">
        <f t="shared" si="919"/>
        <v>2.0343888321416426E-2</v>
      </c>
      <c r="E2151" s="112">
        <f t="shared" si="919"/>
        <v>1.5312240568212676E-3</v>
      </c>
      <c r="F2151" s="112">
        <f t="shared" si="919"/>
        <v>1.2028195437896683E-2</v>
      </c>
    </row>
    <row r="2152" spans="1:6">
      <c r="A2152" s="111">
        <f t="shared" si="910"/>
        <v>45776</v>
      </c>
      <c r="B2152" s="112">
        <f t="shared" ref="B2152:F2152" si="920">IFERROR((B910/B909-1),"")</f>
        <v>-7.1657681020951269E-3</v>
      </c>
      <c r="C2152" s="112">
        <f t="shared" si="920"/>
        <v>1.4571331751948469E-2</v>
      </c>
      <c r="D2152" s="112">
        <f t="shared" si="920"/>
        <v>-1.8937181947109361E-2</v>
      </c>
      <c r="E2152" s="112">
        <f t="shared" si="920"/>
        <v>7.2760094311818957E-3</v>
      </c>
      <c r="F2152" s="112">
        <f t="shared" si="920"/>
        <v>3.0622520911682827E-4</v>
      </c>
    </row>
    <row r="2153" spans="1:6">
      <c r="A2153" s="111">
        <f t="shared" si="910"/>
        <v>45777</v>
      </c>
      <c r="B2153" s="112">
        <f t="shared" ref="B2153:F2153" si="921">IFERROR((B911/B910-1),"")</f>
        <v>6.5988452020897537E-3</v>
      </c>
      <c r="C2153" s="112">
        <f t="shared" si="921"/>
        <v>-2.4048096192384794E-2</v>
      </c>
      <c r="D2153" s="112">
        <f t="shared" si="921"/>
        <v>6.7176870748300033E-3</v>
      </c>
      <c r="E2153" s="112">
        <f t="shared" si="921"/>
        <v>-5.376442404403714E-3</v>
      </c>
      <c r="F2153" s="112">
        <f t="shared" si="921"/>
        <v>-7.1910075423398112E-5</v>
      </c>
    </row>
    <row r="2154" spans="1:6">
      <c r="A2154" s="111">
        <f t="shared" si="910"/>
        <v>45779</v>
      </c>
      <c r="B2154" s="112">
        <f t="shared" ref="B2154:F2154" si="922">IFERROR((B912/B911-1),"")</f>
        <v>-8.8773559136856584E-4</v>
      </c>
      <c r="C2154" s="112">
        <f t="shared" si="922"/>
        <v>1.0540725530458595E-2</v>
      </c>
      <c r="D2154" s="112">
        <f t="shared" si="922"/>
        <v>-8.4466593462284578E-4</v>
      </c>
      <c r="E2154" s="112">
        <f t="shared" si="922"/>
        <v>-2.4159296916655859E-2</v>
      </c>
      <c r="F2154" s="112">
        <f t="shared" si="922"/>
        <v>5.1368033467302787E-4</v>
      </c>
    </row>
    <row r="2155" spans="1:6">
      <c r="A2155" s="111">
        <f t="shared" si="910"/>
        <v>45782</v>
      </c>
      <c r="B2155" s="112">
        <f t="shared" ref="B2155:F2155" si="923">IFERROR((B913/B912-1),"")</f>
        <v>3.2567835417948165E-2</v>
      </c>
      <c r="C2155" s="112">
        <f t="shared" si="923"/>
        <v>1.5510701706854313E-2</v>
      </c>
      <c r="D2155" s="112">
        <f t="shared" si="923"/>
        <v>-9.8064079803873438E-3</v>
      </c>
      <c r="E2155" s="112">
        <f t="shared" si="923"/>
        <v>9.7032501177578556E-3</v>
      </c>
      <c r="F2155" s="112">
        <f t="shared" si="923"/>
        <v>4.7008424139616256E-3</v>
      </c>
    </row>
    <row r="2156" spans="1:6">
      <c r="A2156" s="111">
        <f t="shared" si="910"/>
        <v>45783</v>
      </c>
      <c r="B2156" s="112">
        <f t="shared" ref="B2156:F2156" si="924">IFERROR((B914/B913-1),"")</f>
        <v>1.5522091676319683E-2</v>
      </c>
      <c r="C2156" s="112">
        <f t="shared" si="924"/>
        <v>-9.4043887147334804E-3</v>
      </c>
      <c r="D2156" s="112">
        <f t="shared" si="924"/>
        <v>-9.3058994279858753E-3</v>
      </c>
      <c r="E2156" s="112">
        <f t="shared" si="924"/>
        <v>6.4377682403433667E-3</v>
      </c>
      <c r="F2156" s="112">
        <f t="shared" si="924"/>
        <v>-3.3338579747886898E-3</v>
      </c>
    </row>
    <row r="2157" spans="1:6">
      <c r="A2157" s="111">
        <f t="shared" si="910"/>
        <v>45784</v>
      </c>
      <c r="B2157" s="112">
        <f t="shared" ref="B2157:F2157" si="925">IFERROR((B915/B914-1),"")</f>
        <v>1.6783991656889485E-2</v>
      </c>
      <c r="C2157" s="112">
        <f t="shared" si="925"/>
        <v>2.3431187718825797E-2</v>
      </c>
      <c r="D2157" s="112">
        <f t="shared" si="925"/>
        <v>2.5853154084787278E-4</v>
      </c>
      <c r="E2157" s="112">
        <f t="shared" si="925"/>
        <v>-7.8798553814777295E-3</v>
      </c>
      <c r="F2157" s="112">
        <f t="shared" si="925"/>
        <v>1.4274229273656402E-3</v>
      </c>
    </row>
    <row r="2158" spans="1:6">
      <c r="A2158" s="111">
        <f t="shared" si="910"/>
        <v>45785</v>
      </c>
      <c r="B2158" s="112">
        <f t="shared" ref="B2158:F2158" si="926">IFERROR((B916/B915-1),"")</f>
        <v>-2.7821404532196614E-2</v>
      </c>
      <c r="C2158" s="112">
        <f t="shared" si="926"/>
        <v>2.0328947368421169E-2</v>
      </c>
      <c r="D2158" s="112">
        <f t="shared" si="926"/>
        <v>-1.0941673128284646E-2</v>
      </c>
      <c r="E2158" s="112">
        <f t="shared" si="926"/>
        <v>7.4752382732199418E-3</v>
      </c>
      <c r="F2158" s="112">
        <f t="shared" si="926"/>
        <v>-5.758896389016388E-3</v>
      </c>
    </row>
    <row r="2159" spans="1:6">
      <c r="A2159" s="111">
        <f t="shared" si="910"/>
        <v>45786</v>
      </c>
      <c r="B2159" s="112">
        <f t="shared" ref="B2159:F2159" si="927">IFERROR((B917/B916-1),"")</f>
        <v>-1.6814480234743301E-2</v>
      </c>
      <c r="C2159" s="112">
        <f t="shared" si="927"/>
        <v>-9.4783673995744167E-3</v>
      </c>
      <c r="D2159" s="112">
        <f t="shared" si="927"/>
        <v>6.881533101045445E-3</v>
      </c>
      <c r="E2159" s="112">
        <f t="shared" si="927"/>
        <v>8.3472454090149917E-3</v>
      </c>
      <c r="F2159" s="112">
        <f t="shared" si="927"/>
        <v>-1.0950077861727414E-2</v>
      </c>
    </row>
    <row r="2160" spans="1:6">
      <c r="A2160" s="111">
        <f t="shared" si="910"/>
        <v>45789</v>
      </c>
      <c r="B2160" s="112">
        <f t="shared" ref="B2160:F2160" si="928">IFERROR((B918/B917-1),"")</f>
        <v>4.1111968076187999E-2</v>
      </c>
      <c r="C2160" s="112">
        <f t="shared" si="928"/>
        <v>8.208566592891553E-2</v>
      </c>
      <c r="D2160" s="112">
        <f t="shared" si="928"/>
        <v>3.434553162038223E-2</v>
      </c>
      <c r="E2160" s="112">
        <f t="shared" si="928"/>
        <v>3.1732891832229493E-2</v>
      </c>
      <c r="F2160" s="112">
        <f t="shared" si="928"/>
        <v>3.8183105631456105E-2</v>
      </c>
    </row>
    <row r="2161" spans="1:6">
      <c r="A2161" s="111">
        <f t="shared" si="910"/>
        <v>45790</v>
      </c>
      <c r="B2161" s="112">
        <f t="shared" ref="B2161:F2161" si="929">IFERROR((B919/B918-1),"")</f>
        <v>-1.639449866331677E-2</v>
      </c>
      <c r="C2161" s="112">
        <f t="shared" si="929"/>
        <v>-5.4141851651327011E-3</v>
      </c>
      <c r="D2161" s="112">
        <f t="shared" si="929"/>
        <v>9.6186015389763124E-3</v>
      </c>
      <c r="E2161" s="112">
        <f t="shared" si="929"/>
        <v>-2.2020147989658567E-2</v>
      </c>
      <c r="F2161" s="112">
        <f t="shared" si="929"/>
        <v>-1.3895854313191403E-2</v>
      </c>
    </row>
    <row r="2162" spans="1:6">
      <c r="A2162" s="111">
        <f t="shared" si="910"/>
        <v>45791</v>
      </c>
      <c r="B2162" s="112">
        <f t="shared" ref="B2162:F2162" si="930">IFERROR((B920/B919-1),"")</f>
        <v>1.571812168445863E-2</v>
      </c>
      <c r="C2162" s="112">
        <f t="shared" si="930"/>
        <v>2.3831125627532979E-2</v>
      </c>
      <c r="D2162" s="112">
        <f t="shared" si="930"/>
        <v>1.0686769944495245E-2</v>
      </c>
      <c r="E2162" s="112">
        <f t="shared" si="930"/>
        <v>-1.8231540565172288E-4</v>
      </c>
      <c r="F2162" s="112">
        <f t="shared" si="930"/>
        <v>3.602764221357635E-3</v>
      </c>
    </row>
    <row r="2163" spans="1:6">
      <c r="A2163" s="111">
        <f t="shared" si="910"/>
        <v>45792</v>
      </c>
      <c r="B2163" s="112">
        <f t="shared" ref="B2163:F2163" si="931">IFERROR((B921/B920-1),"")</f>
        <v>1.3701721581017567E-2</v>
      </c>
      <c r="C2163" s="112">
        <f t="shared" si="931"/>
        <v>-2.9538606959300662E-4</v>
      </c>
      <c r="D2163" s="112">
        <f t="shared" si="931"/>
        <v>1.3360655737704841E-2</v>
      </c>
      <c r="E2163" s="112">
        <f t="shared" si="931"/>
        <v>-3.4646243617797445E-3</v>
      </c>
      <c r="F2163" s="112">
        <f t="shared" si="931"/>
        <v>1.6021470067175025E-2</v>
      </c>
    </row>
    <row r="2164" spans="1:6">
      <c r="A2164" s="111">
        <f t="shared" si="910"/>
        <v>45793</v>
      </c>
      <c r="B2164" s="112">
        <f t="shared" ref="B2164:F2164" si="932">IFERROR((B922/B921-1),"")</f>
        <v>-2.766911554241136E-3</v>
      </c>
      <c r="C2164" s="112">
        <f t="shared" si="932"/>
        <v>-4.1366268762557112E-3</v>
      </c>
      <c r="D2164" s="112">
        <f t="shared" si="932"/>
        <v>-4.5296449081937418E-3</v>
      </c>
      <c r="E2164" s="112">
        <f t="shared" si="932"/>
        <v>6.6788655077767434E-3</v>
      </c>
      <c r="F2164" s="112">
        <f t="shared" si="932"/>
        <v>-1.6878074862042292E-3</v>
      </c>
    </row>
    <row r="2165" spans="1:6">
      <c r="A2165" s="111">
        <f t="shared" si="910"/>
        <v>45796</v>
      </c>
      <c r="B2165" s="112">
        <f t="shared" ref="B2165:F2165" si="933">IFERROR((B923/B922-1),"")</f>
        <v>-2.4237785431815428E-3</v>
      </c>
      <c r="C2165" s="112">
        <f t="shared" si="933"/>
        <v>-1.7861381438404988E-2</v>
      </c>
      <c r="D2165" s="112">
        <f t="shared" si="933"/>
        <v>-9.5067847566425723E-3</v>
      </c>
      <c r="E2165" s="112">
        <f t="shared" si="933"/>
        <v>3.2718349541034364E-3</v>
      </c>
      <c r="F2165" s="112">
        <f t="shared" si="933"/>
        <v>-2.9716464560067823E-3</v>
      </c>
    </row>
    <row r="2166" spans="1:6">
      <c r="A2166" s="111">
        <f t="shared" si="910"/>
        <v>45797</v>
      </c>
      <c r="B2166" s="112">
        <f t="shared" ref="B2166:F2166" si="934">IFERROR((B924/B923-1),"")</f>
        <v>-2.0620204603580605E-2</v>
      </c>
      <c r="C2166" s="112">
        <f t="shared" si="934"/>
        <v>-8.4587034016071483E-3</v>
      </c>
      <c r="D2166" s="112">
        <f t="shared" si="934"/>
        <v>4.2657916324857492E-3</v>
      </c>
      <c r="E2166" s="112">
        <f t="shared" si="934"/>
        <v>-1.6577588549687494E-2</v>
      </c>
      <c r="F2166" s="112">
        <f t="shared" si="934"/>
        <v>-1.0484878003804265E-2</v>
      </c>
    </row>
    <row r="2167" spans="1:6">
      <c r="A2167" s="111">
        <f t="shared" si="910"/>
        <v>45798</v>
      </c>
      <c r="B2167" s="112">
        <f t="shared" ref="B2167:F2167" si="935">IFERROR((B925/B924-1),"")</f>
        <v>8.8787334747837399E-3</v>
      </c>
      <c r="C2167" s="112">
        <f t="shared" si="935"/>
        <v>7.3731034062520795E-3</v>
      </c>
      <c r="D2167" s="112">
        <f t="shared" si="935"/>
        <v>4.0842999509882461E-4</v>
      </c>
      <c r="E2167" s="112">
        <f t="shared" si="935"/>
        <v>1.2067059690493709E-2</v>
      </c>
      <c r="F2167" s="112">
        <f t="shared" si="935"/>
        <v>5.2483602672186436E-3</v>
      </c>
    </row>
    <row r="2168" spans="1:6">
      <c r="A2168" s="111">
        <f t="shared" si="910"/>
        <v>45799</v>
      </c>
      <c r="B2168" s="112">
        <f t="shared" ref="B2168:F2168" si="936">IFERROR((B926/B925-1),"")</f>
        <v>-2.7307729640534406E-2</v>
      </c>
      <c r="C2168" s="112">
        <f t="shared" si="936"/>
        <v>-4.8390999274128266E-4</v>
      </c>
      <c r="D2168" s="112">
        <f t="shared" si="936"/>
        <v>-2.0413162407120211E-3</v>
      </c>
      <c r="E2168" s="112">
        <f t="shared" si="936"/>
        <v>-1.0193865477382325E-2</v>
      </c>
      <c r="F2168" s="112">
        <f t="shared" si="936"/>
        <v>-8.2112725155107924E-3</v>
      </c>
    </row>
    <row r="2169" spans="1:6">
      <c r="A2169" s="111">
        <f t="shared" si="910"/>
        <v>45800</v>
      </c>
      <c r="B2169" s="112">
        <f t="shared" ref="B2169:F2169" si="937">IFERROR((B927/B926-1),"")</f>
        <v>2.1288627216178302E-3</v>
      </c>
      <c r="C2169" s="112">
        <f t="shared" si="937"/>
        <v>7.2016460905348634E-3</v>
      </c>
      <c r="D2169" s="112">
        <f t="shared" si="937"/>
        <v>6.4637538864342758E-3</v>
      </c>
      <c r="E2169" s="112">
        <f t="shared" si="937"/>
        <v>9.0114942528736197E-3</v>
      </c>
      <c r="F2169" s="112">
        <f t="shared" si="937"/>
        <v>9.8924407855438545E-3</v>
      </c>
    </row>
    <row r="2170" spans="1:6">
      <c r="A2170" s="111">
        <f t="shared" si="910"/>
        <v>45803</v>
      </c>
      <c r="B2170" s="112">
        <f t="shared" ref="B2170:F2170" si="938">IFERROR((B928/B927-1),"")</f>
        <v>2.2405151525209943E-2</v>
      </c>
      <c r="C2170" s="112">
        <f t="shared" si="938"/>
        <v>1.6102866069819033E-2</v>
      </c>
      <c r="D2170" s="112">
        <f t="shared" si="938"/>
        <v>8.7797740021138271E-3</v>
      </c>
      <c r="E2170" s="112">
        <f t="shared" si="938"/>
        <v>7.0172240955070908E-3</v>
      </c>
      <c r="F2170" s="112">
        <f t="shared" si="938"/>
        <v>5.954979549875894E-3</v>
      </c>
    </row>
    <row r="2171" spans="1:6">
      <c r="A2171" s="111">
        <f t="shared" si="910"/>
        <v>45804</v>
      </c>
      <c r="B2171" s="112">
        <f t="shared" ref="B2171:F2171" si="939">IFERROR((B929/B928-1),"")</f>
        <v>-1.3116031426530617E-2</v>
      </c>
      <c r="C2171" s="112">
        <f t="shared" si="939"/>
        <v>4.7306486902032319E-4</v>
      </c>
      <c r="D2171" s="112">
        <f t="shared" si="939"/>
        <v>1.8534934321863261E-3</v>
      </c>
      <c r="E2171" s="112">
        <f t="shared" si="939"/>
        <v>-5.1583710407240302E-3</v>
      </c>
      <c r="F2171" s="112">
        <f t="shared" si="939"/>
        <v>-6.9976781068070704E-3</v>
      </c>
    </row>
    <row r="2172" spans="1:6">
      <c r="A2172" s="111">
        <f t="shared" si="910"/>
        <v>45805</v>
      </c>
      <c r="B2172" s="112">
        <f t="shared" ref="B2172:F2172" si="940">IFERROR((B930/B929-1),"")</f>
        <v>-1.3816698467004396E-2</v>
      </c>
      <c r="C2172" s="112">
        <f t="shared" si="940"/>
        <v>8.8657722087592816E-4</v>
      </c>
      <c r="D2172" s="112">
        <f t="shared" si="940"/>
        <v>-4.8262548262556493E-4</v>
      </c>
      <c r="E2172" s="112">
        <f t="shared" si="940"/>
        <v>-4.2754480123715632E-3</v>
      </c>
      <c r="F2172" s="112">
        <f t="shared" si="940"/>
        <v>-2.9706519725128944E-3</v>
      </c>
    </row>
    <row r="2173" spans="1:6">
      <c r="A2173" s="111">
        <f t="shared" si="910"/>
        <v>45806</v>
      </c>
      <c r="B2173" s="112">
        <f t="shared" ref="B2173:F2173" si="941">IFERROR((B931/B930-1),"")</f>
        <v>3.7360731202882302E-3</v>
      </c>
      <c r="C2173" s="112">
        <f t="shared" si="941"/>
        <v>1.9310263375457604E-2</v>
      </c>
      <c r="D2173" s="112">
        <f t="shared" si="941"/>
        <v>4.5066795428940765E-3</v>
      </c>
      <c r="E2173" s="112">
        <f t="shared" si="941"/>
        <v>4.1110908094281751E-3</v>
      </c>
      <c r="F2173" s="112">
        <f t="shared" si="941"/>
        <v>3.2784633440325894E-3</v>
      </c>
    </row>
    <row r="2174" spans="1:6">
      <c r="A2174" s="111">
        <f t="shared" si="910"/>
        <v>45807</v>
      </c>
      <c r="B2174" s="112">
        <f t="shared" ref="B2174:F2174" si="942">IFERROR((B932/B931-1),"")</f>
        <v>-1.0701229644400123E-2</v>
      </c>
      <c r="C2174" s="112">
        <f t="shared" si="942"/>
        <v>-9.2694513643474252E-3</v>
      </c>
      <c r="D2174" s="112">
        <f t="shared" si="942"/>
        <v>2.4034609838166077E-3</v>
      </c>
      <c r="E2174" s="112">
        <f t="shared" si="942"/>
        <v>2.7295059594214521E-3</v>
      </c>
      <c r="F2174" s="112">
        <f t="shared" si="942"/>
        <v>-3.3382191869080202E-3</v>
      </c>
    </row>
    <row r="2175" spans="1:6">
      <c r="A2175" s="111">
        <f t="shared" si="910"/>
        <v>45810</v>
      </c>
      <c r="B2175" s="112">
        <f t="shared" ref="B2175:F2175" si="943">IFERROR((B933/B932-1),"")</f>
        <v>1.649422198333772E-2</v>
      </c>
      <c r="C2175" s="112">
        <f t="shared" si="943"/>
        <v>4.0933278755628244E-3</v>
      </c>
      <c r="D2175" s="112">
        <f t="shared" si="943"/>
        <v>-2.7973145780051389E-3</v>
      </c>
      <c r="E2175" s="112">
        <f t="shared" si="943"/>
        <v>1.7149079030940984E-2</v>
      </c>
      <c r="F2175" s="112">
        <f t="shared" si="943"/>
        <v>-1.3777388114276645E-3</v>
      </c>
    </row>
    <row r="2176" spans="1:6">
      <c r="A2176" s="111">
        <f t="shared" si="910"/>
        <v>45811</v>
      </c>
      <c r="B2176" s="112">
        <f t="shared" ref="B2176:F2176" si="944">IFERROR((B934/B933-1),"")</f>
        <v>6.8078918668825761E-3</v>
      </c>
      <c r="C2176" s="112">
        <f t="shared" si="944"/>
        <v>-1.0075126667054901E-2</v>
      </c>
      <c r="D2176" s="112">
        <f t="shared" si="944"/>
        <v>4.8088482808350541E-4</v>
      </c>
      <c r="E2176" s="112">
        <f t="shared" si="944"/>
        <v>-5.2631578947368585E-3</v>
      </c>
      <c r="F2176" s="112">
        <f t="shared" si="944"/>
        <v>-7.0438490730925229E-3</v>
      </c>
    </row>
    <row r="2177" spans="1:6">
      <c r="A2177" s="111">
        <f t="shared" si="910"/>
        <v>45812</v>
      </c>
      <c r="B2177" s="112">
        <f t="shared" ref="B2177:F2177" si="945">IFERROR((B935/B934-1),"")</f>
        <v>2.2648941408174306E-3</v>
      </c>
      <c r="C2177" s="112">
        <f t="shared" si="945"/>
        <v>1.4531121308389183E-2</v>
      </c>
      <c r="D2177" s="112">
        <f t="shared" si="945"/>
        <v>2.8839221341023791E-3</v>
      </c>
      <c r="E2177" s="112">
        <f t="shared" si="945"/>
        <v>-6.0084297372432482E-3</v>
      </c>
      <c r="F2177" s="112">
        <f t="shared" si="945"/>
        <v>3.1659366405216716E-3</v>
      </c>
    </row>
    <row r="2178" spans="1:6">
      <c r="A2178" s="111">
        <f t="shared" si="910"/>
        <v>45813</v>
      </c>
      <c r="B2178" s="112">
        <f t="shared" ref="B2178:F2178" si="946">IFERROR((B936/B935-1),"")</f>
        <v>-3.8645444422611419E-3</v>
      </c>
      <c r="C2178" s="112">
        <f t="shared" si="946"/>
        <v>2.4064946361264106E-2</v>
      </c>
      <c r="D2178" s="112">
        <f t="shared" si="946"/>
        <v>3.0913012221423397E-2</v>
      </c>
      <c r="E2178" s="112">
        <f t="shared" si="946"/>
        <v>1.0465535907614676E-2</v>
      </c>
      <c r="F2178" s="112">
        <f t="shared" si="946"/>
        <v>5.3086489955402882E-3</v>
      </c>
    </row>
    <row r="2179" spans="1:6">
      <c r="A2179" s="111">
        <f t="shared" si="910"/>
        <v>45814</v>
      </c>
      <c r="B2179" s="112">
        <f t="shared" ref="B2179:F2179" si="947">IFERROR((B937/B936-1),"")</f>
        <v>2.1337453971594034E-2</v>
      </c>
      <c r="C2179" s="112">
        <f t="shared" si="947"/>
        <v>5.3793884484711896E-3</v>
      </c>
      <c r="D2179" s="112">
        <f t="shared" si="947"/>
        <v>2.3477452347745453E-2</v>
      </c>
      <c r="E2179" s="112">
        <f t="shared" si="947"/>
        <v>1.339285714285765E-3</v>
      </c>
      <c r="F2179" s="112">
        <f t="shared" si="947"/>
        <v>1.0187508333030282E-2</v>
      </c>
    </row>
    <row r="2180" spans="1:6">
      <c r="A2180" s="111">
        <f t="shared" si="910"/>
        <v>45817</v>
      </c>
      <c r="B2180" s="112">
        <f t="shared" ref="B2180:F2180" si="948">IFERROR((B938/B937-1),"")</f>
        <v>-6.1483985192338775E-3</v>
      </c>
      <c r="C2180" s="112">
        <f t="shared" si="948"/>
        <v>1.0419600112644423E-2</v>
      </c>
      <c r="D2180" s="112">
        <f t="shared" si="948"/>
        <v>-1.3627072450602684E-3</v>
      </c>
      <c r="E2180" s="112">
        <f t="shared" si="948"/>
        <v>1.5960766830138251E-2</v>
      </c>
      <c r="F2180" s="112">
        <f t="shared" si="948"/>
        <v>4.0055113276180609E-3</v>
      </c>
    </row>
    <row r="2181" spans="1:6">
      <c r="A2181" s="111">
        <f t="shared" si="910"/>
        <v>45818</v>
      </c>
      <c r="B2181" s="112">
        <f t="shared" ref="B2181:F2181" si="949">IFERROR((B939/B938-1),"")</f>
        <v>-6.4455528924014516E-3</v>
      </c>
      <c r="C2181" s="112">
        <f t="shared" si="949"/>
        <v>2.0345596432552959E-2</v>
      </c>
      <c r="D2181" s="112">
        <f t="shared" si="949"/>
        <v>2.2515351375938186E-2</v>
      </c>
      <c r="E2181" s="112">
        <f t="shared" si="949"/>
        <v>-5.26592943654558E-3</v>
      </c>
      <c r="F2181" s="112">
        <f t="shared" si="949"/>
        <v>4.1827336753952338E-5</v>
      </c>
    </row>
    <row r="2182" spans="1:6">
      <c r="A2182" s="111">
        <f t="shared" si="910"/>
        <v>45819</v>
      </c>
      <c r="B2182" s="112">
        <f t="shared" ref="B2182:F2182" si="950">IFERROR((B940/B939-1),"")</f>
        <v>4.3031784841074394E-3</v>
      </c>
      <c r="C2182" s="112">
        <f t="shared" si="950"/>
        <v>-7.6481835564053968E-3</v>
      </c>
      <c r="D2182" s="112">
        <f t="shared" si="950"/>
        <v>1.705219454329665E-3</v>
      </c>
      <c r="E2182" s="112">
        <f t="shared" si="950"/>
        <v>-2.9998235397917794E-3</v>
      </c>
      <c r="F2182" s="112">
        <f t="shared" si="950"/>
        <v>1.4798291126005836E-3</v>
      </c>
    </row>
    <row r="2183" spans="1:6">
      <c r="A2183" s="111">
        <f t="shared" si="910"/>
        <v>45820</v>
      </c>
      <c r="B2183" s="112">
        <f t="shared" ref="B2183:F2183" si="951">IFERROR((B941/B940-1),"")</f>
        <v>-1.996299542311808E-2</v>
      </c>
      <c r="C2183" s="112">
        <f t="shared" si="951"/>
        <v>-1.7616295072942489E-2</v>
      </c>
      <c r="D2183" s="112">
        <f t="shared" si="951"/>
        <v>8.5855969210273386E-3</v>
      </c>
      <c r="E2183" s="112">
        <f t="shared" si="951"/>
        <v>-1.4247787610619511E-2</v>
      </c>
      <c r="F2183" s="112">
        <f t="shared" si="951"/>
        <v>-1.0071038207896121E-2</v>
      </c>
    </row>
    <row r="2184" spans="1:6">
      <c r="A2184" s="111">
        <f t="shared" si="910"/>
        <v>45821</v>
      </c>
      <c r="B2184" s="112">
        <f t="shared" ref="B2184:F2184" si="952">IFERROR((B942/B941-1),"")</f>
        <v>-4.3720190779014123E-3</v>
      </c>
      <c r="C2184" s="112">
        <f t="shared" si="952"/>
        <v>4.4830484729616593E-3</v>
      </c>
      <c r="D2184" s="112">
        <f t="shared" si="952"/>
        <v>-1.4676744698027822E-4</v>
      </c>
      <c r="E2184" s="112">
        <f t="shared" si="952"/>
        <v>8.9774665589459346E-5</v>
      </c>
      <c r="F2184" s="112">
        <f t="shared" si="952"/>
        <v>-6.8144743292002374E-3</v>
      </c>
    </row>
    <row r="2185" spans="1:6">
      <c r="A2185" s="111">
        <f t="shared" si="910"/>
        <v>45824</v>
      </c>
      <c r="B2185" s="112">
        <f t="shared" ref="B2185:F2185" si="953">IFERROR((B943/B942-1),"")</f>
        <v>5.8549567531602786E-3</v>
      </c>
      <c r="C2185" s="112">
        <f t="shared" si="953"/>
        <v>2.0641562064156238E-2</v>
      </c>
      <c r="D2185" s="112">
        <f t="shared" si="953"/>
        <v>-1.1522935779816557E-2</v>
      </c>
      <c r="E2185" s="112">
        <f t="shared" si="953"/>
        <v>-1.7055655296229766E-3</v>
      </c>
      <c r="F2185" s="112">
        <f t="shared" si="953"/>
        <v>9.2197778191323021E-3</v>
      </c>
    </row>
    <row r="2186" spans="1:6">
      <c r="A2186" s="111">
        <f t="shared" si="910"/>
        <v>45825</v>
      </c>
      <c r="B2186" s="112">
        <f t="shared" ref="B2186:F2186" si="954">IFERROR((B944/B943-1),"")</f>
        <v>-5.4239978833179325E-3</v>
      </c>
      <c r="C2186" s="112">
        <f t="shared" si="954"/>
        <v>6.0125717409127422E-3</v>
      </c>
      <c r="D2186" s="112">
        <f t="shared" si="954"/>
        <v>-2.0790020790020791E-2</v>
      </c>
      <c r="E2186" s="112">
        <f t="shared" si="954"/>
        <v>1.438719539609723E-3</v>
      </c>
      <c r="F2186" s="112">
        <f t="shared" si="954"/>
        <v>-3.7319864510051426E-3</v>
      </c>
    </row>
    <row r="2187" spans="1:6">
      <c r="A2187" s="111">
        <f t="shared" si="910"/>
        <v>45826</v>
      </c>
      <c r="B2187" s="112">
        <f t="shared" ref="B2187:F2187" si="955">IFERROR((B945/B944-1),"")</f>
        <v>1.1272944932162909E-2</v>
      </c>
      <c r="C2187" s="112">
        <f t="shared" si="955"/>
        <v>-3.80331431676173E-3</v>
      </c>
      <c r="D2187" s="112">
        <f t="shared" si="955"/>
        <v>-4.1704579921140184E-3</v>
      </c>
      <c r="E2187" s="112">
        <f t="shared" si="955"/>
        <v>7.1832629972168327E-4</v>
      </c>
      <c r="F2187" s="112">
        <f t="shared" si="955"/>
        <v>-1.6637562667483063E-3</v>
      </c>
    </row>
    <row r="2188" spans="1:6">
      <c r="A2188" s="111">
        <f t="shared" si="910"/>
        <v>45827</v>
      </c>
      <c r="B2188" s="112">
        <f t="shared" ref="B2188:F2188" si="956">IFERROR((B946/B945-1),"")</f>
        <v>1.7658084245832262E-2</v>
      </c>
      <c r="C2188" s="112">
        <f t="shared" si="956"/>
        <v>-2.154349604581407E-2</v>
      </c>
      <c r="D2188" s="112">
        <f t="shared" si="956"/>
        <v>9.746440264981393E-3</v>
      </c>
      <c r="E2188" s="112">
        <f t="shared" si="956"/>
        <v>-2.6020637056975993E-3</v>
      </c>
      <c r="F2188" s="112">
        <f t="shared" si="956"/>
        <v>-7.5769636124378703E-4</v>
      </c>
    </row>
    <row r="2189" spans="1:6">
      <c r="A2189" s="111">
        <f t="shared" si="910"/>
        <v>45828</v>
      </c>
      <c r="B2189" s="112">
        <f t="shared" ref="B2189:F2189" si="957">IFERROR((B947/B946-1),"")</f>
        <v>2.8951790099521757E-2</v>
      </c>
      <c r="C2189" s="112">
        <f t="shared" si="957"/>
        <v>2.1181716833890807E-2</v>
      </c>
      <c r="D2189" s="112">
        <f t="shared" si="957"/>
        <v>-6.0327275469418407E-4</v>
      </c>
      <c r="E2189" s="112">
        <f t="shared" si="957"/>
        <v>5.2177042101475557E-3</v>
      </c>
      <c r="F2189" s="112">
        <f t="shared" si="957"/>
        <v>1.2872455204541611E-2</v>
      </c>
    </row>
    <row r="2190" spans="1:6">
      <c r="A2190" s="111">
        <f t="shared" si="910"/>
        <v>45831</v>
      </c>
      <c r="B2190" s="112">
        <f t="shared" ref="B2190:F2190" si="958">IFERROR((B948/B947-1),"")</f>
        <v>-1.5513126491646823E-2</v>
      </c>
      <c r="C2190" s="112">
        <f t="shared" si="958"/>
        <v>-5.4585152838426687E-4</v>
      </c>
      <c r="D2190" s="112">
        <f t="shared" si="958"/>
        <v>-5.5836414396739364E-3</v>
      </c>
      <c r="E2190" s="112">
        <f t="shared" si="958"/>
        <v>-3.132271344191917E-3</v>
      </c>
      <c r="F2190" s="112">
        <f t="shared" si="958"/>
        <v>-5.594845574297902E-3</v>
      </c>
    </row>
    <row r="2191" spans="1:6">
      <c r="A2191" s="111">
        <f t="shared" si="910"/>
        <v>45832</v>
      </c>
      <c r="B2191" s="112">
        <f t="shared" ref="B2191:F2191" si="959">IFERROR((B949/B948-1),"")</f>
        <v>4.8165869218499413E-3</v>
      </c>
      <c r="C2191" s="112">
        <f t="shared" si="959"/>
        <v>1.6930638995084735E-2</v>
      </c>
      <c r="D2191" s="112">
        <f t="shared" si="959"/>
        <v>1.4720388496850978E-2</v>
      </c>
      <c r="E2191" s="112">
        <f t="shared" si="959"/>
        <v>8.5285932309902002E-3</v>
      </c>
      <c r="F2191" s="112">
        <f t="shared" si="959"/>
        <v>2.9012610173835274E-3</v>
      </c>
    </row>
    <row r="2192" spans="1:6">
      <c r="A2192" s="111">
        <f t="shared" si="910"/>
        <v>45833</v>
      </c>
      <c r="B2192" s="112">
        <f t="shared" ref="B2192:F2192" si="960">IFERROR((B950/B949-1),"")</f>
        <v>2.076124567474058E-2</v>
      </c>
      <c r="C2192" s="112">
        <f t="shared" si="960"/>
        <v>9.6670247046186653E-3</v>
      </c>
      <c r="D2192" s="112">
        <f t="shared" si="960"/>
        <v>3.215434083601254E-3</v>
      </c>
      <c r="E2192" s="112">
        <f t="shared" si="960"/>
        <v>1.6200818942496031E-2</v>
      </c>
      <c r="F2192" s="112">
        <f t="shared" si="960"/>
        <v>8.001804798287937E-3</v>
      </c>
    </row>
    <row r="2193" spans="1:6">
      <c r="A2193" s="111">
        <f t="shared" si="910"/>
        <v>45834</v>
      </c>
      <c r="B2193" s="112">
        <f t="shared" ref="B2193:F2193" si="961">IFERROR((B951/B950-1),"")</f>
        <v>9.3298087389337425E-5</v>
      </c>
      <c r="C2193" s="112">
        <f t="shared" si="961"/>
        <v>4.2553191489360653E-3</v>
      </c>
      <c r="D2193" s="112">
        <f t="shared" si="961"/>
        <v>-1.498211091234336E-2</v>
      </c>
      <c r="E2193" s="112">
        <f t="shared" si="961"/>
        <v>2.1023125437981793E-2</v>
      </c>
      <c r="F2193" s="112">
        <f t="shared" si="961"/>
        <v>1.2052010814129765E-2</v>
      </c>
    </row>
    <row r="2194" spans="1:6">
      <c r="A2194" s="111">
        <f t="shared" si="910"/>
        <v>45835</v>
      </c>
      <c r="B2194" s="112">
        <f t="shared" ref="B2194:F2194" si="962">IFERROR((B952/B951-1),"")</f>
        <v>-3.8870576528391432E-3</v>
      </c>
      <c r="C2194" s="112">
        <f t="shared" si="962"/>
        <v>6.0911016949152241E-3</v>
      </c>
      <c r="D2194" s="112">
        <f t="shared" si="962"/>
        <v>-1.5512674990541098E-2</v>
      </c>
      <c r="E2194" s="112">
        <f t="shared" si="962"/>
        <v>-5.7481125600549188E-3</v>
      </c>
      <c r="F2194" s="112">
        <f t="shared" si="962"/>
        <v>3.4756741946846414E-3</v>
      </c>
    </row>
    <row r="2195" spans="1:6">
      <c r="A2195" s="111">
        <f t="shared" si="910"/>
        <v>45838</v>
      </c>
      <c r="B2195" s="112">
        <f t="shared" ref="B2195:F2195" si="963">IFERROR((B953/B952-1),"")</f>
        <v>-6.2747791340181935E-3</v>
      </c>
      <c r="C2195" s="112">
        <f t="shared" si="963"/>
        <v>1.3161358252171684E-2</v>
      </c>
      <c r="D2195" s="112">
        <f t="shared" si="963"/>
        <v>-1.360491929285168E-2</v>
      </c>
      <c r="E2195" s="112">
        <f t="shared" si="963"/>
        <v>9.7506255932349184E-3</v>
      </c>
      <c r="F2195" s="112">
        <f t="shared" si="963"/>
        <v>-4.7098424981862896E-3</v>
      </c>
    </row>
    <row r="2196" spans="1:6">
      <c r="A2196" s="111">
        <f t="shared" si="910"/>
        <v>45839</v>
      </c>
      <c r="B2196" s="112">
        <f t="shared" ref="B2196:F2196" si="964">IFERROR((B954/B953-1),"")</f>
        <v>-2.230459914551397E-3</v>
      </c>
      <c r="C2196" s="112">
        <f t="shared" si="964"/>
        <v>-1.0392309690828716E-3</v>
      </c>
      <c r="D2196" s="112">
        <f t="shared" si="964"/>
        <v>-5.0650666251071952E-3</v>
      </c>
      <c r="E2196" s="112">
        <f t="shared" si="964"/>
        <v>-1.837292770466592E-2</v>
      </c>
      <c r="F2196" s="112">
        <f t="shared" si="964"/>
        <v>9.6993970698022736E-4</v>
      </c>
    </row>
    <row r="2197" spans="1:6">
      <c r="A2197" s="111">
        <f t="shared" si="910"/>
        <v>45840</v>
      </c>
      <c r="B2197" s="112">
        <f t="shared" ref="B2197:F2197" si="965">IFERROR((B955/B954-1),"")</f>
        <v>-3.4318818676993823E-3</v>
      </c>
      <c r="C2197" s="112">
        <f t="shared" si="965"/>
        <v>1.8725617685304563E-3</v>
      </c>
      <c r="D2197" s="112">
        <f t="shared" si="965"/>
        <v>-4.6992481203007586E-3</v>
      </c>
      <c r="E2197" s="112">
        <f t="shared" si="965"/>
        <v>8.0961086445547892E-3</v>
      </c>
      <c r="F2197" s="112">
        <f t="shared" si="965"/>
        <v>-3.4609933520737268E-3</v>
      </c>
    </row>
    <row r="2198" spans="1:6">
      <c r="A2198" s="111">
        <f t="shared" si="910"/>
        <v>45841</v>
      </c>
      <c r="B2198" s="112">
        <f t="shared" ref="B2198:F2198" si="966">IFERROR((B956/B955-1),"")</f>
        <v>2.9066093769747336E-3</v>
      </c>
      <c r="C2198" s="112">
        <f t="shared" si="966"/>
        <v>6.3340428845855001E-3</v>
      </c>
      <c r="D2198" s="112">
        <f t="shared" si="966"/>
        <v>1.6131570664148498E-2</v>
      </c>
      <c r="E2198" s="112">
        <f t="shared" si="966"/>
        <v>7.7720207253895168E-4</v>
      </c>
      <c r="F2198" s="112">
        <f t="shared" si="966"/>
        <v>-1.8897278948981633E-3</v>
      </c>
    </row>
    <row r="2199" spans="1:6">
      <c r="A2199" s="111">
        <f t="shared" si="910"/>
        <v>45842</v>
      </c>
      <c r="B2199" s="112">
        <f t="shared" ref="B2199:F2199" si="967">IFERROR((B957/B956-1),"")</f>
        <v>-3.7487399193548709E-3</v>
      </c>
      <c r="C2199" s="112">
        <f t="shared" si="967"/>
        <v>6.3457669091471214E-3</v>
      </c>
      <c r="D2199" s="112">
        <f t="shared" si="967"/>
        <v>1.2468055447998339E-2</v>
      </c>
      <c r="E2199" s="112">
        <f t="shared" si="967"/>
        <v>-3.9692812149452195E-3</v>
      </c>
      <c r="F2199" s="112">
        <f t="shared" si="967"/>
        <v>2.1924559048702719E-3</v>
      </c>
    </row>
    <row r="2200" spans="1:6">
      <c r="A2200" s="111">
        <f t="shared" si="910"/>
        <v>45845</v>
      </c>
      <c r="B2200" s="112">
        <f t="shared" ref="B2200:F2200" si="968">IFERROR((B958/B957-1),"")</f>
        <v>-7.2727272727279857E-4</v>
      </c>
      <c r="C2200" s="112">
        <f t="shared" si="968"/>
        <v>-4.5626986568234607E-3</v>
      </c>
      <c r="D2200" s="112">
        <f t="shared" si="968"/>
        <v>2.3711182499617234E-3</v>
      </c>
      <c r="E2200" s="112">
        <f t="shared" si="968"/>
        <v>1.949233301568043E-2</v>
      </c>
      <c r="F2200" s="112">
        <f t="shared" si="968"/>
        <v>1.1782726522913123E-5</v>
      </c>
    </row>
    <row r="2201" spans="1:6">
      <c r="A2201" s="111">
        <f t="shared" si="910"/>
        <v>45846</v>
      </c>
      <c r="B2201" s="112">
        <f t="shared" ref="B2201:F2201" si="969">IFERROR((B959/B958-1),"")</f>
        <v>-7.2780203784561515E-4</v>
      </c>
      <c r="C2201" s="112">
        <f t="shared" si="969"/>
        <v>4.0685996806921754E-3</v>
      </c>
      <c r="D2201" s="112">
        <f t="shared" si="969"/>
        <v>-2.0373903090423529E-2</v>
      </c>
      <c r="E2201" s="112">
        <f t="shared" si="969"/>
        <v>-7.6478585995921611E-3</v>
      </c>
      <c r="F2201" s="112">
        <f t="shared" si="969"/>
        <v>2.403647889149374E-3</v>
      </c>
    </row>
    <row r="2202" spans="1:6">
      <c r="A2202" s="111">
        <f t="shared" si="910"/>
        <v>45847</v>
      </c>
      <c r="B2202" s="112">
        <f t="shared" ref="B2202:F2202" si="970">IFERROR((B960/B959-1),"")</f>
        <v>5.8266569555718295E-3</v>
      </c>
      <c r="C2202" s="112">
        <f t="shared" si="970"/>
        <v>-9.3865408288879015E-3</v>
      </c>
      <c r="D2202" s="112">
        <f t="shared" si="970"/>
        <v>-1.1216700420626169E-2</v>
      </c>
      <c r="E2202" s="112">
        <f t="shared" si="970"/>
        <v>7.364274704572793E-3</v>
      </c>
      <c r="F2202" s="112">
        <f t="shared" si="970"/>
        <v>-1.8180037222059742E-3</v>
      </c>
    </row>
    <row r="2203" spans="1:6">
      <c r="A2203" s="111">
        <f t="shared" si="910"/>
        <v>45848</v>
      </c>
      <c r="B2203" s="112">
        <f t="shared" ref="B2203:F2203" si="971">IFERROR((B961/B960-1),"")</f>
        <v>-4.3761609419765701E-3</v>
      </c>
      <c r="C2203" s="112">
        <f t="shared" si="971"/>
        <v>-2.2575467301817365E-2</v>
      </c>
      <c r="D2203" s="112">
        <f t="shared" si="971"/>
        <v>-5.3568615093746441E-3</v>
      </c>
      <c r="E2203" s="112">
        <f t="shared" si="971"/>
        <v>-6.8004080244810083E-4</v>
      </c>
      <c r="F2203" s="112">
        <f t="shared" si="971"/>
        <v>-4.7436617064621212E-3</v>
      </c>
    </row>
    <row r="2204" spans="1:6">
      <c r="A2204" s="111">
        <f t="shared" si="910"/>
        <v>45849</v>
      </c>
      <c r="B2204" s="112">
        <f t="shared" ref="B2204:F2204" si="972">IFERROR((B962/B961-1),"")</f>
        <v>-2.8206425499620602E-2</v>
      </c>
      <c r="C2204" s="112">
        <f t="shared" si="972"/>
        <v>-1.0541929331991384E-2</v>
      </c>
      <c r="D2204" s="112">
        <f t="shared" si="972"/>
        <v>-6.256930144146855E-3</v>
      </c>
      <c r="E2204" s="112">
        <f t="shared" si="972"/>
        <v>-2.0330044232732214E-2</v>
      </c>
      <c r="F2204" s="112">
        <f t="shared" si="972"/>
        <v>-8.1008864041963724E-3</v>
      </c>
    </row>
    <row r="2205" spans="1:6">
      <c r="A2205" s="111">
        <f t="shared" si="910"/>
        <v>45852</v>
      </c>
      <c r="B2205" s="112">
        <f t="shared" ref="B2205:F2205" si="973">IFERROR((B963/B962-1),"")</f>
        <v>6.1499414291292798E-3</v>
      </c>
      <c r="C2205" s="112">
        <f t="shared" si="973"/>
        <v>3.8548024413749271E-3</v>
      </c>
      <c r="D2205" s="112">
        <f t="shared" si="973"/>
        <v>-3.2677133976249939E-3</v>
      </c>
      <c r="E2205" s="112">
        <f t="shared" si="973"/>
        <v>3.3862985152384173E-3</v>
      </c>
      <c r="F2205" s="112">
        <f t="shared" si="973"/>
        <v>-2.68590071113739E-3</v>
      </c>
    </row>
    <row r="2206" spans="1:6">
      <c r="A2206" s="111">
        <f t="shared" si="910"/>
        <v>45853</v>
      </c>
      <c r="B2206" s="112">
        <f t="shared" ref="B2206:F2206" si="974">IFERROR((B964/B963-1),"")</f>
        <v>1.1804275411532617E-2</v>
      </c>
      <c r="C2206" s="112">
        <f t="shared" si="974"/>
        <v>1.0080000000000089E-2</v>
      </c>
      <c r="D2206" s="112">
        <f t="shared" si="974"/>
        <v>8.2360466975852642E-3</v>
      </c>
      <c r="E2206" s="112">
        <f t="shared" si="974"/>
        <v>1.2980269989615323E-3</v>
      </c>
      <c r="F2206" s="112">
        <f t="shared" si="974"/>
        <v>4.5251033597397683E-3</v>
      </c>
    </row>
    <row r="2207" spans="1:6">
      <c r="A2207" s="111">
        <f t="shared" ref="A2207:A2270" si="975">A965</f>
        <v>45854</v>
      </c>
      <c r="B2207" s="112">
        <f t="shared" ref="B2207:F2207" si="976">IFERROR((B965/B964-1),"")</f>
        <v>2.1702998146135632E-2</v>
      </c>
      <c r="C2207" s="112">
        <f t="shared" si="976"/>
        <v>-6.0721263002270209E-3</v>
      </c>
      <c r="D2207" s="112">
        <f t="shared" si="976"/>
        <v>-1.1896264572923698E-3</v>
      </c>
      <c r="E2207" s="112">
        <f t="shared" si="976"/>
        <v>1.7284590787314258E-4</v>
      </c>
      <c r="F2207" s="112">
        <f t="shared" si="976"/>
        <v>6.4494876130138934E-4</v>
      </c>
    </row>
    <row r="2208" spans="1:6">
      <c r="A2208" s="111">
        <f t="shared" si="975"/>
        <v>45855</v>
      </c>
      <c r="B2208" s="112">
        <f t="shared" ref="B2208:F2208" si="977">IFERROR((B966/B965-1),"")</f>
        <v>-4.6926325668694702E-4</v>
      </c>
      <c r="C2208" s="112">
        <f t="shared" si="977"/>
        <v>-9.0841478963026301E-3</v>
      </c>
      <c r="D2208" s="112">
        <f t="shared" si="977"/>
        <v>2.9379069398125512E-3</v>
      </c>
      <c r="E2208" s="112">
        <f t="shared" si="977"/>
        <v>3.6291367838936495E-3</v>
      </c>
      <c r="F2208" s="112">
        <f t="shared" si="977"/>
        <v>-3.9901555010400935E-3</v>
      </c>
    </row>
    <row r="2209" spans="1:6">
      <c r="A2209" s="111">
        <f t="shared" si="975"/>
        <v>45856</v>
      </c>
      <c r="B2209" s="112">
        <f t="shared" ref="B2209:F2209" si="978">IFERROR((B967/B966-1),"")</f>
        <v>-8.137715179968863E-4</v>
      </c>
      <c r="C2209" s="112">
        <f t="shared" si="978"/>
        <v>-3.2166407548384068E-3</v>
      </c>
      <c r="D2209" s="112">
        <f t="shared" si="978"/>
        <v>-4.4335365370912205E-3</v>
      </c>
      <c r="E2209" s="112">
        <f t="shared" si="978"/>
        <v>-1.2397761515281935E-2</v>
      </c>
      <c r="F2209" s="112">
        <f t="shared" si="978"/>
        <v>-5.6966045369741813E-3</v>
      </c>
    </row>
    <row r="2210" spans="1:6">
      <c r="A2210" s="111">
        <f t="shared" si="975"/>
        <v>45859</v>
      </c>
      <c r="B2210" s="112">
        <f t="shared" ref="B2210:F2210" si="979">IFERROR((B968/B967-1),"")</f>
        <v>1.7009146723468094E-2</v>
      </c>
      <c r="C2210" s="112">
        <f t="shared" si="979"/>
        <v>8.0675523046307429E-3</v>
      </c>
      <c r="D2210" s="112">
        <f t="shared" si="979"/>
        <v>1.4314115308151631E-3</v>
      </c>
      <c r="E2210" s="112">
        <f t="shared" si="979"/>
        <v>-9.4150466393514431E-3</v>
      </c>
      <c r="F2210" s="112">
        <f t="shared" si="979"/>
        <v>4.8981913138206323E-3</v>
      </c>
    </row>
    <row r="2211" spans="1:6">
      <c r="A2211" s="111">
        <f t="shared" si="975"/>
        <v>45860</v>
      </c>
      <c r="B2211" s="112">
        <f t="shared" ref="B2211:F2211" si="980">IFERROR((B969/B968-1),"")</f>
        <v>3.2340530384697974E-3</v>
      </c>
      <c r="C2211" s="112">
        <f t="shared" si="980"/>
        <v>-8.4831670490315148E-3</v>
      </c>
      <c r="D2211" s="112">
        <f t="shared" si="980"/>
        <v>-1.5325974747875781E-2</v>
      </c>
      <c r="E2211" s="112">
        <f t="shared" si="980"/>
        <v>4.7522661269030486E-3</v>
      </c>
      <c r="F2211" s="112">
        <f t="shared" si="980"/>
        <v>-1.1876910568456855E-3</v>
      </c>
    </row>
    <row r="2212" spans="1:6">
      <c r="A2212" s="111">
        <f t="shared" si="975"/>
        <v>45861</v>
      </c>
      <c r="B2212" s="112">
        <f t="shared" ref="B2212:F2212" si="981">IFERROR((B970/B969-1),"")</f>
        <v>3.5613410291048808E-3</v>
      </c>
      <c r="C2212" s="112">
        <f t="shared" si="981"/>
        <v>-4.681446405510159E-3</v>
      </c>
      <c r="D2212" s="112">
        <f t="shared" si="981"/>
        <v>5.9677419354839945E-3</v>
      </c>
      <c r="E2212" s="112">
        <f t="shared" si="981"/>
        <v>1.9269510379258392E-3</v>
      </c>
      <c r="F2212" s="112">
        <f t="shared" si="981"/>
        <v>6.3445446891372548E-3</v>
      </c>
    </row>
    <row r="2213" spans="1:6">
      <c r="A2213" s="111">
        <f t="shared" si="975"/>
        <v>45862</v>
      </c>
      <c r="B2213" s="112">
        <f t="shared" ref="B2213:F2213" si="982">IFERROR((B971/B970-1),"")</f>
        <v>-2.4167890357318367E-3</v>
      </c>
      <c r="C2213" s="112">
        <f t="shared" si="982"/>
        <v>-9.3907120073525419E-2</v>
      </c>
      <c r="D2213" s="112">
        <f t="shared" si="982"/>
        <v>1.451018117684777E-2</v>
      </c>
      <c r="E2213" s="112">
        <f t="shared" si="982"/>
        <v>-8.1300813008130524E-3</v>
      </c>
      <c r="F2213" s="112">
        <f t="shared" si="982"/>
        <v>-6.2569637468825601E-3</v>
      </c>
    </row>
    <row r="2214" spans="1:6">
      <c r="A2214" s="111">
        <f t="shared" si="975"/>
        <v>45863</v>
      </c>
      <c r="B2214" s="112">
        <f t="shared" ref="B2214:F2214" si="983">IFERROR((B972/B971-1),"")</f>
        <v>-4.4466251648317412E-3</v>
      </c>
      <c r="C2214" s="112">
        <f t="shared" si="983"/>
        <v>7.6372315035799776E-3</v>
      </c>
      <c r="D2214" s="112">
        <f t="shared" si="983"/>
        <v>9.7984986171475441E-3</v>
      </c>
      <c r="E2214" s="112">
        <f t="shared" si="983"/>
        <v>-1.3925612550678701E-2</v>
      </c>
      <c r="F2214" s="112">
        <f t="shared" si="983"/>
        <v>-8.9816894833233407E-3</v>
      </c>
    </row>
    <row r="2215" spans="1:6">
      <c r="A2215" s="111">
        <f t="shared" si="975"/>
        <v>45866</v>
      </c>
      <c r="B2215" s="112">
        <f t="shared" ref="B2215:F2215" si="984">IFERROR((B973/B972-1),"")</f>
        <v>-1.12740266140956E-2</v>
      </c>
      <c r="C2215" s="112">
        <f t="shared" si="984"/>
        <v>2.1257697773567008E-2</v>
      </c>
      <c r="D2215" s="112">
        <f t="shared" si="984"/>
        <v>7.4340715235934329E-3</v>
      </c>
      <c r="E2215" s="112">
        <f t="shared" si="984"/>
        <v>5.4522702895960506E-3</v>
      </c>
      <c r="F2215" s="112">
        <f t="shared" si="984"/>
        <v>-6.2849780569311786E-3</v>
      </c>
    </row>
    <row r="2216" spans="1:6">
      <c r="A2216" s="111">
        <f t="shared" si="975"/>
        <v>45867</v>
      </c>
      <c r="B2216" s="112">
        <f t="shared" ref="B2216:F2216" si="985">IFERROR((B974/B973-1),"")</f>
        <v>-3.240077263380936E-3</v>
      </c>
      <c r="C2216" s="112">
        <f t="shared" si="985"/>
        <v>-2.4352061228040123E-3</v>
      </c>
      <c r="D2216" s="112">
        <f t="shared" si="985"/>
        <v>9.6318160633834804E-3</v>
      </c>
      <c r="E2216" s="112">
        <f t="shared" si="985"/>
        <v>2.6669037247750715E-4</v>
      </c>
      <c r="F2216" s="112">
        <f t="shared" si="985"/>
        <v>5.6805059783069378E-3</v>
      </c>
    </row>
    <row r="2217" spans="1:6">
      <c r="A2217" s="111">
        <f t="shared" si="975"/>
        <v>45868</v>
      </c>
      <c r="B2217" s="112">
        <f t="shared" ref="B2217:F2217" si="986">IFERROR((B975/B974-1),"")</f>
        <v>2.9693067450147215E-3</v>
      </c>
      <c r="C2217" s="112">
        <f t="shared" si="986"/>
        <v>1.6855565242662074E-2</v>
      </c>
      <c r="D2217" s="112">
        <f t="shared" si="986"/>
        <v>-5.9239883058932463E-3</v>
      </c>
      <c r="E2217" s="112">
        <f t="shared" si="986"/>
        <v>2.150728759331666E-2</v>
      </c>
      <c r="F2217" s="112">
        <f t="shared" si="986"/>
        <v>1.3677878901419138E-3</v>
      </c>
    </row>
    <row r="2218" spans="1:6">
      <c r="A2218" s="111">
        <f t="shared" si="975"/>
        <v>45869</v>
      </c>
      <c r="B2218" s="112">
        <f t="shared" ref="B2218:F2218" si="987">IFERROR((B976/B975-1),"")</f>
        <v>-1.80747296581385E-3</v>
      </c>
      <c r="C2218" s="112">
        <f t="shared" si="987"/>
        <v>-7.430694484138467E-4</v>
      </c>
      <c r="D2218" s="112">
        <f t="shared" si="987"/>
        <v>-1.6871759151768417E-2</v>
      </c>
      <c r="E2218" s="112">
        <f t="shared" si="987"/>
        <v>4.1760918740212372E-3</v>
      </c>
      <c r="F2218" s="112">
        <f t="shared" si="987"/>
        <v>-3.4882247269669708E-3</v>
      </c>
    </row>
    <row r="2219" spans="1:6">
      <c r="A2219" s="111">
        <f t="shared" si="975"/>
        <v>45870</v>
      </c>
      <c r="B2219" s="112">
        <f t="shared" ref="B2219:F2219" si="988">IFERROR((B977/B976-1),"")</f>
        <v>-1.3674253067340936E-2</v>
      </c>
      <c r="C2219" s="112">
        <f t="shared" si="988"/>
        <v>-2.3967509438279411E-2</v>
      </c>
      <c r="D2219" s="112">
        <f t="shared" si="988"/>
        <v>-3.9124616232386056E-2</v>
      </c>
      <c r="E2219" s="112">
        <f t="shared" si="988"/>
        <v>4.6785652399929933E-3</v>
      </c>
      <c r="F2219" s="112">
        <f t="shared" si="988"/>
        <v>-8.195943613522938E-3</v>
      </c>
    </row>
    <row r="2220" spans="1:6">
      <c r="A2220" s="111">
        <f t="shared" si="975"/>
        <v>45873</v>
      </c>
      <c r="B2220" s="112">
        <f t="shared" ref="B2220:F2220" si="989">IFERROR((B978/B977-1),"")</f>
        <v>1.2945905738612762E-2</v>
      </c>
      <c r="C2220" s="112">
        <f t="shared" si="989"/>
        <v>2.3559749164859589E-2</v>
      </c>
      <c r="D2220" s="112">
        <f t="shared" si="989"/>
        <v>3.6047845321973693E-3</v>
      </c>
      <c r="E2220" s="112">
        <f t="shared" si="989"/>
        <v>-1.8972059330804036E-3</v>
      </c>
      <c r="F2220" s="112">
        <f t="shared" si="989"/>
        <v>6.4073990397044422E-3</v>
      </c>
    </row>
    <row r="2221" spans="1:6">
      <c r="A2221" s="111">
        <f t="shared" si="975"/>
        <v>45874</v>
      </c>
      <c r="B2221" s="112">
        <f t="shared" ref="B2221:F2221" si="990">IFERROR((B979/B978-1),"")</f>
        <v>3.7497656396474621E-3</v>
      </c>
      <c r="C2221" s="112">
        <f t="shared" si="990"/>
        <v>-2.2788434010878822E-2</v>
      </c>
      <c r="D2221" s="112">
        <f t="shared" si="990"/>
        <v>-8.3265306122449756E-3</v>
      </c>
      <c r="E2221" s="112">
        <f t="shared" si="990"/>
        <v>-2.6179367547952359E-2</v>
      </c>
      <c r="F2221" s="112">
        <f t="shared" si="990"/>
        <v>-2.9608356675532299E-3</v>
      </c>
    </row>
    <row r="2222" spans="1:6">
      <c r="A2222" s="111">
        <f t="shared" si="975"/>
        <v>45875</v>
      </c>
      <c r="B2222" s="112">
        <f t="shared" ref="B2222:F2222" si="991">IFERROR((B980/B979-1),"")</f>
        <v>4.763090716642937E-3</v>
      </c>
      <c r="C2222" s="112">
        <f t="shared" si="991"/>
        <v>-4.0077342239409397E-2</v>
      </c>
      <c r="D2222" s="112">
        <f t="shared" si="991"/>
        <v>-1.4899571945999224E-2</v>
      </c>
      <c r="E2222" s="112">
        <f t="shared" si="991"/>
        <v>-4.1345044805252362E-2</v>
      </c>
      <c r="F2222" s="112">
        <f t="shared" si="991"/>
        <v>-3.0568509364268248E-3</v>
      </c>
    </row>
    <row r="2223" spans="1:6">
      <c r="A2223" s="111">
        <f t="shared" si="975"/>
        <v>45876</v>
      </c>
      <c r="B2223" s="112">
        <f t="shared" ref="B2223:F2223" si="992">IFERROR((B981/B980-1),"")</f>
        <v>-5.0813323005421962E-3</v>
      </c>
      <c r="C2223" s="112">
        <f t="shared" si="992"/>
        <v>4.016358420313737E-2</v>
      </c>
      <c r="D2223" s="112">
        <f t="shared" si="992"/>
        <v>3.4260884097934152E-3</v>
      </c>
      <c r="E2223" s="112">
        <f t="shared" si="992"/>
        <v>1.3697362332253604E-2</v>
      </c>
      <c r="F2223" s="112">
        <f t="shared" si="992"/>
        <v>8.9321320734758736E-4</v>
      </c>
    </row>
    <row r="2224" spans="1:6">
      <c r="A2224" s="111">
        <f t="shared" si="975"/>
        <v>45877</v>
      </c>
      <c r="B2224" s="112">
        <f t="shared" ref="B2224:F2224" si="993">IFERROR((B982/B981-1),"")</f>
        <v>-2.0833982124505601E-2</v>
      </c>
      <c r="C2224" s="112">
        <f t="shared" si="993"/>
        <v>-5.7097588169708335E-2</v>
      </c>
      <c r="D2224" s="112">
        <f t="shared" si="993"/>
        <v>8.8274483677548421E-3</v>
      </c>
      <c r="E2224" s="112">
        <f t="shared" si="993"/>
        <v>-1.6342554551264543E-2</v>
      </c>
      <c r="F2224" s="112">
        <f t="shared" si="993"/>
        <v>-9.4669287673071478E-3</v>
      </c>
    </row>
    <row r="2225" spans="1:6">
      <c r="A2225" s="111">
        <f t="shared" si="975"/>
        <v>45880</v>
      </c>
      <c r="B2225" s="112">
        <f t="shared" ref="B2225:F2225" si="994">IFERROR((B983/B982-1),"")</f>
        <v>1.3357928884931036E-2</v>
      </c>
      <c r="C2225" s="112">
        <f t="shared" si="994"/>
        <v>4.4187204381380685E-3</v>
      </c>
      <c r="D2225" s="112">
        <f t="shared" si="994"/>
        <v>6.6864784546805112E-3</v>
      </c>
      <c r="E2225" s="112">
        <f t="shared" si="994"/>
        <v>-1.0209764247262054E-3</v>
      </c>
      <c r="F2225" s="112">
        <f t="shared" si="994"/>
        <v>9.1018047637225763E-3</v>
      </c>
    </row>
    <row r="2226" spans="1:6">
      <c r="A2226" s="111">
        <f t="shared" si="975"/>
        <v>45881</v>
      </c>
      <c r="B2226" s="112">
        <f t="shared" ref="B2226:F2226" si="995">IFERROR((B984/B983-1),"")</f>
        <v>1.5786830707425814E-2</v>
      </c>
      <c r="C2226" s="112">
        <f t="shared" si="995"/>
        <v>7.1255963814362833E-3</v>
      </c>
      <c r="D2226" s="112">
        <f t="shared" si="995"/>
        <v>6.5600656006559177E-4</v>
      </c>
      <c r="E2226" s="112">
        <f t="shared" si="995"/>
        <v>-8.0832481650097154E-3</v>
      </c>
      <c r="F2226" s="112">
        <f t="shared" si="995"/>
        <v>-3.9719260282162772E-3</v>
      </c>
    </row>
    <row r="2227" spans="1:6">
      <c r="A2227" s="111">
        <f t="shared" si="975"/>
        <v>45882</v>
      </c>
      <c r="B2227" s="112">
        <f t="shared" ref="B2227:F2227" si="996">IFERROR((B985/B984-1),"")</f>
        <v>1.4120191564962026E-2</v>
      </c>
      <c r="C2227" s="112">
        <f t="shared" si="996"/>
        <v>-2.2763627414790211E-3</v>
      </c>
      <c r="D2227" s="112">
        <f t="shared" si="996"/>
        <v>2.7124477587478601E-2</v>
      </c>
      <c r="E2227" s="112">
        <f t="shared" si="996"/>
        <v>7.0251030348444932E-3</v>
      </c>
      <c r="F2227" s="112">
        <f t="shared" si="996"/>
        <v>5.3884855068320192E-3</v>
      </c>
    </row>
    <row r="2228" spans="1:6">
      <c r="A2228" s="111">
        <f t="shared" si="975"/>
        <v>45883</v>
      </c>
      <c r="B2228" s="112">
        <f t="shared" ref="B2228:F2228" si="997">IFERROR((B986/B985-1),"")</f>
        <v>-5.1185180671500241E-3</v>
      </c>
      <c r="C2228" s="112">
        <f t="shared" si="997"/>
        <v>1.2517728309798359E-2</v>
      </c>
      <c r="D2228" s="112">
        <f t="shared" si="997"/>
        <v>5.5848093186532388E-3</v>
      </c>
      <c r="E2228" s="112">
        <f t="shared" si="997"/>
        <v>-1.3580132080736718E-2</v>
      </c>
      <c r="F2228" s="112">
        <f t="shared" si="997"/>
        <v>4.8539055661511732E-4</v>
      </c>
    </row>
    <row r="2229" spans="1:6">
      <c r="A2229" s="111">
        <f t="shared" si="975"/>
        <v>45887</v>
      </c>
      <c r="B2229" s="112">
        <f t="shared" ref="B2229:F2229" si="998">IFERROR((B987/B986-1),"")</f>
        <v>3.6044588718074255E-2</v>
      </c>
      <c r="C2229" s="112">
        <f t="shared" si="998"/>
        <v>8.221680876979276E-3</v>
      </c>
      <c r="D2229" s="112">
        <f t="shared" si="998"/>
        <v>1.8248175182480342E-3</v>
      </c>
      <c r="E2229" s="112">
        <f t="shared" si="998"/>
        <v>2.5742574257425765E-2</v>
      </c>
      <c r="F2229" s="112">
        <f t="shared" si="998"/>
        <v>9.9730830285045258E-3</v>
      </c>
    </row>
    <row r="2230" spans="1:6">
      <c r="A2230" s="111">
        <f t="shared" si="975"/>
        <v>45888</v>
      </c>
      <c r="B2230" s="112">
        <f t="shared" ref="B2230:F2230" si="999">IFERROR((B988/B987-1),"")</f>
        <v>-8.6015784339806833E-3</v>
      </c>
      <c r="C2230" s="112">
        <f t="shared" si="999"/>
        <v>-1.6913319238900382E-3</v>
      </c>
      <c r="D2230" s="112">
        <f t="shared" si="999"/>
        <v>-1.4651144373168612E-2</v>
      </c>
      <c r="E2230" s="112">
        <f t="shared" si="999"/>
        <v>1.1031439602868121E-2</v>
      </c>
      <c r="F2230" s="112">
        <f t="shared" si="999"/>
        <v>4.1685174428538474E-3</v>
      </c>
    </row>
    <row r="2231" spans="1:6">
      <c r="A2231" s="111">
        <f t="shared" si="975"/>
        <v>45889</v>
      </c>
      <c r="B2231" s="112">
        <f t="shared" ref="B2231:F2231" si="1000">IFERROR((B989/B988-1),"")</f>
        <v>1.2403100775193687E-2</v>
      </c>
      <c r="C2231" s="112">
        <f t="shared" si="1000"/>
        <v>3.3702426332667734E-2</v>
      </c>
      <c r="D2231" s="112">
        <f t="shared" si="1000"/>
        <v>9.6447516476461104E-4</v>
      </c>
      <c r="E2231" s="112">
        <f t="shared" si="1000"/>
        <v>3.6733951627568651E-2</v>
      </c>
      <c r="F2231" s="112">
        <f t="shared" si="1000"/>
        <v>2.7981657803137772E-3</v>
      </c>
    </row>
    <row r="2232" spans="1:6">
      <c r="A2232" s="111">
        <f t="shared" si="975"/>
        <v>45890</v>
      </c>
      <c r="B2232" s="112">
        <f t="shared" ref="B2232:F2232" si="1001">IFERROR((B990/B989-1),"")</f>
        <v>-6.0372246436565247E-3</v>
      </c>
      <c r="C2232" s="112">
        <f t="shared" si="1001"/>
        <v>1.1589791617887979E-2</v>
      </c>
      <c r="D2232" s="112">
        <f t="shared" si="1001"/>
        <v>2.5052192066805645E-2</v>
      </c>
      <c r="E2232" s="112">
        <f t="shared" si="1001"/>
        <v>-1.8154709700052618E-2</v>
      </c>
      <c r="F2232" s="112">
        <f t="shared" si="1001"/>
        <v>1.3253202025504951E-3</v>
      </c>
    </row>
    <row r="2233" spans="1:6">
      <c r="A2233" s="111">
        <f t="shared" si="975"/>
        <v>45891</v>
      </c>
      <c r="B2233" s="112">
        <f t="shared" ref="B2233:F2233" si="1002">IFERROR((B991/B990-1),"")</f>
        <v>8.2664217356522851E-3</v>
      </c>
      <c r="C2233" s="112">
        <f t="shared" si="1002"/>
        <v>1.1283416271264946E-2</v>
      </c>
      <c r="D2233" s="112">
        <f t="shared" si="1002"/>
        <v>7.8333072223091271E-4</v>
      </c>
      <c r="E2233" s="112">
        <f t="shared" si="1002"/>
        <v>-9.2898615453327338E-3</v>
      </c>
      <c r="F2233" s="112">
        <f t="shared" si="1002"/>
        <v>-8.5174664872676997E-3</v>
      </c>
    </row>
    <row r="2234" spans="1:6">
      <c r="A2234" s="111">
        <f t="shared" si="975"/>
        <v>45894</v>
      </c>
      <c r="B2234" s="112">
        <f t="shared" ref="B2234:F2234" si="1003">IFERROR((B992/B991-1),"")</f>
        <v>-1.2048192771083599E-3</v>
      </c>
      <c r="C2234" s="112">
        <f t="shared" si="1003"/>
        <v>9.326543457115033E-3</v>
      </c>
      <c r="D2234" s="112">
        <f t="shared" si="1003"/>
        <v>4.9311208515969707E-3</v>
      </c>
      <c r="E2234" s="112">
        <f t="shared" si="1003"/>
        <v>9.0163195383641259E-4</v>
      </c>
      <c r="F2234" s="112">
        <f t="shared" si="1003"/>
        <v>3.9264015826234733E-3</v>
      </c>
    </row>
    <row r="2235" spans="1:6">
      <c r="A2235" s="111">
        <f t="shared" si="975"/>
        <v>45895</v>
      </c>
      <c r="B2235" s="112">
        <f t="shared" ref="B2235:F2235" si="1004">IFERROR((B993/B992-1),"")</f>
        <v>-2.0035893965694718E-2</v>
      </c>
      <c r="C2235" s="112">
        <f t="shared" si="1004"/>
        <v>-1.4002267573696159E-2</v>
      </c>
      <c r="D2235" s="112">
        <f t="shared" si="1004"/>
        <v>-1.6122750993068036E-2</v>
      </c>
      <c r="E2235" s="112">
        <f t="shared" si="1004"/>
        <v>3.8735249076659706E-2</v>
      </c>
      <c r="F2235" s="112">
        <f t="shared" si="1004"/>
        <v>-1.0241211162399511E-2</v>
      </c>
    </row>
    <row r="2236" spans="1:6">
      <c r="A2236" s="111">
        <f t="shared" si="975"/>
        <v>45897</v>
      </c>
      <c r="B2236" s="112">
        <f t="shared" ref="B2236:F2236" si="1005">IFERROR((B994/B993-1),"")</f>
        <v>-1.0658100156118677E-2</v>
      </c>
      <c r="C2236" s="112">
        <f t="shared" si="1005"/>
        <v>-1.2073822802276535E-3</v>
      </c>
      <c r="D2236" s="112">
        <f t="shared" si="1005"/>
        <v>-2.6915769474351592E-3</v>
      </c>
      <c r="E2236" s="112">
        <f t="shared" si="1005"/>
        <v>-7.7183245165206582E-3</v>
      </c>
      <c r="F2236" s="112">
        <f t="shared" si="1005"/>
        <v>-8.5444145669824056E-3</v>
      </c>
    </row>
    <row r="2237" spans="1:6">
      <c r="A2237" s="111">
        <f t="shared" si="975"/>
        <v>45898</v>
      </c>
      <c r="B2237" s="112">
        <f t="shared" ref="B2237:F2237" si="1006">IFERROR((B995/B994-1),"")</f>
        <v>-2.9071708190453127E-2</v>
      </c>
      <c r="C2237" s="112">
        <f t="shared" si="1006"/>
        <v>-7.4257425742574323E-3</v>
      </c>
      <c r="D2237" s="112">
        <f t="shared" si="1006"/>
        <v>2.3813303699005139E-4</v>
      </c>
      <c r="E2237" s="112">
        <f t="shared" si="1006"/>
        <v>1.80038454815592E-2</v>
      </c>
      <c r="F2237" s="112">
        <f t="shared" si="1006"/>
        <v>-3.0223379549323415E-3</v>
      </c>
    </row>
    <row r="2238" spans="1:6">
      <c r="A2238" s="111">
        <f t="shared" si="975"/>
        <v>45901</v>
      </c>
      <c r="B2238" s="112">
        <f t="shared" ref="B2238:F2238" si="1007">IFERROR((B996/B995-1),"")</f>
        <v>3.622441006407251E-2</v>
      </c>
      <c r="C2238" s="112">
        <f t="shared" si="1007"/>
        <v>2.3371803050513229E-2</v>
      </c>
      <c r="D2238" s="112">
        <f t="shared" si="1007"/>
        <v>1.5713038647726441E-2</v>
      </c>
      <c r="E2238" s="112">
        <f t="shared" si="1007"/>
        <v>3.8633241758241343E-3</v>
      </c>
      <c r="F2238" s="112">
        <f t="shared" si="1007"/>
        <v>8.1140220699762455E-3</v>
      </c>
    </row>
    <row r="2239" spans="1:6">
      <c r="A2239" s="111">
        <f t="shared" si="975"/>
        <v>45902</v>
      </c>
      <c r="B2239" s="112">
        <f t="shared" ref="B2239:F2239" si="1008">IFERROR((B997/B996-1),"")</f>
        <v>-2.4401278880376465E-2</v>
      </c>
      <c r="C2239" s="112">
        <f t="shared" si="1008"/>
        <v>-5.667006687067877E-3</v>
      </c>
      <c r="D2239" s="112">
        <f t="shared" si="1008"/>
        <v>-2.0470349246034858E-2</v>
      </c>
      <c r="E2239" s="112">
        <f t="shared" si="1008"/>
        <v>7.6969126828017043E-3</v>
      </c>
      <c r="F2239" s="112">
        <f t="shared" si="1008"/>
        <v>-1.8456815316111319E-3</v>
      </c>
    </row>
    <row r="2240" spans="1:6">
      <c r="A2240" s="111">
        <f t="shared" si="975"/>
        <v>45903</v>
      </c>
      <c r="B2240" s="112">
        <f t="shared" ref="B2240:F2240" si="1009">IFERROR((B998/B997-1),"")</f>
        <v>1.5922089967537412E-2</v>
      </c>
      <c r="C2240" s="112">
        <f t="shared" si="1009"/>
        <v>-1.2994414681408828E-2</v>
      </c>
      <c r="D2240" s="112">
        <f t="shared" si="1009"/>
        <v>6.7799314030470015E-3</v>
      </c>
      <c r="E2240" s="112">
        <f t="shared" si="1009"/>
        <v>2.8006449970296998E-3</v>
      </c>
      <c r="F2240" s="112">
        <f t="shared" si="1009"/>
        <v>5.510667382707668E-3</v>
      </c>
    </row>
    <row r="2241" spans="1:6">
      <c r="A2241" s="111">
        <f t="shared" si="975"/>
        <v>45904</v>
      </c>
      <c r="B2241" s="112">
        <f t="shared" ref="B2241:F2241" si="1010">IFERROR((B999/B998-1),"")</f>
        <v>5.949482653682292E-2</v>
      </c>
      <c r="C2241" s="112">
        <f t="shared" si="1010"/>
        <v>-2.2693151634137876E-2</v>
      </c>
      <c r="D2241" s="112">
        <f t="shared" si="1010"/>
        <v>-7.2888607193789534E-3</v>
      </c>
      <c r="E2241" s="112">
        <f t="shared" si="1010"/>
        <v>2.962085308056861E-2</v>
      </c>
      <c r="F2241" s="112">
        <f t="shared" si="1010"/>
        <v>7.7887764742534671E-4</v>
      </c>
    </row>
    <row r="2242" spans="1:6">
      <c r="A2242" s="111">
        <f t="shared" si="975"/>
        <v>45905</v>
      </c>
      <c r="B2242" s="112">
        <f t="shared" ref="B2242:F2242" si="1011">IFERROR((B1000/B999-1),"")</f>
        <v>2.2921154674709232E-2</v>
      </c>
      <c r="C2242" s="112">
        <f t="shared" si="1011"/>
        <v>-2.020679468242248E-2</v>
      </c>
      <c r="D2242" s="112">
        <f t="shared" si="1011"/>
        <v>1.2051077414205746E-2</v>
      </c>
      <c r="E2242" s="112">
        <f t="shared" si="1011"/>
        <v>-1.1507479861909697E-3</v>
      </c>
      <c r="F2242" s="112">
        <f t="shared" si="1011"/>
        <v>2.7087890095933709E-4</v>
      </c>
    </row>
    <row r="2243" spans="1:6">
      <c r="A2243" s="111">
        <f t="shared" si="975"/>
        <v>45908</v>
      </c>
      <c r="B2243" s="112">
        <f t="shared" ref="B2243:F2243" si="1012">IFERROR((B1001/B1000-1),"")</f>
        <v>3.9339567012046217E-2</v>
      </c>
      <c r="C2243" s="112">
        <f t="shared" si="1012"/>
        <v>2.4724115057590534E-3</v>
      </c>
      <c r="D2243" s="112">
        <f t="shared" si="1012"/>
        <v>-1.3800173487895306E-2</v>
      </c>
      <c r="E2243" s="112">
        <f t="shared" si="1012"/>
        <v>6.5009874917709709E-3</v>
      </c>
      <c r="F2243" s="112">
        <f t="shared" si="1012"/>
        <v>1.2994624307829383E-3</v>
      </c>
    </row>
    <row r="2244" spans="1:6">
      <c r="A2244" s="111">
        <f t="shared" si="975"/>
        <v>45909</v>
      </c>
      <c r="B2244" s="112">
        <f t="shared" ref="B2244:F2244" si="1013">IFERROR((B1002/B1001-1),"")</f>
        <v>-1.3778570270708279E-3</v>
      </c>
      <c r="C2244" s="112">
        <f t="shared" si="1013"/>
        <v>2.0572666025024056E-2</v>
      </c>
      <c r="D2244" s="112">
        <f t="shared" si="1013"/>
        <v>3.2544378698224907E-2</v>
      </c>
      <c r="E2244" s="112">
        <f t="shared" si="1013"/>
        <v>4.4150110375276164E-3</v>
      </c>
      <c r="F2244" s="112">
        <f t="shared" si="1013"/>
        <v>3.8529617751474898E-3</v>
      </c>
    </row>
    <row r="2245" spans="1:6">
      <c r="A2245" s="111">
        <f t="shared" si="975"/>
        <v>45910</v>
      </c>
      <c r="B2245" s="112">
        <f t="shared" ref="B2245:F2245" si="1014">IFERROR((B1003/B1002-1),"")</f>
        <v>-2.4862700538376248E-2</v>
      </c>
      <c r="C2245" s="112">
        <f t="shared" si="1014"/>
        <v>4.2437816810090734E-2</v>
      </c>
      <c r="D2245" s="112">
        <f t="shared" si="1014"/>
        <v>9.9899326260357579E-3</v>
      </c>
      <c r="E2245" s="112">
        <f t="shared" si="1014"/>
        <v>9.1982091982092395E-3</v>
      </c>
      <c r="F2245" s="112">
        <f t="shared" si="1014"/>
        <v>4.2020861648826013E-3</v>
      </c>
    </row>
    <row r="2246" spans="1:6">
      <c r="A2246" s="111">
        <f t="shared" si="975"/>
        <v>45911</v>
      </c>
      <c r="B2246" s="112">
        <f t="shared" ref="B2246:F2246" si="1015">IFERROR((B1004/B1003-1),"")</f>
        <v>-2.4137165686384243E-3</v>
      </c>
      <c r="C2246" s="112">
        <f t="shared" si="1015"/>
        <v>1.3570055411060711E-3</v>
      </c>
      <c r="D2246" s="112">
        <f t="shared" si="1015"/>
        <v>-8.4342892194455565E-4</v>
      </c>
      <c r="E2246" s="112">
        <f t="shared" si="1015"/>
        <v>1.6373608646555793E-2</v>
      </c>
      <c r="F2246" s="112">
        <f t="shared" si="1015"/>
        <v>1.2973959980939753E-3</v>
      </c>
    </row>
    <row r="2247" spans="1:6">
      <c r="A2247" s="111">
        <f t="shared" si="975"/>
        <v>45912</v>
      </c>
      <c r="B2247" s="112">
        <f t="shared" ref="B2247:F2247" si="1016">IFERROR((B1005/B1004-1),"")</f>
        <v>-1.6130377951441011E-3</v>
      </c>
      <c r="C2247" s="112">
        <f t="shared" si="1016"/>
        <v>-3.9525691699604515E-3</v>
      </c>
      <c r="D2247" s="112">
        <f t="shared" si="1016"/>
        <v>1.0436651062850189E-2</v>
      </c>
      <c r="E2247" s="112">
        <f t="shared" si="1016"/>
        <v>-8.4913895722561472E-3</v>
      </c>
      <c r="F2247" s="112">
        <f t="shared" si="1016"/>
        <v>4.3390454100098452E-3</v>
      </c>
    </row>
    <row r="2248" spans="1:6">
      <c r="A2248" s="111">
        <f t="shared" si="975"/>
        <v>45915</v>
      </c>
      <c r="B2248" s="112">
        <f t="shared" ref="B2248:F2248" si="1017">IFERROR((B1006/B1005-1),"")</f>
        <v>-1.6602133764171634E-2</v>
      </c>
      <c r="C2248" s="112">
        <f t="shared" si="1017"/>
        <v>-5.4988662131519872E-3</v>
      </c>
      <c r="D2248" s="112">
        <f t="shared" si="1017"/>
        <v>-1.2075643654591128E-2</v>
      </c>
      <c r="E2248" s="112">
        <f t="shared" si="1017"/>
        <v>-5.6026892908596082E-3</v>
      </c>
      <c r="F2248" s="112">
        <f t="shared" si="1017"/>
        <v>-1.7838655729871533E-3</v>
      </c>
    </row>
    <row r="2249" spans="1:6">
      <c r="A2249" s="111">
        <f t="shared" si="975"/>
        <v>45916</v>
      </c>
      <c r="B2249" s="112">
        <f t="shared" ref="B2249:F2249" si="1018">IFERROR((B1007/B1006-1),"")</f>
        <v>2.200946095232692E-2</v>
      </c>
      <c r="C2249" s="112">
        <f t="shared" si="1018"/>
        <v>1.4421706663626521E-2</v>
      </c>
      <c r="D2249" s="112">
        <f t="shared" si="1018"/>
        <v>7.3800738007381295E-3</v>
      </c>
      <c r="E2249" s="112">
        <f t="shared" si="1018"/>
        <v>-1.5292981326464616E-3</v>
      </c>
      <c r="F2249" s="112">
        <f t="shared" si="1018"/>
        <v>6.7772405980246475E-3</v>
      </c>
    </row>
    <row r="2250" spans="1:6">
      <c r="A2250" s="111">
        <f t="shared" si="975"/>
        <v>45917</v>
      </c>
      <c r="B2250" s="112">
        <f t="shared" ref="B2250:F2250" si="1019">IFERROR((B1008/B1007-1),"")</f>
        <v>6.9844789356983128E-3</v>
      </c>
      <c r="C2250" s="112">
        <f t="shared" si="1019"/>
        <v>6.9116655428187457E-3</v>
      </c>
      <c r="D2250" s="112">
        <f t="shared" si="1019"/>
        <v>7.6312576312576041E-4</v>
      </c>
      <c r="E2250" s="112">
        <f t="shared" si="1019"/>
        <v>-1.6928657799274438E-2</v>
      </c>
      <c r="F2250" s="112">
        <f t="shared" si="1019"/>
        <v>3.6114599965926253E-3</v>
      </c>
    </row>
    <row r="2251" spans="1:6">
      <c r="A2251" s="111">
        <f t="shared" si="975"/>
        <v>45918</v>
      </c>
      <c r="B2251" s="112">
        <f t="shared" ref="B2251:F2251" si="1020">IFERROR((B1009/B1008-1),"")</f>
        <v>2.4771551249587187E-3</v>
      </c>
      <c r="C2251" s="112">
        <f t="shared" si="1020"/>
        <v>1.8192979518946384E-2</v>
      </c>
      <c r="D2251" s="112">
        <f t="shared" si="1020"/>
        <v>8.6167454628640616E-3</v>
      </c>
      <c r="E2251" s="112">
        <f t="shared" si="1020"/>
        <v>4.9200492004919383E-4</v>
      </c>
      <c r="F2251" s="112">
        <f t="shared" si="1020"/>
        <v>3.685316962919849E-3</v>
      </c>
    </row>
    <row r="2252" spans="1:6">
      <c r="A2252" s="111">
        <f t="shared" si="975"/>
        <v>45919</v>
      </c>
      <c r="B2252" s="112">
        <f t="shared" ref="B2252:F2252" si="1021">IFERROR((B1010/B1009-1),"")</f>
        <v>-1.375542254681239E-2</v>
      </c>
      <c r="C2252" s="112">
        <f t="shared" si="1021"/>
        <v>-1.6004384762948742E-2</v>
      </c>
      <c r="D2252" s="112">
        <f t="shared" si="1021"/>
        <v>-7.5602933393814631E-4</v>
      </c>
      <c r="E2252" s="112">
        <f t="shared" si="1021"/>
        <v>-5.0815506925662168E-3</v>
      </c>
      <c r="F2252" s="112">
        <f t="shared" si="1021"/>
        <v>-3.7976525747730472E-3</v>
      </c>
    </row>
    <row r="2253" spans="1:6">
      <c r="A2253" s="111">
        <f t="shared" si="975"/>
        <v>45922</v>
      </c>
      <c r="B2253" s="112">
        <f t="shared" ref="B2253:F2253" si="1022">IFERROR((B1011/B1010-1),"")</f>
        <v>-2.0322374098715734E-3</v>
      </c>
      <c r="C2253" s="112">
        <f t="shared" si="1022"/>
        <v>-4.3669581685512049E-2</v>
      </c>
      <c r="D2253" s="112">
        <f t="shared" si="1022"/>
        <v>-1.5359007339033059E-2</v>
      </c>
      <c r="E2253" s="112">
        <f t="shared" si="1022"/>
        <v>-2.1418568251091452E-3</v>
      </c>
      <c r="F2253" s="112">
        <f t="shared" si="1022"/>
        <v>-4.9235896008418267E-3</v>
      </c>
    </row>
    <row r="2254" spans="1:6">
      <c r="A2254" s="111">
        <f t="shared" si="975"/>
        <v>45923</v>
      </c>
      <c r="B2254" s="112">
        <f t="shared" ref="B2254:F2254" si="1023">IFERROR((B1012/B1011-1),"")</f>
        <v>8.3128765900468693E-3</v>
      </c>
      <c r="C2254" s="112">
        <f t="shared" si="1023"/>
        <v>-2.853981012289597E-2</v>
      </c>
      <c r="D2254" s="112">
        <f t="shared" si="1023"/>
        <v>5.3788228062086052E-3</v>
      </c>
      <c r="E2254" s="112">
        <f t="shared" si="1023"/>
        <v>-2.0226203252703745E-2</v>
      </c>
      <c r="F2254" s="112">
        <f t="shared" si="1023"/>
        <v>-1.3034498766979485E-3</v>
      </c>
    </row>
    <row r="2255" spans="1:6">
      <c r="A2255" s="111">
        <f t="shared" si="975"/>
        <v>45924</v>
      </c>
      <c r="B2255" s="112">
        <f t="shared" ref="B2255:F2255" si="1024">IFERROR((B1013/B1012-1),"")</f>
        <v>-1.0983234659436625E-2</v>
      </c>
      <c r="C2255" s="112">
        <f t="shared" si="1024"/>
        <v>-2.6800167875771996E-2</v>
      </c>
      <c r="D2255" s="112">
        <f t="shared" si="1024"/>
        <v>-7.8722103332315996E-3</v>
      </c>
      <c r="E2255" s="112">
        <f t="shared" si="1024"/>
        <v>6.1509942703066312E-3</v>
      </c>
      <c r="F2255" s="112">
        <f t="shared" si="1024"/>
        <v>-4.4736685273842891E-3</v>
      </c>
    </row>
    <row r="2256" spans="1:6">
      <c r="A2256" s="111">
        <f t="shared" si="975"/>
        <v>45925</v>
      </c>
      <c r="B2256" s="112">
        <f t="shared" ref="B2256:F2256" si="1025">IFERROR((B1014/B1013-1),"")</f>
        <v>-1.2559791882290394E-2</v>
      </c>
      <c r="C2256" s="112">
        <f t="shared" si="1025"/>
        <v>-1.9652538196155755E-2</v>
      </c>
      <c r="D2256" s="112">
        <f t="shared" si="1025"/>
        <v>-1.7641167860719453E-2</v>
      </c>
      <c r="E2256" s="112">
        <f t="shared" si="1025"/>
        <v>-2.8473327192027886E-3</v>
      </c>
      <c r="F2256" s="112">
        <f t="shared" si="1025"/>
        <v>-6.6269171365972435E-3</v>
      </c>
    </row>
    <row r="2257" spans="1:6">
      <c r="A2257" s="111">
        <f t="shared" si="975"/>
        <v>45926</v>
      </c>
      <c r="B2257" s="112">
        <f t="shared" ref="B2257:F2257" si="1026">IFERROR((B1015/B1014-1),"")</f>
        <v>-3.7818696883852643E-2</v>
      </c>
      <c r="C2257" s="112">
        <f t="shared" si="1026"/>
        <v>-3.3180418525733613E-2</v>
      </c>
      <c r="D2257" s="112">
        <f t="shared" si="1026"/>
        <v>-1.7330614805520783E-2</v>
      </c>
      <c r="E2257" s="112">
        <f t="shared" si="1026"/>
        <v>-5.5429579239103521E-3</v>
      </c>
      <c r="F2257" s="112">
        <f t="shared" si="1026"/>
        <v>-9.4874220848222279E-3</v>
      </c>
    </row>
    <row r="2258" spans="1:6">
      <c r="A2258" s="111">
        <f t="shared" si="975"/>
        <v>45929</v>
      </c>
      <c r="B2258" s="112">
        <f t="shared" ref="B2258:F2258" si="1027">IFERROR((B1016/B1015-1),"")</f>
        <v>6.3594877079347079E-3</v>
      </c>
      <c r="C2258" s="112">
        <f t="shared" si="1027"/>
        <v>8.9047773805654984E-3</v>
      </c>
      <c r="D2258" s="112">
        <f t="shared" si="1027"/>
        <v>-1.4763386800734191E-2</v>
      </c>
      <c r="E2258" s="112">
        <f t="shared" si="1027"/>
        <v>1.4356895532472436E-3</v>
      </c>
      <c r="F2258" s="112">
        <f t="shared" si="1027"/>
        <v>-8.0309231099950917E-4</v>
      </c>
    </row>
    <row r="2259" spans="1:6">
      <c r="A2259" s="111">
        <f t="shared" si="975"/>
        <v>45930</v>
      </c>
      <c r="B2259" s="112">
        <f t="shared" ref="B2259:F2259" si="1028">IFERROR((B1017/B1016-1),"")</f>
        <v>2.6037857289138433E-3</v>
      </c>
      <c r="C2259" s="112">
        <f t="shared" si="1028"/>
        <v>2.4996778765622896E-2</v>
      </c>
      <c r="D2259" s="112">
        <f t="shared" si="1028"/>
        <v>-8.8287704519681709E-3</v>
      </c>
      <c r="E2259" s="112">
        <f t="shared" si="1028"/>
        <v>1.0457075392140247E-2</v>
      </c>
      <c r="F2259" s="112">
        <f t="shared" si="1028"/>
        <v>-9.6610905666361102E-4</v>
      </c>
    </row>
    <row r="2260" spans="1:6">
      <c r="A2260" s="111">
        <f t="shared" si="975"/>
        <v>45931</v>
      </c>
      <c r="B2260" s="112">
        <f t="shared" ref="B2260:F2260" si="1029">IFERROR((B1018/B1017-1),"")</f>
        <v>1.062153487014883E-2</v>
      </c>
      <c r="C2260" s="112">
        <f t="shared" si="1029"/>
        <v>6.1596480201131509E-3</v>
      </c>
      <c r="D2260" s="112">
        <f t="shared" si="1029"/>
        <v>1.7161068889433695E-2</v>
      </c>
      <c r="E2260" s="112">
        <f t="shared" si="1029"/>
        <v>-4.0894675346352383E-3</v>
      </c>
      <c r="F2260" s="112">
        <f t="shared" si="1029"/>
        <v>9.1503427315318131E-3</v>
      </c>
    </row>
    <row r="2261" spans="1:6">
      <c r="A2261" s="111">
        <f t="shared" si="975"/>
        <v>45933</v>
      </c>
      <c r="B2261" s="112">
        <f t="shared" ref="B2261:F2261" si="1030">IFERROR((B1019/B1018-1),"")</f>
        <v>-4.0422706011433718E-4</v>
      </c>
      <c r="C2261" s="112">
        <f t="shared" si="1030"/>
        <v>7.6836581709145424E-3</v>
      </c>
      <c r="D2261" s="112">
        <f t="shared" si="1030"/>
        <v>2.7315819072868397E-3</v>
      </c>
      <c r="E2261" s="112">
        <f t="shared" si="1030"/>
        <v>4.3576636218889409E-3</v>
      </c>
      <c r="F2261" s="112">
        <f t="shared" si="1030"/>
        <v>2.3332783063501061E-3</v>
      </c>
    </row>
    <row r="2262" spans="1:6">
      <c r="A2262" s="111">
        <f t="shared" si="975"/>
        <v>45936</v>
      </c>
      <c r="B2262" s="112">
        <f t="shared" ref="B2262:F2262" si="1031">IFERROR((B1020/B1019-1),"")</f>
        <v>2.8885037550547832E-3</v>
      </c>
      <c r="C2262" s="112">
        <f t="shared" si="1031"/>
        <v>3.056227140288903E-2</v>
      </c>
      <c r="D2262" s="112">
        <f t="shared" si="1031"/>
        <v>4.0060892556681438E-4</v>
      </c>
      <c r="E2262" s="112">
        <f t="shared" si="1031"/>
        <v>3.0871923237381083E-3</v>
      </c>
      <c r="F2262" s="112">
        <f t="shared" si="1031"/>
        <v>7.3671630999125881E-3</v>
      </c>
    </row>
    <row r="2263" spans="1:6">
      <c r="A2263" s="111">
        <f t="shared" si="975"/>
        <v>45937</v>
      </c>
      <c r="B2263" s="112">
        <f t="shared" ref="B2263:F2263" si="1032">IFERROR((B1021/B1020-1),"")</f>
        <v>5.9907834101382562E-3</v>
      </c>
      <c r="C2263" s="112">
        <f t="shared" si="1032"/>
        <v>1.449711260827713E-2</v>
      </c>
      <c r="D2263" s="112">
        <f t="shared" si="1032"/>
        <v>-8.0089700464469615E-5</v>
      </c>
      <c r="E2263" s="112">
        <f t="shared" si="1032"/>
        <v>-2.0628847113625004E-2</v>
      </c>
      <c r="F2263" s="112">
        <f t="shared" si="1032"/>
        <v>1.222203834888802E-3</v>
      </c>
    </row>
    <row r="2264" spans="1:6">
      <c r="A2264" s="111">
        <f t="shared" si="975"/>
        <v>45938</v>
      </c>
      <c r="B2264" s="112">
        <f t="shared" ref="B2264:F2264" si="1033">IFERROR((B1022/B1021-1),"")</f>
        <v>-1.8981905634448015E-2</v>
      </c>
      <c r="C2264" s="112">
        <f t="shared" si="1033"/>
        <v>1.6128075896827854E-2</v>
      </c>
      <c r="D2264" s="112">
        <f t="shared" si="1033"/>
        <v>-1.1213456147376899E-2</v>
      </c>
      <c r="E2264" s="112">
        <f t="shared" si="1033"/>
        <v>-8.6631561066756735E-3</v>
      </c>
      <c r="F2264" s="112">
        <f t="shared" si="1033"/>
        <v>-2.4752770996043783E-3</v>
      </c>
    </row>
    <row r="2265" spans="1:6">
      <c r="A2265" s="111">
        <f t="shared" si="975"/>
        <v>45939</v>
      </c>
      <c r="B2265" s="112">
        <f t="shared" ref="B2265:F2265" si="1034">IFERROR((B1023/B1022-1),"")</f>
        <v>4.7862250109440563E-3</v>
      </c>
      <c r="C2265" s="112">
        <f t="shared" si="1034"/>
        <v>3.7346093248524781E-3</v>
      </c>
      <c r="D2265" s="112">
        <f t="shared" si="1034"/>
        <v>9.3965168084244599E-3</v>
      </c>
      <c r="E2265" s="112">
        <f t="shared" si="1034"/>
        <v>6.8540095956133307E-3</v>
      </c>
      <c r="F2265" s="112">
        <f t="shared" si="1034"/>
        <v>5.4160020601967673E-3</v>
      </c>
    </row>
    <row r="2266" spans="1:6">
      <c r="A2266" s="111">
        <f t="shared" si="975"/>
        <v>45940</v>
      </c>
      <c r="B2266" s="112">
        <f t="shared" ref="B2266:F2266" si="1035">IFERROR((B1024/B1023-1),"")</f>
        <v>3.4854337912806344E-3</v>
      </c>
      <c r="C2266" s="112">
        <f t="shared" si="1035"/>
        <v>1.2789954072438547E-3</v>
      </c>
      <c r="D2266" s="112">
        <f t="shared" si="1035"/>
        <v>1.4685819757644047E-2</v>
      </c>
      <c r="E2266" s="112">
        <f t="shared" si="1035"/>
        <v>-7.6582709326067366E-4</v>
      </c>
      <c r="F2266" s="112">
        <f t="shared" si="1035"/>
        <v>4.1120968318388851E-3</v>
      </c>
    </row>
    <row r="2267" spans="1:6">
      <c r="A2267" s="111">
        <f t="shared" si="975"/>
        <v>45943</v>
      </c>
      <c r="B2267" s="112">
        <f t="shared" ref="B2267:F2267" si="1036">IFERROR((B1025/B1024-1),"")</f>
        <v>1.3893310949664173E-3</v>
      </c>
      <c r="C2267" s="112">
        <f t="shared" si="1036"/>
        <v>-3.6578993206758392E-3</v>
      </c>
      <c r="D2267" s="112">
        <f t="shared" si="1036"/>
        <v>-1.5817779183802116E-3</v>
      </c>
      <c r="E2267" s="112">
        <f t="shared" si="1036"/>
        <v>-1.6179851826619851E-3</v>
      </c>
      <c r="F2267" s="112">
        <f t="shared" si="1036"/>
        <v>-2.2938183572701609E-3</v>
      </c>
    </row>
    <row r="2268" spans="1:6">
      <c r="A2268" s="111">
        <f t="shared" si="975"/>
        <v>45944</v>
      </c>
      <c r="B2268" s="112">
        <f t="shared" ref="B2268:F2268" si="1037">IFERROR((B1026/B1025-1),"")</f>
        <v>2.8904240252147773E-5</v>
      </c>
      <c r="C2268" s="112">
        <f t="shared" si="1037"/>
        <v>-9.0326340326339905E-3</v>
      </c>
      <c r="D2268" s="112">
        <f t="shared" si="1037"/>
        <v>-1.9882762991128122E-2</v>
      </c>
      <c r="E2268" s="112">
        <f t="shared" si="1037"/>
        <v>-1.0491299897645856E-2</v>
      </c>
      <c r="F2268" s="112">
        <f t="shared" si="1037"/>
        <v>-3.2444945664129587E-3</v>
      </c>
    </row>
    <row r="2269" spans="1:6">
      <c r="A2269" s="111">
        <f t="shared" si="975"/>
        <v>45945</v>
      </c>
      <c r="B2269" s="112">
        <f t="shared" ref="B2269:F2269" si="1038">IFERROR((B1027/B1026-1),"")</f>
        <v>1.0809873403086812E-2</v>
      </c>
      <c r="C2269" s="112">
        <f t="shared" si="1038"/>
        <v>3.8165245516024848E-2</v>
      </c>
      <c r="D2269" s="112">
        <f t="shared" si="1038"/>
        <v>-3.9602359977368717E-3</v>
      </c>
      <c r="E2269" s="112">
        <f t="shared" si="1038"/>
        <v>9.8267390742177163E-3</v>
      </c>
      <c r="F2269" s="112">
        <f t="shared" si="1038"/>
        <v>7.0807898033444783E-3</v>
      </c>
    </row>
    <row r="2270" spans="1:6">
      <c r="A2270" s="111">
        <f t="shared" si="975"/>
        <v>45946</v>
      </c>
      <c r="B2270" s="112">
        <f t="shared" ref="B2270:F2270" si="1039">IFERROR((B1028/B1027-1),"")</f>
        <v>1.8185977353311289E-2</v>
      </c>
      <c r="C2270" s="112">
        <f t="shared" si="1039"/>
        <v>-2.2091310751105597E-3</v>
      </c>
      <c r="D2270" s="112">
        <f t="shared" si="1039"/>
        <v>6.3291139240506666E-3</v>
      </c>
      <c r="E2270" s="112">
        <f t="shared" si="1039"/>
        <v>2.8681177976952688E-2</v>
      </c>
      <c r="F2270" s="112">
        <f t="shared" si="1039"/>
        <v>1.0336228530360092E-2</v>
      </c>
    </row>
    <row r="2271" spans="1:6">
      <c r="A2271" s="111">
        <f t="shared" ref="A2271:A2334" si="1040">A1029</f>
        <v>45947</v>
      </c>
      <c r="B2271" s="112">
        <f t="shared" ref="B2271:F2271" si="1041">IFERROR((B1029/B1028-1),"")</f>
        <v>2.4264210289822508E-2</v>
      </c>
      <c r="C2271" s="112">
        <f t="shared" si="1041"/>
        <v>-1.5100766392279308E-2</v>
      </c>
      <c r="D2271" s="112">
        <f t="shared" si="1041"/>
        <v>1.2659248508305243E-2</v>
      </c>
      <c r="E2271" s="112">
        <f t="shared" si="1041"/>
        <v>9.5427765330677872E-3</v>
      </c>
      <c r="F2271" s="112">
        <f t="shared" si="1041"/>
        <v>4.8680296889229702E-3</v>
      </c>
    </row>
    <row r="2272" spans="1:6">
      <c r="A2272" s="111">
        <f t="shared" si="1040"/>
        <v>45950</v>
      </c>
      <c r="B2272" s="112">
        <f t="shared" ref="B2272:F2272" si="1042">IFERROR((B1030/B1029-1),"")</f>
        <v>-1.3188199166483838E-2</v>
      </c>
      <c r="C2272" s="112">
        <f t="shared" si="1042"/>
        <v>7.2050262262954856E-3</v>
      </c>
      <c r="D2272" s="112">
        <f t="shared" si="1042"/>
        <v>2.0781909387689979E-2</v>
      </c>
      <c r="E2272" s="112">
        <f t="shared" si="1042"/>
        <v>-2.137103402926166E-3</v>
      </c>
      <c r="F2272" s="112">
        <f t="shared" si="1042"/>
        <v>5.1847832640019575E-3</v>
      </c>
    </row>
    <row r="2273" spans="1:6">
      <c r="A2273" s="111">
        <f t="shared" si="1040"/>
        <v>45951</v>
      </c>
      <c r="B2273" s="112">
        <f t="shared" ref="B2273:F2273" si="1043">IFERROR((B1031/B1030-1),"")</f>
        <v>6.1404239948876782E-3</v>
      </c>
      <c r="C2273" s="112">
        <f t="shared" si="1043"/>
        <v>-3.3764450040060234E-3</v>
      </c>
      <c r="D2273" s="112">
        <f t="shared" si="1043"/>
        <v>5.2262090483619073E-3</v>
      </c>
      <c r="E2273" s="112">
        <f t="shared" si="1043"/>
        <v>8.237232289951546E-4</v>
      </c>
      <c r="F2273" s="112">
        <f t="shared" si="1043"/>
        <v>9.8478707123539344E-4</v>
      </c>
    </row>
    <row r="2274" spans="1:6">
      <c r="A2274" s="111">
        <f t="shared" si="1040"/>
        <v>45953</v>
      </c>
      <c r="B2274" s="112">
        <f t="shared" ref="B2274:F2274" si="1044">IFERROR((B1032/B1031-1),"")</f>
        <v>6.627637247320628E-4</v>
      </c>
      <c r="C2274" s="112">
        <f t="shared" si="1044"/>
        <v>7.5796726959518335E-3</v>
      </c>
      <c r="D2274" s="112">
        <f t="shared" si="1044"/>
        <v>-7.2165748428648646E-3</v>
      </c>
      <c r="E2274" s="112">
        <f t="shared" si="1044"/>
        <v>-1.1522633744855959E-3</v>
      </c>
      <c r="F2274" s="112">
        <f t="shared" si="1044"/>
        <v>8.8137742282157205E-4</v>
      </c>
    </row>
    <row r="2275" spans="1:6">
      <c r="A2275" s="111">
        <f t="shared" si="1040"/>
        <v>45954</v>
      </c>
      <c r="B2275" s="112">
        <f t="shared" ref="B2275:F2275" si="1045">IFERROR((B1033/B1032-1),"")</f>
        <v>3.8635610994597336E-4</v>
      </c>
      <c r="C2275" s="112">
        <f t="shared" si="1045"/>
        <v>3.0204593377785027E-3</v>
      </c>
      <c r="D2275" s="112">
        <f t="shared" si="1045"/>
        <v>3.2827888072533007E-3</v>
      </c>
      <c r="E2275" s="112">
        <f t="shared" si="1045"/>
        <v>-2.4719841793012787E-3</v>
      </c>
      <c r="F2275" s="112">
        <f t="shared" si="1045"/>
        <v>-3.7174505820465331E-3</v>
      </c>
    </row>
    <row r="2276" spans="1:6">
      <c r="A2276" s="111">
        <f t="shared" si="1040"/>
        <v>45957</v>
      </c>
      <c r="B2276" s="112">
        <f t="shared" ref="B2276:F2276" si="1046">IFERROR((B1034/B1033-1),"")</f>
        <v>-3.6965517241379642E-3</v>
      </c>
      <c r="C2276" s="112">
        <f t="shared" si="1046"/>
        <v>4.0113636363636296E-2</v>
      </c>
      <c r="D2276" s="112">
        <f t="shared" si="1046"/>
        <v>5.4534122779692495E-4</v>
      </c>
      <c r="E2276" s="112">
        <f t="shared" si="1046"/>
        <v>-2.3294234264001346E-2</v>
      </c>
      <c r="F2276" s="112">
        <f t="shared" si="1046"/>
        <v>6.6252764570082778E-3</v>
      </c>
    </row>
    <row r="2277" spans="1:6">
      <c r="A2277" s="111">
        <f t="shared" si="1040"/>
        <v>45958</v>
      </c>
      <c r="B2277" s="112">
        <f t="shared" ref="B2277:F2277" si="1047">IFERROR((B1035/B1034-1),"")</f>
        <v>-8.9987817034001827E-3</v>
      </c>
      <c r="C2277" s="112">
        <f t="shared" si="1047"/>
        <v>-1.1362394843220769E-2</v>
      </c>
      <c r="D2277" s="112">
        <f t="shared" si="1047"/>
        <v>3.9710348049522004E-3</v>
      </c>
      <c r="E2277" s="112">
        <f t="shared" si="1047"/>
        <v>-8.6265223274695213E-3</v>
      </c>
      <c r="F2277" s="112">
        <f t="shared" si="1047"/>
        <v>-1.1495780066663741E-3</v>
      </c>
    </row>
    <row r="2278" spans="1:6">
      <c r="A2278" s="111">
        <f t="shared" si="1040"/>
        <v>45959</v>
      </c>
      <c r="B2278" s="112">
        <f t="shared" ref="B2278:F2278" si="1048">IFERROR((B1036/B1035-1),"")</f>
        <v>-1.2405353301109256E-2</v>
      </c>
      <c r="C2278" s="112">
        <f t="shared" si="1048"/>
        <v>-6.8515858105867578E-3</v>
      </c>
      <c r="D2278" s="112">
        <f t="shared" si="1048"/>
        <v>-2.9858849077090133E-2</v>
      </c>
      <c r="E2278" s="112">
        <f t="shared" si="1048"/>
        <v>-1.4502644599897474E-3</v>
      </c>
      <c r="F2278" s="112">
        <f t="shared" si="1048"/>
        <v>4.5380587749941359E-3</v>
      </c>
    </row>
    <row r="2279" spans="1:6">
      <c r="A2279" s="111">
        <f t="shared" si="1040"/>
        <v>45960</v>
      </c>
      <c r="B2279" s="112">
        <f t="shared" ref="B2279:F2279" si="1049">IFERROR((B1037/B1036-1),"")</f>
        <v>-9.222847766429898E-3</v>
      </c>
      <c r="C2279" s="112">
        <f t="shared" si="1049"/>
        <v>5.7304996105485007E-3</v>
      </c>
      <c r="D2279" s="112">
        <f t="shared" si="1049"/>
        <v>-3.8931968982332754E-2</v>
      </c>
      <c r="E2279" s="112">
        <f t="shared" si="1049"/>
        <v>1.1960700555317949E-3</v>
      </c>
      <c r="F2279" s="112">
        <f t="shared" si="1049"/>
        <v>-6.7571457632064069E-3</v>
      </c>
    </row>
    <row r="2280" spans="1:6">
      <c r="A2280" s="111">
        <f t="shared" si="1040"/>
        <v>45961</v>
      </c>
      <c r="B2280" s="112">
        <f t="shared" ref="B2280:F2280" si="1050">IFERROR((B1038/B1037-1),"")</f>
        <v>-4.2545901030810462E-3</v>
      </c>
      <c r="C2280" s="112">
        <f t="shared" si="1050"/>
        <v>-1.6374398406815316E-2</v>
      </c>
      <c r="D2280" s="112">
        <f t="shared" si="1050"/>
        <v>-3.8263184162370401E-3</v>
      </c>
      <c r="E2280" s="112">
        <f t="shared" si="1050"/>
        <v>-3.9252495946753285E-3</v>
      </c>
      <c r="F2280" s="112">
        <f t="shared" si="1050"/>
        <v>-6.0186607465457787E-3</v>
      </c>
    </row>
    <row r="2281" spans="1:6">
      <c r="A2281" s="111">
        <f t="shared" si="1040"/>
        <v>45964</v>
      </c>
      <c r="B2281" s="112">
        <f t="shared" ref="B2281:F2281" si="1051">IFERROR((B1039/B1038-1),"")</f>
        <v>1.7693278274833801E-2</v>
      </c>
      <c r="C2281" s="112">
        <f t="shared" si="1051"/>
        <v>9.3920476913560424E-3</v>
      </c>
      <c r="D2281" s="112">
        <f t="shared" si="1051"/>
        <v>-1.3360053440213404E-3</v>
      </c>
      <c r="E2281" s="112">
        <f t="shared" si="1051"/>
        <v>-2.741368971129976E-3</v>
      </c>
      <c r="F2281" s="112">
        <f t="shared" si="1051"/>
        <v>1.6036793263380922E-3</v>
      </c>
    </row>
    <row r="2282" spans="1:6">
      <c r="A2282" s="111">
        <f t="shared" si="1040"/>
        <v>45965</v>
      </c>
      <c r="B2282" s="112">
        <f t="shared" ref="B2282:F2282" si="1052">IFERROR((B1040/B1039-1),"")</f>
        <v>9.1014117050352006E-3</v>
      </c>
      <c r="C2282" s="112">
        <f t="shared" si="1052"/>
        <v>-1.5489190996211266E-2</v>
      </c>
      <c r="D2282" s="112">
        <f t="shared" si="1052"/>
        <v>3.3444816053511683E-3</v>
      </c>
      <c r="E2282" s="112">
        <f t="shared" si="1052"/>
        <v>1.2370071299716567E-2</v>
      </c>
      <c r="F2282" s="112">
        <f t="shared" si="1052"/>
        <v>-6.4316170063286604E-3</v>
      </c>
    </row>
    <row r="2283" spans="1:6">
      <c r="A2283" s="111">
        <f t="shared" si="1040"/>
        <v>45967</v>
      </c>
      <c r="B2283" s="112">
        <f t="shared" ref="B2283:F2283" si="1053">IFERROR((B1041/B1040-1),"")</f>
        <v>1.0415503183290653E-2</v>
      </c>
      <c r="C2283" s="112">
        <f t="shared" si="1053"/>
        <v>-1.7543859649121751E-3</v>
      </c>
      <c r="D2283" s="112">
        <f t="shared" si="1053"/>
        <v>4.3333333333333002E-3</v>
      </c>
      <c r="E2283" s="112">
        <f t="shared" si="1053"/>
        <v>2.0534577853203118E-2</v>
      </c>
      <c r="F2283" s="112">
        <f t="shared" si="1053"/>
        <v>-3.4358622764198987E-3</v>
      </c>
    </row>
    <row r="2284" spans="1:6">
      <c r="A2284" s="111">
        <f t="shared" si="1040"/>
        <v>45968</v>
      </c>
      <c r="B2284" s="112">
        <f t="shared" ref="B2284:F2284" si="1054">IFERROR((B1042/B1041-1),"")</f>
        <v>1.9814840403482137E-2</v>
      </c>
      <c r="C2284" s="112">
        <f t="shared" si="1054"/>
        <v>-1.3436135835364849E-2</v>
      </c>
      <c r="D2284" s="112">
        <f t="shared" si="1054"/>
        <v>1.6594756057086713E-4</v>
      </c>
      <c r="E2284" s="112">
        <f t="shared" si="1054"/>
        <v>2.3946121227238715E-2</v>
      </c>
      <c r="F2284" s="112">
        <f t="shared" si="1054"/>
        <v>-6.8209347816716726E-4</v>
      </c>
    </row>
    <row r="2285" spans="1:6">
      <c r="A2285" s="111">
        <f t="shared" si="1040"/>
        <v>45971</v>
      </c>
      <c r="B2285" s="112">
        <f t="shared" ref="B2285:F2285" si="1055">IFERROR((B1043/B1042-1),"")</f>
        <v>-7.1269849872634961E-3</v>
      </c>
      <c r="C2285" s="112">
        <f t="shared" si="1055"/>
        <v>9.9988507068151655E-3</v>
      </c>
      <c r="D2285" s="112">
        <f t="shared" si="1055"/>
        <v>-5.5583208893313918E-3</v>
      </c>
      <c r="E2285" s="112">
        <f t="shared" si="1055"/>
        <v>-3.8976857490864436E-3</v>
      </c>
      <c r="F2285" s="112">
        <f t="shared" si="1055"/>
        <v>3.2186189555276634E-3</v>
      </c>
    </row>
    <row r="2286" spans="1:6">
      <c r="A2286" s="111">
        <f t="shared" si="1040"/>
        <v>45972</v>
      </c>
      <c r="B2286" s="112">
        <f t="shared" ref="B2286:F2286" si="1056">IFERROR((B1044/B1043-1),"")</f>
        <v>2.3253909768279568E-2</v>
      </c>
      <c r="C2286" s="112">
        <f t="shared" si="1056"/>
        <v>2.2473827947200764E-2</v>
      </c>
      <c r="D2286" s="112">
        <f t="shared" si="1056"/>
        <v>1.0678234754317062E-2</v>
      </c>
      <c r="E2286" s="112">
        <f t="shared" si="1056"/>
        <v>-2.9836145756908738E-2</v>
      </c>
      <c r="F2286" s="112">
        <f t="shared" si="1056"/>
        <v>4.7156623726507529E-3</v>
      </c>
    </row>
    <row r="2287" spans="1:6">
      <c r="A2287" s="111">
        <f t="shared" si="1040"/>
        <v>45973</v>
      </c>
      <c r="B2287" s="112">
        <f t="shared" ref="B2287:F2287" si="1057">IFERROR((B1045/B1044-1),"")</f>
        <v>1.3869995465578544E-3</v>
      </c>
      <c r="C2287" s="112">
        <f t="shared" si="1057"/>
        <v>1.7027433086639565E-2</v>
      </c>
      <c r="D2287" s="112">
        <f t="shared" si="1057"/>
        <v>1.4940156830375528E-2</v>
      </c>
      <c r="E2287" s="112">
        <f t="shared" si="1057"/>
        <v>-1.1847743887068329E-2</v>
      </c>
      <c r="F2287" s="112">
        <f t="shared" si="1057"/>
        <v>7.0383480022337963E-3</v>
      </c>
    </row>
    <row r="2288" spans="1:6">
      <c r="A2288" s="111">
        <f t="shared" si="1040"/>
        <v>45974</v>
      </c>
      <c r="B2288" s="112">
        <f t="shared" ref="B2288:F2288" si="1058">IFERROR((B1046/B1045-1),"")</f>
        <v>-1.4596595903364151E-2</v>
      </c>
      <c r="C2288" s="112">
        <f t="shared" si="1058"/>
        <v>-9.5748755266181762E-3</v>
      </c>
      <c r="D2288" s="112">
        <f t="shared" si="1058"/>
        <v>4.3103448275862988E-3</v>
      </c>
      <c r="E2288" s="112">
        <f t="shared" si="1058"/>
        <v>-4.8469387755102344E-3</v>
      </c>
      <c r="F2288" s="112">
        <f t="shared" si="1058"/>
        <v>1.2946459626372864E-4</v>
      </c>
    </row>
    <row r="2289" spans="1:6">
      <c r="A2289" s="111">
        <f t="shared" si="1040"/>
        <v>45975</v>
      </c>
      <c r="B2289" s="112">
        <f t="shared" ref="B2289:F2289" si="1059">IFERROR((B1047/B1046-1),"")</f>
        <v>-2.4327611839436436E-4</v>
      </c>
      <c r="C2289" s="112">
        <f t="shared" si="1059"/>
        <v>-5.8557065517622631E-3</v>
      </c>
      <c r="D2289" s="112">
        <f t="shared" si="1059"/>
        <v>8.9885820714226128E-3</v>
      </c>
      <c r="E2289" s="112">
        <f t="shared" si="1059"/>
        <v>-8.2030248654191285E-3</v>
      </c>
      <c r="F2289" s="112">
        <f t="shared" si="1059"/>
        <v>1.194011395273753E-3</v>
      </c>
    </row>
    <row r="2290" spans="1:6">
      <c r="A2290" s="111">
        <f t="shared" si="1040"/>
        <v>45978</v>
      </c>
      <c r="B2290" s="112">
        <f t="shared" ref="B2290:F2290" si="1060">IFERROR((B1048/B1047-1),"")</f>
        <v>9.8145244146434774E-3</v>
      </c>
      <c r="C2290" s="112">
        <f t="shared" si="1060"/>
        <v>8.3351855967994659E-4</v>
      </c>
      <c r="D2290" s="112">
        <f t="shared" si="1060"/>
        <v>-1.284109149277568E-3</v>
      </c>
      <c r="E2290" s="112">
        <f t="shared" si="1060"/>
        <v>4.6523649521841293E-3</v>
      </c>
      <c r="F2290" s="112">
        <f t="shared" si="1060"/>
        <v>3.9907294659795589E-3</v>
      </c>
    </row>
    <row r="2291" spans="1:6">
      <c r="A2291" s="111">
        <f t="shared" si="1040"/>
        <v>45979</v>
      </c>
      <c r="B2291" s="112">
        <f t="shared" ref="B2291:F2291" si="1061">IFERROR((B1049/B1048-1),"")</f>
        <v>-1.073656590537897E-2</v>
      </c>
      <c r="C2291" s="112">
        <f t="shared" si="1061"/>
        <v>-9.3276331130974777E-3</v>
      </c>
      <c r="D2291" s="112">
        <f t="shared" si="1061"/>
        <v>-4.8216007714574349E-4</v>
      </c>
      <c r="E2291" s="112">
        <f t="shared" si="1061"/>
        <v>1.6293628333761134E-3</v>
      </c>
      <c r="F2291" s="112">
        <f t="shared" si="1061"/>
        <v>-3.9748668477268545E-3</v>
      </c>
    </row>
    <row r="2292" spans="1:6">
      <c r="A2292" s="111">
        <f t="shared" si="1040"/>
        <v>45980</v>
      </c>
      <c r="B2292" s="112">
        <f t="shared" ref="B2292:F2292" si="1062">IFERROR((B1050/B1049-1),"")</f>
        <v>7.4970228429143138E-3</v>
      </c>
      <c r="C2292" s="112">
        <f t="shared" si="1062"/>
        <v>4.1416802107268946E-2</v>
      </c>
      <c r="D2292" s="112">
        <f t="shared" si="1062"/>
        <v>5.1455217880689297E-3</v>
      </c>
      <c r="E2292" s="112">
        <f t="shared" si="1062"/>
        <v>5.9075342465753078E-3</v>
      </c>
      <c r="F2292" s="112">
        <f t="shared" si="1062"/>
        <v>5.5036559172985111E-3</v>
      </c>
    </row>
    <row r="2293" spans="1:6">
      <c r="A2293" s="111">
        <f t="shared" si="1040"/>
        <v>45981</v>
      </c>
      <c r="B2293" s="112">
        <f t="shared" ref="B2293:F2293" si="1063">IFERROR((B1051/B1050-1),"")</f>
        <v>-1.558092679650791E-3</v>
      </c>
      <c r="C2293" s="112">
        <f t="shared" si="1063"/>
        <v>-6.5116779679260661E-3</v>
      </c>
      <c r="D2293" s="112">
        <f t="shared" si="1063"/>
        <v>-1.2797952327628925E-3</v>
      </c>
      <c r="E2293" s="112">
        <f t="shared" si="1063"/>
        <v>-9.4476125627712682E-3</v>
      </c>
      <c r="F2293" s="112">
        <f t="shared" si="1063"/>
        <v>5.3545416685059077E-3</v>
      </c>
    </row>
    <row r="2294" spans="1:6">
      <c r="A2294" s="111">
        <f t="shared" si="1040"/>
        <v>45982</v>
      </c>
      <c r="B2294" s="112">
        <f t="shared" ref="B2294:F2294" si="1064">IFERROR((B1052/B1051-1),"")</f>
        <v>8.8519385476364398E-3</v>
      </c>
      <c r="C2294" s="112">
        <f t="shared" si="1064"/>
        <v>-2.6325767834895153E-2</v>
      </c>
      <c r="D2294" s="112">
        <f t="shared" si="1064"/>
        <v>-3.7642159218322924E-3</v>
      </c>
      <c r="E2294" s="112">
        <f t="shared" si="1064"/>
        <v>-1.0311050008592337E-3</v>
      </c>
      <c r="F2294" s="112">
        <f t="shared" si="1064"/>
        <v>-4.7342428933859759E-3</v>
      </c>
    </row>
    <row r="2295" spans="1:6">
      <c r="A2295" s="111">
        <f t="shared" si="1040"/>
        <v>45985</v>
      </c>
      <c r="B2295" s="112">
        <f t="shared" ref="B2295:F2295" si="1065">IFERROR((B1053/B1052-1),"")</f>
        <v>-1.5681672711755801E-2</v>
      </c>
      <c r="C2295" s="112">
        <f t="shared" si="1065"/>
        <v>5.9527121001390348E-3</v>
      </c>
      <c r="D2295" s="112">
        <f t="shared" si="1065"/>
        <v>-1.4229439665568E-2</v>
      </c>
      <c r="E2295" s="112">
        <f t="shared" si="1065"/>
        <v>4.3007053156718378E-4</v>
      </c>
      <c r="F2295" s="112">
        <f t="shared" si="1065"/>
        <v>-4.1679213906625767E-3</v>
      </c>
    </row>
    <row r="2296" spans="1:6">
      <c r="A2296" s="111">
        <f t="shared" si="1040"/>
        <v>45986</v>
      </c>
      <c r="B2296" s="112">
        <f t="shared" ref="B2296:F2296" si="1066">IFERROR((B1054/B1053-1),"")</f>
        <v>-5.8252953289259501E-3</v>
      </c>
      <c r="C2296" s="112">
        <f t="shared" si="1066"/>
        <v>1.2996349961287512E-2</v>
      </c>
      <c r="D2296" s="112">
        <f t="shared" si="1066"/>
        <v>8.073723699233204E-3</v>
      </c>
      <c r="E2296" s="112">
        <f t="shared" si="1066"/>
        <v>8.8556443985898792E-3</v>
      </c>
      <c r="F2296" s="112">
        <f t="shared" si="1066"/>
        <v>-2.8775592750245327E-3</v>
      </c>
    </row>
    <row r="2297" spans="1:6">
      <c r="A2297" s="111">
        <f t="shared" si="1040"/>
        <v>45987</v>
      </c>
      <c r="B2297" s="112">
        <f t="shared" ref="B2297:F2297" si="1067">IFERROR((B1055/B1054-1),"")</f>
        <v>4.6602894285012741E-3</v>
      </c>
      <c r="C2297" s="112">
        <f t="shared" si="1067"/>
        <v>2.1510072610143594E-2</v>
      </c>
      <c r="D2297" s="112">
        <f t="shared" si="1067"/>
        <v>9.6270528274411404E-3</v>
      </c>
      <c r="E2297" s="112">
        <f t="shared" si="1067"/>
        <v>2.3010056246803856E-3</v>
      </c>
      <c r="F2297" s="112">
        <f t="shared" si="1067"/>
        <v>1.238178390406719E-2</v>
      </c>
    </row>
    <row r="2298" spans="1:6">
      <c r="A2298" s="111">
        <f t="shared" si="1040"/>
        <v>45988</v>
      </c>
      <c r="B2298" s="112">
        <f t="shared" ref="B2298:F2298" si="1068">IFERROR((B1056/B1055-1),"")</f>
        <v>-1.4105902777779011E-3</v>
      </c>
      <c r="C2298" s="112">
        <f t="shared" si="1068"/>
        <v>2.08967986745765E-2</v>
      </c>
      <c r="D2298" s="112">
        <f t="shared" si="1068"/>
        <v>1.0416666666666075E-3</v>
      </c>
      <c r="E2298" s="112">
        <f t="shared" si="1068"/>
        <v>-9.1828926111725551E-3</v>
      </c>
      <c r="F2298" s="112">
        <f t="shared" si="1068"/>
        <v>3.9114224985015156E-4</v>
      </c>
    </row>
    <row r="2299" spans="1:6">
      <c r="A2299" s="111">
        <f t="shared" si="1040"/>
        <v>45989</v>
      </c>
      <c r="B2299" s="112">
        <f t="shared" ref="B2299:F2299" si="1069">IFERROR((B1057/B1056-1),"")</f>
        <v>2.0672606758665779E-2</v>
      </c>
      <c r="C2299" s="112">
        <f t="shared" si="1069"/>
        <v>-7.8525808815832487E-4</v>
      </c>
      <c r="D2299" s="112">
        <f t="shared" si="1069"/>
        <v>7.6042583846953615E-3</v>
      </c>
      <c r="E2299" s="112">
        <f t="shared" si="1069"/>
        <v>3.3467776538229632E-3</v>
      </c>
      <c r="F2299" s="112">
        <f t="shared" si="1069"/>
        <v>-4.806307706685109E-4</v>
      </c>
    </row>
    <row r="2300" spans="1:6">
      <c r="A2300" s="111">
        <f t="shared" si="1040"/>
        <v>45992</v>
      </c>
      <c r="B2300" s="112">
        <f t="shared" ref="B2300:F2300" si="1070">IFERROR((B1058/B1057-1),"")</f>
        <v>-4.1785324568174298E-3</v>
      </c>
      <c r="C2300" s="112">
        <f t="shared" si="1070"/>
        <v>-3.1958924922722565E-3</v>
      </c>
      <c r="D2300" s="112">
        <f t="shared" si="1070"/>
        <v>1.0327295837304629E-3</v>
      </c>
      <c r="E2300" s="112">
        <f t="shared" si="1070"/>
        <v>-5.5593568251796066E-3</v>
      </c>
      <c r="F2300" s="112">
        <f t="shared" si="1070"/>
        <v>-1.0380510591364578E-3</v>
      </c>
    </row>
    <row r="2301" spans="1:6">
      <c r="A2301" s="111">
        <f t="shared" si="1040"/>
        <v>45993</v>
      </c>
      <c r="B2301" s="112">
        <f t="shared" ref="B2301:F2301" si="1071">IFERROR((B1059/B1058-1),"")</f>
        <v>-6.7083600598674131E-3</v>
      </c>
      <c r="C2301" s="112">
        <f t="shared" si="1071"/>
        <v>5.9392410385787908E-3</v>
      </c>
      <c r="D2301" s="112">
        <f t="shared" si="1071"/>
        <v>1.1983175938417689E-2</v>
      </c>
      <c r="E2301" s="112">
        <f t="shared" si="1071"/>
        <v>1.0664831856884938E-2</v>
      </c>
      <c r="F2301" s="112">
        <f t="shared" si="1071"/>
        <v>-5.4840835506145824E-3</v>
      </c>
    </row>
    <row r="2302" spans="1:6">
      <c r="A2302" s="111">
        <f t="shared" si="1040"/>
        <v>45994</v>
      </c>
      <c r="B2302" s="112">
        <f t="shared" ref="B2302:F2302" si="1072">IFERROR((B1060/B1059-1),"")</f>
        <v>-1.8054621283465577E-2</v>
      </c>
      <c r="C2302" s="112">
        <f t="shared" si="1072"/>
        <v>-7.3149067349398411E-4</v>
      </c>
      <c r="D2302" s="112">
        <f t="shared" si="1072"/>
        <v>4.3130489335005961E-3</v>
      </c>
      <c r="E2302" s="112">
        <f t="shared" si="1072"/>
        <v>-8.6801123308654082E-3</v>
      </c>
      <c r="F2302" s="112">
        <f t="shared" si="1072"/>
        <v>-1.7747251480858539E-3</v>
      </c>
    </row>
    <row r="2303" spans="1:6">
      <c r="A2303" s="111">
        <f t="shared" si="1040"/>
        <v>45995</v>
      </c>
      <c r="B2303" s="112">
        <f t="shared" ref="B2303:F2303" si="1073">IFERROR((B1061/B1060-1),"")</f>
        <v>6.0831917575492334E-3</v>
      </c>
      <c r="C2303" s="112">
        <f t="shared" si="1073"/>
        <v>2.8078431372549062E-2</v>
      </c>
      <c r="D2303" s="112">
        <f t="shared" si="1073"/>
        <v>-2.4205512610292468E-3</v>
      </c>
      <c r="E2303" s="112">
        <f t="shared" si="1073"/>
        <v>8.927804961799346E-3</v>
      </c>
      <c r="F2303" s="112">
        <f t="shared" si="1073"/>
        <v>1.8375278996383138E-3</v>
      </c>
    </row>
    <row r="2304" spans="1:6">
      <c r="A2304" s="111">
        <f t="shared" si="1040"/>
        <v>45996</v>
      </c>
      <c r="B2304" s="112">
        <f t="shared" ref="B2304:F2304" si="1074">IFERROR((B1062/B1061-1),"")</f>
        <v>1.2392417474670347E-2</v>
      </c>
      <c r="C2304" s="112">
        <f t="shared" si="1074"/>
        <v>5.9505645407385011E-3</v>
      </c>
      <c r="D2304" s="112">
        <f t="shared" si="1074"/>
        <v>-1.8785222291796133E-3</v>
      </c>
      <c r="E2304" s="112">
        <f t="shared" si="1074"/>
        <v>1.4379307410873787E-2</v>
      </c>
      <c r="F2304" s="112">
        <f t="shared" si="1074"/>
        <v>5.8654631007826197E-3</v>
      </c>
    </row>
    <row r="2305" spans="1:6">
      <c r="A2305" s="111">
        <f t="shared" si="1040"/>
        <v>45999</v>
      </c>
      <c r="B2305" s="112">
        <f t="shared" ref="B2305:F2305" si="1075">IFERROR((B1063/B1062-1),"")</f>
        <v>-9.5235533076861723E-3</v>
      </c>
      <c r="C2305" s="112">
        <f t="shared" si="1075"/>
        <v>-1.344860710854956E-2</v>
      </c>
      <c r="D2305" s="112">
        <f t="shared" si="1075"/>
        <v>-6.8224592220827995E-3</v>
      </c>
      <c r="E2305" s="112">
        <f t="shared" si="1075"/>
        <v>-1.9040429458144659E-2</v>
      </c>
      <c r="F2305" s="112">
        <f t="shared" si="1075"/>
        <v>-8.626598870790092E-3</v>
      </c>
    </row>
    <row r="2306" spans="1:6">
      <c r="A2306" s="111">
        <f t="shared" si="1040"/>
        <v>46000</v>
      </c>
      <c r="B2306" s="112">
        <f t="shared" ref="B2306:F2306" si="1076">IFERROR((B1064/B1063-1),"")</f>
        <v>-1.2439905478447422E-2</v>
      </c>
      <c r="C2306" s="112">
        <f t="shared" si="1076"/>
        <v>-3.987085532721768E-2</v>
      </c>
      <c r="D2306" s="112">
        <f t="shared" si="1076"/>
        <v>-1.6028424792735807E-2</v>
      </c>
      <c r="E2306" s="112">
        <f t="shared" si="1076"/>
        <v>6.241983753740854E-3</v>
      </c>
      <c r="F2306" s="112">
        <f t="shared" si="1076"/>
        <v>-4.6570662023723841E-3</v>
      </c>
    </row>
    <row r="2307" spans="1:6">
      <c r="A2307" s="111">
        <f t="shared" si="1040"/>
        <v>46001</v>
      </c>
      <c r="B2307" s="112">
        <f t="shared" ref="B2307:F2307" si="1077">IFERROR((B1065/B1064-1),"")</f>
        <v>-1.6227068951291113E-3</v>
      </c>
      <c r="C2307" s="112">
        <f t="shared" si="1077"/>
        <v>-2.84494262076328E-2</v>
      </c>
      <c r="D2307" s="112">
        <f t="shared" si="1077"/>
        <v>3.6912213127908711E-3</v>
      </c>
      <c r="E2307" s="112">
        <f t="shared" si="1077"/>
        <v>-9.4323589394968987E-3</v>
      </c>
      <c r="F2307" s="112">
        <f t="shared" si="1077"/>
        <v>-3.15987252149319E-3</v>
      </c>
    </row>
    <row r="2308" spans="1:6">
      <c r="A2308" s="111">
        <f t="shared" si="1040"/>
        <v>46002</v>
      </c>
      <c r="B2308" s="112">
        <f t="shared" ref="B2308:F2308" si="1078">IFERROR((B1066/B1065-1),"")</f>
        <v>9.6969696969695374E-3</v>
      </c>
      <c r="C2308" s="112">
        <f t="shared" si="1078"/>
        <v>1.1647071750357174E-2</v>
      </c>
      <c r="D2308" s="112">
        <f t="shared" si="1078"/>
        <v>1.8148385033578629E-2</v>
      </c>
      <c r="E2308" s="112">
        <f t="shared" si="1078"/>
        <v>3.1740585056190262E-3</v>
      </c>
      <c r="F2308" s="112">
        <f t="shared" si="1078"/>
        <v>5.4565571861169282E-3</v>
      </c>
    </row>
    <row r="2309" spans="1:6">
      <c r="A2309" s="111">
        <f t="shared" si="1040"/>
        <v>46003</v>
      </c>
      <c r="B2309" s="112">
        <f t="shared" ref="B2309:F2309" si="1079">IFERROR((B1067/B1066-1),"")</f>
        <v>3.9288442649787481E-3</v>
      </c>
      <c r="C2309" s="112">
        <f t="shared" si="1079"/>
        <v>5.2134245682631253E-3</v>
      </c>
      <c r="D2309" s="112">
        <f t="shared" si="1079"/>
        <v>4.5543776992540419E-3</v>
      </c>
      <c r="E2309" s="112">
        <f t="shared" si="1079"/>
        <v>1.1715409611766647E-2</v>
      </c>
      <c r="F2309" s="112">
        <f t="shared" si="1079"/>
        <v>5.7300505240640565E-3</v>
      </c>
    </row>
    <row r="2310" spans="1:6">
      <c r="A2310" s="111">
        <f t="shared" si="1040"/>
        <v>46006</v>
      </c>
      <c r="B2310" s="112">
        <f t="shared" ref="B2310:F2310" si="1080">IFERROR((B1068/B1067-1),"")</f>
        <v>-1.9458636808348695E-2</v>
      </c>
      <c r="C2310" s="112">
        <f t="shared" si="1080"/>
        <v>1.0264721772015095E-2</v>
      </c>
      <c r="D2310" s="112">
        <f t="shared" si="1080"/>
        <v>1.0161807238333598E-3</v>
      </c>
      <c r="E2310" s="112">
        <f t="shared" si="1080"/>
        <v>2.0708308680584819E-2</v>
      </c>
      <c r="F2310" s="112">
        <f t="shared" si="1080"/>
        <v>-7.5440694591888402E-4</v>
      </c>
    </row>
    <row r="2311" spans="1:6">
      <c r="A2311" s="111">
        <f t="shared" si="1040"/>
        <v>46007</v>
      </c>
      <c r="B2311" s="112">
        <f t="shared" ref="B2311:F2311" si="1081">IFERROR((B1069/B1068-1),"")</f>
        <v>3.6031042128603641E-3</v>
      </c>
      <c r="C2311" s="112">
        <f t="shared" si="1081"/>
        <v>-1.7112299465240621E-3</v>
      </c>
      <c r="D2311" s="112">
        <f t="shared" si="1081"/>
        <v>-2.8892706543806046E-3</v>
      </c>
      <c r="E2311" s="112">
        <f t="shared" si="1081"/>
        <v>4.6372971182511158E-3</v>
      </c>
      <c r="F2311" s="112">
        <f t="shared" si="1081"/>
        <v>-6.4240240055634112E-3</v>
      </c>
    </row>
    <row r="2312" spans="1:6">
      <c r="A2312" s="111">
        <f t="shared" si="1040"/>
        <v>46008</v>
      </c>
      <c r="B2312" s="112">
        <f t="shared" ref="B2312:F2312" si="1082">IFERROR((B1070/B1069-1),"")</f>
        <v>-2.2645677989505675E-3</v>
      </c>
      <c r="C2312" s="112">
        <f t="shared" si="1082"/>
        <v>-1.1838440111420545E-2</v>
      </c>
      <c r="D2312" s="112">
        <f t="shared" si="1082"/>
        <v>-3.8374187485317179E-3</v>
      </c>
      <c r="E2312" s="112">
        <f t="shared" si="1082"/>
        <v>4.9455984174084922E-3</v>
      </c>
      <c r="F2312" s="112">
        <f t="shared" si="1082"/>
        <v>-1.6067223251263751E-3</v>
      </c>
    </row>
    <row r="2313" spans="1:6">
      <c r="A2313" s="111">
        <f t="shared" si="1040"/>
        <v>46009</v>
      </c>
      <c r="B2313" s="112">
        <f t="shared" ref="B2313:F2313" si="1083">IFERROR((B1071/B1070-1),"")</f>
        <v>-7.2519929140832939E-3</v>
      </c>
      <c r="C2313" s="112">
        <f t="shared" si="1083"/>
        <v>5.4751450100287702E-3</v>
      </c>
      <c r="D2313" s="112">
        <f t="shared" si="1083"/>
        <v>6.2893081761006275E-3</v>
      </c>
      <c r="E2313" s="112">
        <f t="shared" si="1083"/>
        <v>-9.1043307086614567E-3</v>
      </c>
      <c r="F2313" s="112">
        <f t="shared" si="1083"/>
        <v>-1.1619552608488348E-4</v>
      </c>
    </row>
    <row r="2314" spans="1:6">
      <c r="A2314" s="111">
        <f t="shared" si="1040"/>
        <v>46010</v>
      </c>
      <c r="B2314" s="112">
        <f t="shared" ref="B2314:F2314" si="1084">IFERROR((B1072/B1071-1),"")</f>
        <v>4.7398650532537445E-3</v>
      </c>
      <c r="C2314" s="112">
        <f t="shared" si="1084"/>
        <v>-5.0679318524907702E-3</v>
      </c>
      <c r="D2314" s="112">
        <f t="shared" si="1084"/>
        <v>-1.4062499999999423E-3</v>
      </c>
      <c r="E2314" s="112">
        <f t="shared" si="1084"/>
        <v>1.0346825593907871E-2</v>
      </c>
      <c r="F2314" s="112">
        <f t="shared" si="1084"/>
        <v>5.8433773442752024E-3</v>
      </c>
    </row>
    <row r="2315" spans="1:6">
      <c r="A2315" s="111">
        <f t="shared" si="1040"/>
        <v>46013</v>
      </c>
      <c r="B2315" s="112">
        <f t="shared" ref="B2315:F2315" si="1085">IFERROR((B1073/B1072-1),"")</f>
        <v>3.6352536352535214E-3</v>
      </c>
      <c r="C2315" s="112">
        <f t="shared" si="1085"/>
        <v>1.2625988945486055E-2</v>
      </c>
      <c r="D2315" s="112">
        <f t="shared" si="1085"/>
        <v>4.0682209356908139E-3</v>
      </c>
      <c r="E2315" s="112">
        <f t="shared" si="1085"/>
        <v>-3.2770768474520429E-3</v>
      </c>
      <c r="F2315" s="112">
        <f t="shared" si="1085"/>
        <v>7.9333292254606391E-3</v>
      </c>
    </row>
    <row r="2316" spans="1:6">
      <c r="A2316" s="111">
        <f t="shared" si="1040"/>
        <v>46014</v>
      </c>
      <c r="B2316" s="112">
        <f t="shared" ref="B2316:F2316" si="1086">IFERROR((B1074/B1073-1),"")</f>
        <v>2.3225592390854199E-3</v>
      </c>
      <c r="C2316" s="112">
        <f t="shared" si="1086"/>
        <v>-4.7359126665596385E-2</v>
      </c>
      <c r="D2316" s="112">
        <f t="shared" si="1086"/>
        <v>7.7918030232160262E-5</v>
      </c>
      <c r="E2316" s="112">
        <f t="shared" si="1086"/>
        <v>-3.6166365280289048E-3</v>
      </c>
      <c r="F2316" s="112">
        <f t="shared" si="1086"/>
        <v>1.8148889670044355E-4</v>
      </c>
    </row>
    <row r="2317" spans="1:6">
      <c r="A2317" s="111">
        <f t="shared" si="1040"/>
        <v>46015</v>
      </c>
      <c r="B2317" s="112">
        <f t="shared" ref="B2317:F2317" si="1087">IFERROR((B1075/B1074-1),"")</f>
        <v>3.1999117265730792E-3</v>
      </c>
      <c r="C2317" s="112">
        <f t="shared" si="1087"/>
        <v>-2.3873722053701862E-2</v>
      </c>
      <c r="D2317" s="112">
        <f t="shared" si="1087"/>
        <v>-1.3790416828983298E-2</v>
      </c>
      <c r="E2317" s="112">
        <f t="shared" si="1087"/>
        <v>-5.1146675466094971E-3</v>
      </c>
      <c r="F2317" s="112">
        <f t="shared" si="1087"/>
        <v>-1.3389540114184806E-3</v>
      </c>
    </row>
    <row r="2318" spans="1:6">
      <c r="A2318" s="111">
        <f t="shared" si="1040"/>
        <v>46017</v>
      </c>
      <c r="B2318" s="112">
        <f t="shared" ref="B2318:F2318" si="1088">IFERROR((B1076/B1075-1),"")</f>
        <v>-3.73965408199739E-3</v>
      </c>
      <c r="C2318" s="112">
        <f t="shared" si="1088"/>
        <v>-3.706048224664793E-2</v>
      </c>
      <c r="D2318" s="112">
        <f t="shared" si="1088"/>
        <v>2.7650497708959776E-3</v>
      </c>
      <c r="E2318" s="112">
        <f t="shared" si="1088"/>
        <v>4.1459369817586911E-4</v>
      </c>
      <c r="F2318" s="112">
        <f t="shared" si="1088"/>
        <v>-3.8175969030797008E-3</v>
      </c>
    </row>
    <row r="2319" spans="1:6">
      <c r="A2319" s="111">
        <f t="shared" si="1040"/>
        <v>46020</v>
      </c>
      <c r="B2319" s="112">
        <f t="shared" ref="B2319:F2319" si="1089">IFERROR((B1077/B1076-1),"")</f>
        <v>-8.5562087714939894E-3</v>
      </c>
      <c r="C2319" s="112">
        <f t="shared" si="1089"/>
        <v>5.9762146656308079E-3</v>
      </c>
      <c r="D2319" s="112">
        <f t="shared" si="1089"/>
        <v>-5.5148507051139273E-4</v>
      </c>
      <c r="E2319" s="112">
        <f t="shared" si="1089"/>
        <v>1.4919187733113404E-3</v>
      </c>
      <c r="F2319" s="112">
        <f t="shared" si="1089"/>
        <v>-3.8475864266981352E-3</v>
      </c>
    </row>
    <row r="2320" spans="1:6">
      <c r="A2320" s="111">
        <f t="shared" si="1040"/>
        <v>46021</v>
      </c>
      <c r="B2320" s="112">
        <f t="shared" ref="B2320:F2320" si="1090">IFERROR((B1078/B1077-1),"")</f>
        <v>1.8986108404554614E-2</v>
      </c>
      <c r="C2320" s="112">
        <f t="shared" si="1090"/>
        <v>-1.6871621220222122E-2</v>
      </c>
      <c r="D2320" s="112">
        <f t="shared" si="1090"/>
        <v>-2.2071574964527274E-3</v>
      </c>
      <c r="E2320" s="112">
        <f t="shared" si="1090"/>
        <v>-4.7173715136968886E-3</v>
      </c>
      <c r="F2320" s="112">
        <f t="shared" si="1090"/>
        <v>-1.2527898666647719E-4</v>
      </c>
    </row>
    <row r="2321" spans="1:6">
      <c r="A2321" s="111">
        <f t="shared" si="1040"/>
        <v>46022</v>
      </c>
      <c r="B2321" s="112">
        <f t="shared" ref="B2321:F2321" si="1091">IFERROR((B1079/B1078-1),"")</f>
        <v>1.3359560691746486E-2</v>
      </c>
      <c r="C2321" s="112">
        <f t="shared" si="1091"/>
        <v>4.8945555622694759E-3</v>
      </c>
      <c r="D2321" s="112">
        <f t="shared" si="1091"/>
        <v>4.4240796334336085E-3</v>
      </c>
      <c r="E2321" s="112">
        <f t="shared" si="1091"/>
        <v>2.9935140528853932E-3</v>
      </c>
      <c r="F2321" s="112">
        <f t="shared" si="1091"/>
        <v>7.3538341136942798E-3</v>
      </c>
    </row>
    <row r="2322" spans="1:6">
      <c r="A2322" s="111">
        <f t="shared" si="1040"/>
        <v>46023</v>
      </c>
      <c r="B2322" s="112">
        <f t="shared" ref="B2322:F2322" si="1092">IFERROR((B1080/B1079-1),"")</f>
        <v>1.3965275531111931E-2</v>
      </c>
      <c r="C2322" s="112">
        <f t="shared" si="1092"/>
        <v>-4.3295249549007986E-3</v>
      </c>
      <c r="D2322" s="112">
        <f t="shared" si="1092"/>
        <v>-1.4157621519584662E-2</v>
      </c>
      <c r="E2322" s="112">
        <f t="shared" si="1092"/>
        <v>-3.5649146078593485E-3</v>
      </c>
      <c r="F2322" s="112">
        <f t="shared" si="1092"/>
        <v>6.4868960871966586E-4</v>
      </c>
    </row>
    <row r="2323" spans="1:6">
      <c r="A2323" s="111">
        <f t="shared" si="1040"/>
        <v>46024</v>
      </c>
      <c r="B2323" s="112">
        <f t="shared" ref="B2323:F2323" si="1093">IFERROR((B1081/B1080-1),"")</f>
        <v>1.1007710715235319E-2</v>
      </c>
      <c r="C2323" s="112">
        <f t="shared" si="1093"/>
        <v>-3.3216572049764581E-3</v>
      </c>
      <c r="D2323" s="112">
        <f t="shared" si="1093"/>
        <v>2.1541407371947763E-3</v>
      </c>
      <c r="E2323" s="112">
        <f t="shared" si="1093"/>
        <v>-4.1600798735336175E-3</v>
      </c>
      <c r="F2323" s="112">
        <f t="shared" si="1093"/>
        <v>6.9607653782239876E-3</v>
      </c>
    </row>
    <row r="2324" spans="1:6">
      <c r="A2324" s="111">
        <f t="shared" si="1040"/>
        <v>46027</v>
      </c>
      <c r="B2324" s="112">
        <f t="shared" ref="B2324:F2324" si="1094">IFERROR((B1082/B1081-1),"")</f>
        <v>-3.1822007153377019E-3</v>
      </c>
      <c r="C2324" s="112">
        <f t="shared" si="1094"/>
        <v>-5.0293885960128737E-3</v>
      </c>
      <c r="D2324" s="112">
        <f t="shared" si="1094"/>
        <v>-4.856301249900441E-3</v>
      </c>
      <c r="E2324" s="112">
        <f t="shared" si="1094"/>
        <v>7.0181301696048415E-3</v>
      </c>
      <c r="F2324" s="112">
        <f t="shared" si="1094"/>
        <v>-2.9720588486642496E-3</v>
      </c>
    </row>
    <row r="2325" spans="1:6">
      <c r="A2325" s="111">
        <f t="shared" si="1040"/>
        <v>46028</v>
      </c>
      <c r="B2325" s="112">
        <f t="shared" ref="B2325:F2325" si="1095">IFERROR((B1083/B1082-1),"")</f>
        <v>-1.2400073872781414E-3</v>
      </c>
      <c r="C2325" s="112">
        <f t="shared" si="1095"/>
        <v>9.1961023142508314E-3</v>
      </c>
      <c r="D2325" s="112">
        <f t="shared" si="1095"/>
        <v>4.9600000000000755E-3</v>
      </c>
      <c r="E2325" s="112">
        <f t="shared" si="1095"/>
        <v>1.7091180618933111E-2</v>
      </c>
      <c r="F2325" s="112">
        <f t="shared" si="1095"/>
        <v>-2.7275878751861216E-3</v>
      </c>
    </row>
    <row r="2326" spans="1:6">
      <c r="A2326" s="111">
        <f t="shared" si="1040"/>
        <v>46029</v>
      </c>
      <c r="B2326" s="112">
        <f t="shared" ref="B2326:F2326" si="1096">IFERROR((B1084/B1083-1),"")</f>
        <v>-9.7210481825865669E-3</v>
      </c>
      <c r="C2326" s="112">
        <f t="shared" si="1096"/>
        <v>2.6793796391286095E-2</v>
      </c>
      <c r="D2326" s="112">
        <f t="shared" si="1096"/>
        <v>-1.0667091227511638E-2</v>
      </c>
      <c r="E2326" s="112">
        <f t="shared" si="1096"/>
        <v>9.0545721510726374E-3</v>
      </c>
      <c r="F2326" s="112">
        <f t="shared" si="1096"/>
        <v>-1.4496518161711824E-3</v>
      </c>
    </row>
    <row r="2327" spans="1:6">
      <c r="A2327" s="111">
        <f t="shared" si="1040"/>
        <v>46030</v>
      </c>
      <c r="B2327" s="112">
        <f t="shared" ref="B2327:F2327" si="1097">IFERROR((B1085/B1084-1),"")</f>
        <v>-6.6154502774221635E-3</v>
      </c>
      <c r="C2327" s="112">
        <f t="shared" si="1097"/>
        <v>-3.2030561269468127E-2</v>
      </c>
      <c r="D2327" s="112">
        <f t="shared" si="1097"/>
        <v>-2.8886385580946139E-2</v>
      </c>
      <c r="E2327" s="112">
        <f t="shared" si="1097"/>
        <v>-2.4494745351657188E-2</v>
      </c>
      <c r="F2327" s="112">
        <f t="shared" si="1097"/>
        <v>-1.0095349215305638E-2</v>
      </c>
    </row>
    <row r="2328" spans="1:6">
      <c r="A2328" s="111">
        <f t="shared" si="1040"/>
        <v>46031</v>
      </c>
      <c r="B2328" s="112">
        <f t="shared" ref="B2328:F2328" si="1098">IFERROR((B1086/B1085-1),"")</f>
        <v>-1.254027926960255E-2</v>
      </c>
      <c r="C2328" s="112">
        <f t="shared" si="1098"/>
        <v>2.1007893139040723E-2</v>
      </c>
      <c r="D2328" s="112">
        <f t="shared" si="1098"/>
        <v>2.651420995939846E-3</v>
      </c>
      <c r="E2328" s="112">
        <f t="shared" si="1098"/>
        <v>-9.2815115604540921E-3</v>
      </c>
      <c r="F2328" s="112">
        <f t="shared" si="1098"/>
        <v>-7.4796584592019544E-3</v>
      </c>
    </row>
    <row r="2329" spans="1:6">
      <c r="A2329" s="111">
        <f t="shared" si="1040"/>
        <v>46034</v>
      </c>
      <c r="B2329" s="112">
        <f t="shared" ref="B2329:F2329" si="1099">IFERROR((B1087/B1086-1),"")</f>
        <v>1.2781116580098395E-3</v>
      </c>
      <c r="C2329" s="112">
        <f t="shared" si="1099"/>
        <v>9.2174119885823913E-3</v>
      </c>
      <c r="D2329" s="112">
        <f t="shared" si="1099"/>
        <v>4.4624411205687053E-3</v>
      </c>
      <c r="E2329" s="112">
        <f t="shared" si="1099"/>
        <v>-5.6879966541195648E-3</v>
      </c>
      <c r="F2329" s="112">
        <f t="shared" si="1099"/>
        <v>4.164184509000135E-3</v>
      </c>
    </row>
    <row r="2330" spans="1:6">
      <c r="A2330" s="111">
        <f t="shared" si="1040"/>
        <v>46035</v>
      </c>
      <c r="B2330" s="112">
        <f t="shared" ref="B2330:F2330" si="1100">IFERROR((B1088/B1087-1),"")</f>
        <v>-5.5676262900598017E-3</v>
      </c>
      <c r="C2330" s="112">
        <f t="shared" si="1100"/>
        <v>6.7173413470038579E-3</v>
      </c>
      <c r="D2330" s="112">
        <f t="shared" si="1100"/>
        <v>-1.9909502262443479E-2</v>
      </c>
      <c r="E2330" s="112">
        <f t="shared" si="1100"/>
        <v>-4.2904012787078338E-3</v>
      </c>
      <c r="F2330" s="112">
        <f t="shared" si="1100"/>
        <v>-2.2469731778482771E-3</v>
      </c>
    </row>
    <row r="2331" spans="1:6">
      <c r="A2331" s="111">
        <f t="shared" si="1040"/>
        <v>46036</v>
      </c>
      <c r="B2331" s="112">
        <f t="shared" ref="B2331:F2331" si="1101">IFERROR((B1089/B1088-1),"")</f>
        <v>-3.2773453502662475E-3</v>
      </c>
      <c r="C2331" s="112">
        <f t="shared" si="1101"/>
        <v>-1.5744805384840577E-2</v>
      </c>
      <c r="D2331" s="112">
        <f t="shared" si="1101"/>
        <v>-4.0292117854444642E-3</v>
      </c>
      <c r="E2331" s="112">
        <f t="shared" si="1101"/>
        <v>-1.9432240621831687E-3</v>
      </c>
      <c r="F2331" s="112">
        <f t="shared" si="1101"/>
        <v>-2.5920729977498835E-3</v>
      </c>
    </row>
    <row r="2332" spans="1:6">
      <c r="A2332" s="111">
        <f t="shared" si="1040"/>
        <v>46038</v>
      </c>
      <c r="B2332" s="112">
        <f t="shared" ref="B2332:F2332" si="1102">IFERROR((B1090/B1089-1),"")</f>
        <v>2.3838882038635933E-3</v>
      </c>
      <c r="C2332" s="112">
        <f t="shared" si="1102"/>
        <v>3.0149857278782166E-2</v>
      </c>
      <c r="D2332" s="112">
        <f t="shared" si="1102"/>
        <v>-9.2709650231773688E-3</v>
      </c>
      <c r="E2332" s="112">
        <f t="shared" si="1102"/>
        <v>-1.3544400237026633E-3</v>
      </c>
      <c r="F2332" s="112">
        <f t="shared" si="1102"/>
        <v>1.1201764229162858E-3</v>
      </c>
    </row>
    <row r="2333" spans="1:6">
      <c r="A2333" s="111">
        <f t="shared" si="1040"/>
        <v>46041</v>
      </c>
      <c r="B2333" s="112">
        <f t="shared" ref="B2333:F2333" si="1103">IFERROR((B1091/B1090-1),"")</f>
        <v>-2.1868678585090784E-4</v>
      </c>
      <c r="C2333" s="112">
        <f t="shared" si="1103"/>
        <v>-2.4822490330773661E-3</v>
      </c>
      <c r="D2333" s="112">
        <f t="shared" si="1103"/>
        <v>-7.0608251807741107E-3</v>
      </c>
      <c r="E2333" s="112">
        <f t="shared" si="1103"/>
        <v>7.6290582351445924E-3</v>
      </c>
      <c r="F2333" s="112">
        <f t="shared" si="1103"/>
        <v>-4.2363398957357967E-3</v>
      </c>
    </row>
    <row r="2334" spans="1:6">
      <c r="A2334" s="111">
        <f t="shared" si="1040"/>
        <v>46042</v>
      </c>
      <c r="B2334" s="112">
        <f t="shared" ref="B2334:F2334" si="1104">IFERROR((B1092/B1091-1),"")</f>
        <v>-2.7314485700224211E-2</v>
      </c>
      <c r="C2334" s="112">
        <f t="shared" si="1104"/>
        <v>-1.9849537037036957E-2</v>
      </c>
      <c r="D2334" s="112">
        <f t="shared" si="1104"/>
        <v>-4.2837559972586092E-4</v>
      </c>
      <c r="E2334" s="112">
        <f t="shared" si="1104"/>
        <v>-1.0010936316984909E-2</v>
      </c>
      <c r="F2334" s="112">
        <f t="shared" si="1104"/>
        <v>-1.3796877137441155E-2</v>
      </c>
    </row>
    <row r="2335" spans="1:6">
      <c r="A2335" s="111">
        <f t="shared" ref="A2335:A2398" si="1105">A1093</f>
        <v>46043</v>
      </c>
      <c r="B2335" s="112">
        <f t="shared" ref="B2335:F2335" si="1106">IFERROR((B1093/B1092-1),"")</f>
        <v>-1.1806043569921876E-3</v>
      </c>
      <c r="C2335" s="112">
        <f t="shared" si="1106"/>
        <v>-1.4465371671488425E-2</v>
      </c>
      <c r="D2335" s="112">
        <f t="shared" si="1106"/>
        <v>-8.142624496442985E-3</v>
      </c>
      <c r="E2335" s="112">
        <f t="shared" si="1106"/>
        <v>-1.3851121685927947E-2</v>
      </c>
      <c r="F2335" s="112">
        <f t="shared" si="1106"/>
        <v>-2.9723570791637677E-3</v>
      </c>
    </row>
    <row r="2336" spans="1:6">
      <c r="A2336" s="111">
        <f t="shared" si="1105"/>
        <v>46044</v>
      </c>
      <c r="B2336" s="112">
        <f t="shared" ref="B2336:F2336" si="1107">IFERROR((B1094/B1093-1),"")</f>
        <v>5.7411420369795074E-3</v>
      </c>
      <c r="C2336" s="112">
        <f t="shared" si="1107"/>
        <v>1.1083153606518126E-2</v>
      </c>
      <c r="D2336" s="112">
        <f t="shared" si="1107"/>
        <v>5.2108537849982595E-2</v>
      </c>
      <c r="E2336" s="112">
        <f t="shared" si="1107"/>
        <v>2.2317966393795796E-2</v>
      </c>
      <c r="F2336" s="112">
        <f t="shared" si="1107"/>
        <v>5.2628440822817257E-3</v>
      </c>
    </row>
    <row r="2337" spans="1:6">
      <c r="A2337" s="111">
        <f t="shared" si="1105"/>
        <v>46045</v>
      </c>
      <c r="B2337" s="112">
        <f t="shared" ref="B2337:F2337" si="1108">IFERROR((B1095/B1094-1),"")</f>
        <v>-8.478607605562738E-3</v>
      </c>
      <c r="C2337" s="112">
        <f t="shared" si="1108"/>
        <v>-3.0396397464004243E-2</v>
      </c>
      <c r="D2337" s="112">
        <f t="shared" si="1108"/>
        <v>1.4866529774127279E-2</v>
      </c>
      <c r="E2337" s="112">
        <f t="shared" si="1108"/>
        <v>-1.6351989211058626E-2</v>
      </c>
      <c r="F2337" s="112">
        <f t="shared" si="1108"/>
        <v>-9.5393813340503009E-3</v>
      </c>
    </row>
    <row r="2338" spans="1:6">
      <c r="A2338" s="111">
        <f t="shared" si="1105"/>
        <v>46049</v>
      </c>
      <c r="B2338" s="112">
        <f t="shared" ref="B2338:F2338" si="1109">IFERROR((B1096/B1095-1),"")</f>
        <v>-4.2304001806174885E-2</v>
      </c>
      <c r="C2338" s="112">
        <f t="shared" si="1109"/>
        <v>1.7049621119530567E-2</v>
      </c>
      <c r="D2338" s="112">
        <f t="shared" si="1109"/>
        <v>3.3991583036581119E-3</v>
      </c>
      <c r="E2338" s="112">
        <f t="shared" si="1109"/>
        <v>8.7403598971722563E-3</v>
      </c>
      <c r="F2338" s="112">
        <f t="shared" si="1109"/>
        <v>5.0601529423741631E-3</v>
      </c>
    </row>
    <row r="2339" spans="1:6">
      <c r="A2339" s="111">
        <f t="shared" si="1105"/>
        <v>46050</v>
      </c>
      <c r="B2339" s="112">
        <f t="shared" ref="B2339:F2339" si="1110">IFERROR((B1097/B1096-1),"")</f>
        <v>1.6413732134963777E-2</v>
      </c>
      <c r="C2339" s="112">
        <f t="shared" si="1110"/>
        <v>1.7965511025656467E-2</v>
      </c>
      <c r="D2339" s="112">
        <f t="shared" si="1110"/>
        <v>-1.3953863526375176E-2</v>
      </c>
      <c r="E2339" s="112">
        <f t="shared" si="1110"/>
        <v>-2.3360516479782545E-2</v>
      </c>
      <c r="F2339" s="112">
        <f t="shared" si="1110"/>
        <v>6.6473621074540912E-3</v>
      </c>
    </row>
    <row r="2340" spans="1:6">
      <c r="A2340" s="111">
        <f t="shared" si="1105"/>
        <v>46051</v>
      </c>
      <c r="B2340" s="112">
        <f t="shared" ref="B2340:F2340" si="1111">IFERROR((B1098/B1097-1),"")</f>
        <v>-1.8786965093354868E-2</v>
      </c>
      <c r="C2340" s="112">
        <f t="shared" si="1111"/>
        <v>-9.5030102703341779E-3</v>
      </c>
      <c r="D2340" s="112">
        <f t="shared" si="1111"/>
        <v>-1.1124744376278084E-2</v>
      </c>
      <c r="E2340" s="112">
        <f t="shared" si="1111"/>
        <v>-4.4359398103853698E-3</v>
      </c>
      <c r="F2340" s="112">
        <f t="shared" si="1111"/>
        <v>3.004804135305017E-3</v>
      </c>
    </row>
    <row r="2341" spans="1:6">
      <c r="A2341" s="111">
        <f t="shared" si="1105"/>
        <v>46052</v>
      </c>
      <c r="B2341" s="112">
        <f t="shared" ref="B2341:F2341" si="1112">IFERROR((B1099/B1098-1),"")</f>
        <v>1.4005436709608743E-2</v>
      </c>
      <c r="C2341" s="112">
        <f t="shared" si="1112"/>
        <v>-1.4480662654192233E-2</v>
      </c>
      <c r="D2341" s="112">
        <f t="shared" si="1112"/>
        <v>7.6102241707336482E-3</v>
      </c>
      <c r="E2341" s="112">
        <f t="shared" si="1112"/>
        <v>2.4025860562641999E-2</v>
      </c>
      <c r="F2341" s="112">
        <f t="shared" si="1112"/>
        <v>-3.8652341368037302E-3</v>
      </c>
    </row>
    <row r="2342" spans="1:6">
      <c r="A2342" s="111">
        <f t="shared" si="1105"/>
        <v>46054</v>
      </c>
      <c r="B2342" s="112">
        <f t="shared" ref="B2342:F2342" si="1113">IFERROR((B1100/B1099-1),"")</f>
        <v>-1.9814674514831876E-2</v>
      </c>
      <c r="C2342" s="112">
        <f t="shared" si="1113"/>
        <v>9.6746885959619888E-4</v>
      </c>
      <c r="D2342" s="112">
        <f t="shared" si="1113"/>
        <v>-3.2345456038092024E-2</v>
      </c>
      <c r="E2342" s="112">
        <f t="shared" si="1113"/>
        <v>-1.7575292210562199E-2</v>
      </c>
      <c r="F2342" s="112">
        <f t="shared" si="1113"/>
        <v>-1.955715986753892E-2</v>
      </c>
    </row>
    <row r="2343" spans="1:6">
      <c r="A2343" s="111">
        <f t="shared" si="1105"/>
        <v>46055</v>
      </c>
      <c r="B2343" s="112">
        <f t="shared" ref="B2343:F2343" si="1114">IFERROR((B1101/B1100-1),"")</f>
        <v>2.9549913787977777E-2</v>
      </c>
      <c r="C2343" s="112">
        <f t="shared" si="1114"/>
        <v>7.7322701461881582E-3</v>
      </c>
      <c r="D2343" s="112">
        <f t="shared" si="1114"/>
        <v>3.2238907270720762E-3</v>
      </c>
      <c r="E2343" s="112">
        <f t="shared" si="1114"/>
        <v>2.2752930959617945E-2</v>
      </c>
      <c r="F2343" s="112">
        <f t="shared" si="1114"/>
        <v>1.05919530159575E-2</v>
      </c>
    </row>
    <row r="2344" spans="1:6">
      <c r="A2344" s="111">
        <f t="shared" si="1105"/>
        <v>46056</v>
      </c>
      <c r="B2344" s="112">
        <f t="shared" ref="B2344:F2344" si="1115">IFERROR((B1102/B1101-1),"")</f>
        <v>1.8682143682143826E-2</v>
      </c>
      <c r="C2344" s="112">
        <f t="shared" si="1115"/>
        <v>2.631578947368407E-2</v>
      </c>
      <c r="D2344" s="112">
        <f t="shared" si="1115"/>
        <v>4.4735729386892187E-2</v>
      </c>
      <c r="E2344" s="112">
        <f t="shared" si="1115"/>
        <v>-1.1038464804279391E-3</v>
      </c>
      <c r="F2344" s="112">
        <f t="shared" si="1115"/>
        <v>2.5475917156932981E-2</v>
      </c>
    </row>
    <row r="2345" spans="1:6">
      <c r="A2345" s="111">
        <f t="shared" si="1105"/>
        <v>46057</v>
      </c>
      <c r="B2345" s="112">
        <f t="shared" ref="B2345:F2345" si="1116">IFERROR((B1103/B1102-1),"")</f>
        <v>1.3067263811332497E-2</v>
      </c>
      <c r="C2345" s="112">
        <f t="shared" si="1116"/>
        <v>-5.7356462823433096E-2</v>
      </c>
      <c r="D2345" s="112">
        <f t="shared" si="1116"/>
        <v>3.8853812530355025E-3</v>
      </c>
      <c r="E2345" s="112">
        <f t="shared" si="1116"/>
        <v>-5.1003060183607563E-4</v>
      </c>
      <c r="F2345" s="112">
        <f t="shared" si="1116"/>
        <v>1.8831952517825989E-3</v>
      </c>
    </row>
    <row r="2346" spans="1:6">
      <c r="A2346" s="111">
        <f t="shared" si="1105"/>
        <v>46058</v>
      </c>
      <c r="B2346" s="112">
        <f t="shared" ref="B2346:F2346" si="1117">IFERROR((B1104/B1103-1),"")</f>
        <v>-5.5959709009512082E-4</v>
      </c>
      <c r="C2346" s="112">
        <f t="shared" si="1117"/>
        <v>-8.7366007807175849E-3</v>
      </c>
      <c r="D2346" s="112">
        <f t="shared" si="1117"/>
        <v>3.7897113368812185E-3</v>
      </c>
      <c r="E2346" s="112">
        <f t="shared" si="1117"/>
        <v>-1.4458241197482513E-3</v>
      </c>
      <c r="F2346" s="112">
        <f t="shared" si="1117"/>
        <v>-5.16759776536313E-3</v>
      </c>
    </row>
    <row r="2347" spans="1:6">
      <c r="A2347" s="111">
        <f t="shared" si="1105"/>
        <v>46059</v>
      </c>
      <c r="B2347" s="112">
        <f t="shared" ref="B2347:F2347" si="1118">IFERROR((B1105/B1104-1),"")</f>
        <v>1.6797312430010258E-3</v>
      </c>
      <c r="C2347" s="112">
        <f t="shared" si="1118"/>
        <v>-3.3629203650456296E-2</v>
      </c>
      <c r="D2347" s="112">
        <f t="shared" si="1118"/>
        <v>-2.9721262752028244E-3</v>
      </c>
      <c r="E2347" s="112">
        <f t="shared" si="1118"/>
        <v>6.8989012860913856E-3</v>
      </c>
      <c r="F2347" s="112">
        <f t="shared" si="1118"/>
        <v>1.9849626405852305E-3</v>
      </c>
    </row>
    <row r="2348" spans="1:6">
      <c r="A2348" s="111">
        <f t="shared" si="1105"/>
        <v>46062</v>
      </c>
      <c r="B2348" s="112">
        <f t="shared" ref="B2348:F2348" si="1119">IFERROR((B1106/B1105-1),"")</f>
        <v>8.8317495807712643E-3</v>
      </c>
      <c r="C2348" s="112">
        <f t="shared" si="1119"/>
        <v>2.1345407503234881E-3</v>
      </c>
      <c r="D2348" s="112">
        <f t="shared" si="1119"/>
        <v>2.7634547212375127E-2</v>
      </c>
      <c r="E2348" s="112">
        <f t="shared" si="1119"/>
        <v>-1.1503975638639807E-2</v>
      </c>
      <c r="F2348" s="112">
        <f t="shared" si="1119"/>
        <v>6.7565200807979675E-3</v>
      </c>
    </row>
    <row r="2349" spans="1:6">
      <c r="A2349" s="111">
        <f t="shared" si="1105"/>
        <v>46063</v>
      </c>
      <c r="B2349" s="112">
        <f t="shared" ref="B2349:F2349" si="1120">IFERROR((B1107/B1106-1),"")</f>
        <v>1.8339982269503619E-2</v>
      </c>
      <c r="C2349" s="112">
        <f t="shared" si="1120"/>
        <v>1.0972697347189087E-3</v>
      </c>
      <c r="D2349" s="112">
        <f t="shared" si="1120"/>
        <v>-1.5288122304978446E-2</v>
      </c>
      <c r="E2349" s="112">
        <f t="shared" si="1120"/>
        <v>5.2199212733186062E-3</v>
      </c>
      <c r="F2349" s="112">
        <f t="shared" si="1120"/>
        <v>2.6230027873028749E-3</v>
      </c>
    </row>
    <row r="2350" spans="1:6">
      <c r="A2350" s="111">
        <f t="shared" si="1105"/>
        <v>46064</v>
      </c>
      <c r="B2350" s="112">
        <f t="shared" ref="B2350:F2350" si="1121">IFERROR((B1108/B1107-1),"")</f>
        <v>-2.448446596658993E-4</v>
      </c>
      <c r="C2350" s="112">
        <f t="shared" si="1121"/>
        <v>-1.9729206963249424E-2</v>
      </c>
      <c r="D2350" s="112">
        <f t="shared" si="1121"/>
        <v>1.1385350318471321E-2</v>
      </c>
      <c r="E2350" s="112">
        <f t="shared" si="1121"/>
        <v>2.4772282284838631E-2</v>
      </c>
      <c r="F2350" s="112">
        <f t="shared" si="1121"/>
        <v>7.2102918240291025E-4</v>
      </c>
    </row>
    <row r="2351" spans="1:6">
      <c r="A2351" s="111">
        <f t="shared" si="1105"/>
        <v>46065</v>
      </c>
      <c r="B2351" s="112">
        <f t="shared" ref="B2351:F2351" si="1122">IFERROR((B1109/B1108-1),"")</f>
        <v>-2.2259109091403939E-2</v>
      </c>
      <c r="C2351" s="112">
        <f t="shared" si="1122"/>
        <v>-6.504867140226267E-2</v>
      </c>
      <c r="D2351" s="112">
        <f t="shared" si="1122"/>
        <v>3.6211918444462032E-3</v>
      </c>
      <c r="E2351" s="112">
        <f t="shared" si="1122"/>
        <v>1.3789666057484551E-2</v>
      </c>
      <c r="F2351" s="112">
        <f t="shared" si="1122"/>
        <v>-5.6504141004127817E-3</v>
      </c>
    </row>
    <row r="2352" spans="1:6">
      <c r="A2352" s="111">
        <f t="shared" si="1105"/>
        <v>46066</v>
      </c>
      <c r="B2352" s="112">
        <f t="shared" ref="B2352:F2352" si="1123">IFERROR((B1110/B1109-1),"")</f>
        <v>-1.6615179093262045E-2</v>
      </c>
      <c r="C2352" s="112">
        <f t="shared" si="1123"/>
        <v>-4.1997889553288759E-2</v>
      </c>
      <c r="D2352" s="112">
        <f t="shared" si="1123"/>
        <v>-5.3337516667975038E-3</v>
      </c>
      <c r="E2352" s="112">
        <f t="shared" si="1123"/>
        <v>-1.9911504424778736E-2</v>
      </c>
      <c r="F2352" s="112">
        <f t="shared" si="1123"/>
        <v>-1.3023497318577881E-2</v>
      </c>
    </row>
    <row r="2353" spans="1:6">
      <c r="A2353" s="111">
        <f t="shared" si="1105"/>
        <v>46069</v>
      </c>
      <c r="B2353" s="112">
        <f t="shared" ref="B2353:F2353" si="1124">IFERROR((B1111/B1110-1),"")</f>
        <v>-6.7074206147054172E-3</v>
      </c>
      <c r="C2353" s="112">
        <f t="shared" si="1124"/>
        <v>2.2543692172125152E-2</v>
      </c>
      <c r="D2353" s="112">
        <f t="shared" si="1124"/>
        <v>1.0251557448153203E-3</v>
      </c>
      <c r="E2353" s="112">
        <f t="shared" si="1124"/>
        <v>2.0984867485996261E-2</v>
      </c>
      <c r="F2353" s="112">
        <f t="shared" si="1124"/>
        <v>8.3094173396516258E-3</v>
      </c>
    </row>
    <row r="2354" spans="1:6">
      <c r="A2354" s="111">
        <f t="shared" si="1105"/>
        <v>46070</v>
      </c>
      <c r="B2354" s="112">
        <f t="shared" ref="B2354:F2354" si="1125">IFERROR((B1112/B1111-1),"")</f>
        <v>-5.8409550673846899E-3</v>
      </c>
      <c r="C2354" s="112">
        <f t="shared" si="1125"/>
        <v>-9.8384201077199585E-3</v>
      </c>
      <c r="D2354" s="112">
        <f t="shared" si="1125"/>
        <v>1.21317157712304E-2</v>
      </c>
      <c r="E2354" s="112">
        <f t="shared" si="1125"/>
        <v>6.469046839174597E-3</v>
      </c>
      <c r="F2354" s="112">
        <f t="shared" si="1125"/>
        <v>1.6606477110123752E-3</v>
      </c>
    </row>
    <row r="2355" spans="1:6">
      <c r="A2355" s="111">
        <f t="shared" si="1105"/>
        <v>46071</v>
      </c>
      <c r="B2355" s="112">
        <f t="shared" ref="B2355:F2355" si="1126">IFERROR((B1113/B1112-1),"")</f>
        <v>1.1836524131606074E-2</v>
      </c>
      <c r="C2355" s="112">
        <f t="shared" si="1126"/>
        <v>-4.3516100957353698E-3</v>
      </c>
      <c r="D2355" s="112">
        <f t="shared" si="1126"/>
        <v>-3.5024906600249484E-3</v>
      </c>
      <c r="E2355" s="112">
        <f t="shared" si="1126"/>
        <v>4.9629810430396049E-3</v>
      </c>
      <c r="F2355" s="112">
        <f t="shared" si="1126"/>
        <v>3.6520326214557475E-3</v>
      </c>
    </row>
    <row r="2356" spans="1:6">
      <c r="A2356" s="111">
        <f t="shared" si="1105"/>
        <v>46072</v>
      </c>
      <c r="B2356" s="112">
        <f t="shared" ref="B2356:F2356" si="1127">IFERROR((B1114/B1113-1),"")</f>
        <v>-2.7956380116130775E-2</v>
      </c>
      <c r="C2356" s="112">
        <f t="shared" si="1127"/>
        <v>-8.5955710955710751E-3</v>
      </c>
      <c r="D2356" s="112">
        <f t="shared" si="1127"/>
        <v>1.5621338748730285E-3</v>
      </c>
      <c r="E2356" s="112">
        <f t="shared" si="1127"/>
        <v>-1.0929404145077704E-2</v>
      </c>
      <c r="F2356" s="112">
        <f t="shared" si="1127"/>
        <v>-1.4136684308474035E-2</v>
      </c>
    </row>
    <row r="2357" spans="1:6">
      <c r="A2357" s="111">
        <f t="shared" si="1105"/>
        <v>46073</v>
      </c>
      <c r="B2357" s="112">
        <f t="shared" ref="B2357:F2357" si="1128">IFERROR((B1115/B1114-1),"")</f>
        <v>-5.5364531732617905E-3</v>
      </c>
      <c r="C2357" s="112">
        <f t="shared" si="1128"/>
        <v>-1.4988978692138222E-2</v>
      </c>
      <c r="D2357" s="112">
        <f t="shared" si="1128"/>
        <v>-1.4817125477656345E-3</v>
      </c>
      <c r="E2357" s="112">
        <f t="shared" si="1128"/>
        <v>-1.6370631087828658E-3</v>
      </c>
      <c r="F2357" s="112">
        <f t="shared" si="1128"/>
        <v>4.5925352641100758E-3</v>
      </c>
    </row>
    <row r="2358" spans="1:6">
      <c r="A2358" s="111">
        <f t="shared" si="1105"/>
        <v>46076</v>
      </c>
      <c r="B2358" s="112">
        <f t="shared" ref="B2358:F2358" si="1129">IFERROR((B1116/B1115-1),"")</f>
        <v>1.0050398499765523E-2</v>
      </c>
      <c r="C2358" s="112">
        <f t="shared" si="1129"/>
        <v>-3.8490228256004677E-2</v>
      </c>
      <c r="D2358" s="112">
        <f t="shared" si="1129"/>
        <v>2.1087160262418081E-2</v>
      </c>
      <c r="E2358" s="112">
        <f t="shared" si="1129"/>
        <v>3.9353939493318446E-3</v>
      </c>
      <c r="F2358" s="112">
        <f t="shared" si="1129"/>
        <v>5.5433347998239402E-3</v>
      </c>
    </row>
    <row r="2359" spans="1:6">
      <c r="A2359" s="111">
        <f t="shared" si="1105"/>
        <v>46077</v>
      </c>
      <c r="B2359" s="112">
        <f t="shared" ref="B2359:F2359" si="1130">IFERROR((B1117/B1116-1),"")</f>
        <v>-4.0323750398886249E-3</v>
      </c>
      <c r="C2359" s="112">
        <f t="shared" si="1130"/>
        <v>-5.9581070597362285E-2</v>
      </c>
      <c r="D2359" s="112">
        <f t="shared" si="1130"/>
        <v>-5.5071133547499596E-3</v>
      </c>
      <c r="E2359" s="112">
        <f t="shared" si="1130"/>
        <v>6.5332788893426308E-3</v>
      </c>
      <c r="F2359" s="112">
        <f t="shared" si="1130"/>
        <v>-1.1214171819702079E-2</v>
      </c>
    </row>
    <row r="2360" spans="1:6">
      <c r="A2360" s="111">
        <f t="shared" si="1105"/>
        <v>46078</v>
      </c>
      <c r="B2360" s="112">
        <f t="shared" ref="B2360:F2360" si="1131">IFERROR((B1118/B1117-1),"")</f>
        <v>1.6922987300477699E-2</v>
      </c>
      <c r="C2360" s="112">
        <f t="shared" si="1131"/>
        <v>5.7746246493972642E-4</v>
      </c>
      <c r="D2360" s="112">
        <f t="shared" si="1131"/>
        <v>4.845408398707951E-3</v>
      </c>
      <c r="E2360" s="112">
        <f t="shared" si="1131"/>
        <v>-7.3022312373227649E-4</v>
      </c>
      <c r="F2360" s="112">
        <f t="shared" si="1131"/>
        <v>2.275350889786143E-3</v>
      </c>
    </row>
    <row r="2361" spans="1:6">
      <c r="A2361" s="111">
        <f t="shared" si="1105"/>
        <v>46079</v>
      </c>
      <c r="B2361" s="112">
        <f t="shared" ref="B2361:F2361" si="1132">IFERROR((B1119/B1118-1),"")</f>
        <v>-1.9190559390486195E-3</v>
      </c>
      <c r="C2361" s="112">
        <f t="shared" si="1132"/>
        <v>-1.0305878473081065E-2</v>
      </c>
      <c r="D2361" s="112">
        <f t="shared" si="1132"/>
        <v>9.7971680061232913E-3</v>
      </c>
      <c r="E2361" s="112">
        <f t="shared" si="1132"/>
        <v>-3.4101981162715234E-3</v>
      </c>
      <c r="F2361" s="112">
        <f t="shared" si="1132"/>
        <v>5.5135877563028401E-4</v>
      </c>
    </row>
    <row r="2362" spans="1:6">
      <c r="A2362" s="111">
        <f t="shared" si="1105"/>
        <v>46080</v>
      </c>
      <c r="B2362" s="112">
        <f t="shared" ref="B2362:F2362" si="1133">IFERROR((B1120/B1119-1),"")</f>
        <v>-2.5024393043677873E-2</v>
      </c>
      <c r="C2362" s="112">
        <f t="shared" si="1133"/>
        <v>-1.2162612462512601E-2</v>
      </c>
      <c r="D2362" s="112">
        <f t="shared" si="1133"/>
        <v>-2.5013264610020514E-2</v>
      </c>
      <c r="E2362" s="112">
        <f t="shared" si="1133"/>
        <v>-2.1916245722665817E-2</v>
      </c>
      <c r="F2362" s="112">
        <f t="shared" si="1133"/>
        <v>-1.2468353561560175E-2</v>
      </c>
    </row>
    <row r="2363" spans="1:6">
      <c r="A2363" s="111">
        <f t="shared" si="1105"/>
        <v>46083</v>
      </c>
      <c r="B2363" s="112">
        <f t="shared" ref="B2363:F2363" si="1134">IFERROR((B1121/B1120-1),"")</f>
        <v>-1.8573026431977335E-2</v>
      </c>
      <c r="C2363" s="112">
        <f t="shared" si="1134"/>
        <v>-1.9480519480519431E-2</v>
      </c>
      <c r="D2363" s="112">
        <f t="shared" si="1134"/>
        <v>6.2971313068491686E-3</v>
      </c>
      <c r="E2363" s="112">
        <f t="shared" si="1134"/>
        <v>-7.2469804248229686E-3</v>
      </c>
      <c r="F2363" s="112">
        <f t="shared" si="1134"/>
        <v>-1.2429181072059148E-2</v>
      </c>
    </row>
    <row r="2364" spans="1:6">
      <c r="A2364" s="111">
        <f t="shared" si="1105"/>
        <v>46085</v>
      </c>
      <c r="B2364" s="112">
        <f t="shared" ref="B2364:F2364" si="1135">IFERROR((B1122/B1121-1),"")</f>
        <v>-2.0993911765587958E-2</v>
      </c>
      <c r="C2364" s="112">
        <f t="shared" si="1135"/>
        <v>6.2784897221983549E-3</v>
      </c>
      <c r="D2364" s="112">
        <f t="shared" si="1135"/>
        <v>-2.4721878862793423E-3</v>
      </c>
      <c r="E2364" s="112">
        <f t="shared" si="1135"/>
        <v>-1.1663030709850641E-2</v>
      </c>
      <c r="F2364" s="112">
        <f t="shared" si="1135"/>
        <v>-1.5491218827541564E-2</v>
      </c>
    </row>
    <row r="2365" spans="1:6">
      <c r="A2365" s="111">
        <f t="shared" si="1105"/>
        <v>46086</v>
      </c>
      <c r="B2365" s="112">
        <f t="shared" ref="B2365:F2365" si="1136">IFERROR((B1123/B1122-1),"")</f>
        <v>2.564102564102555E-2</v>
      </c>
      <c r="C2365" s="112">
        <f t="shared" si="1136"/>
        <v>-1.47863247863248E-2</v>
      </c>
      <c r="D2365" s="112">
        <f t="shared" si="1136"/>
        <v>1.7270755885997469E-2</v>
      </c>
      <c r="E2365" s="112">
        <f t="shared" si="1136"/>
        <v>1.2479836998047444E-2</v>
      </c>
      <c r="F2365" s="112">
        <f t="shared" si="1136"/>
        <v>1.1658258613999051E-2</v>
      </c>
    </row>
    <row r="2366" spans="1:6">
      <c r="A2366" s="111">
        <f t="shared" si="1105"/>
        <v>46087</v>
      </c>
      <c r="B2366" s="112">
        <f t="shared" ref="B2366:F2366" si="1137">IFERROR((B1124/B1123-1),"")</f>
        <v>-4.6296296296296502E-3</v>
      </c>
      <c r="C2366" s="112">
        <f t="shared" si="1137"/>
        <v>8.8487897978659635E-3</v>
      </c>
      <c r="D2366" s="112">
        <f t="shared" si="1137"/>
        <v>-7.3848496383708273E-3</v>
      </c>
      <c r="E2366" s="112">
        <f t="shared" si="1137"/>
        <v>3.3540164346805845E-3</v>
      </c>
      <c r="F2366" s="112">
        <f t="shared" si="1137"/>
        <v>-1.2737271813259343E-2</v>
      </c>
    </row>
    <row r="2367" spans="1:6">
      <c r="A2367" s="111">
        <f t="shared" si="1105"/>
        <v>46090</v>
      </c>
      <c r="B2367" s="112">
        <f t="shared" ref="B2367:F2367" si="1138">IFERROR((B1125/B1124-1),"")</f>
        <v>-4.3480870217554424E-2</v>
      </c>
      <c r="C2367" s="112">
        <f t="shared" si="1138"/>
        <v>4.8155473385500525E-3</v>
      </c>
      <c r="D2367" s="112">
        <f t="shared" si="1138"/>
        <v>-1.2885411872986641E-2</v>
      </c>
      <c r="E2367" s="112">
        <f t="shared" si="1138"/>
        <v>-1.5544041450777257E-2</v>
      </c>
      <c r="F2367" s="112">
        <f t="shared" si="1138"/>
        <v>-1.7275755660938863E-2</v>
      </c>
    </row>
    <row r="2368" spans="1:6">
      <c r="A2368" s="111">
        <f t="shared" si="1105"/>
        <v>46091</v>
      </c>
      <c r="B2368" s="112">
        <f t="shared" ref="B2368:F2368" si="1139">IFERROR((B1126/B1125-1),"")</f>
        <v>3.3285230267285693E-2</v>
      </c>
      <c r="C2368" s="112">
        <f t="shared" si="1139"/>
        <v>-2.5074882327770553E-2</v>
      </c>
      <c r="D2368" s="112">
        <f t="shared" si="1139"/>
        <v>2.144522144522143E-2</v>
      </c>
      <c r="E2368" s="112">
        <f t="shared" si="1139"/>
        <v>1.3242784380305572E-2</v>
      </c>
      <c r="F2368" s="112">
        <f t="shared" si="1139"/>
        <v>9.7198898787043131E-3</v>
      </c>
    </row>
    <row r="2369" spans="1:6">
      <c r="A2369" s="111">
        <f t="shared" si="1105"/>
        <v>46092</v>
      </c>
      <c r="B2369" s="112">
        <f t="shared" ref="B2369:F2369" si="1140">IFERROR((B1127/B1126-1),"")</f>
        <v>-3.8103045207517394E-2</v>
      </c>
      <c r="C2369" s="112">
        <f t="shared" si="1140"/>
        <v>-2.6685393258427004E-2</v>
      </c>
      <c r="D2369" s="112">
        <f t="shared" si="1140"/>
        <v>8.2914955119428591E-3</v>
      </c>
      <c r="E2369" s="112">
        <f t="shared" si="1140"/>
        <v>-7.7915549597855627E-3</v>
      </c>
      <c r="F2369" s="112">
        <f t="shared" si="1140"/>
        <v>-1.6270567481122433E-2</v>
      </c>
    </row>
    <row r="2370" spans="1:6">
      <c r="A2370" s="111">
        <f t="shared" si="1105"/>
        <v>46093</v>
      </c>
      <c r="B2370" s="112">
        <f t="shared" ref="B2370:F2370" si="1141">IFERROR((B1128/B1127-1),"")</f>
        <v>-4.3242219556846151E-2</v>
      </c>
      <c r="C2370" s="112">
        <f t="shared" si="1141"/>
        <v>-8.1168831168820788E-4</v>
      </c>
      <c r="D2370" s="112">
        <f t="shared" si="1141"/>
        <v>-4.9038098830630483E-3</v>
      </c>
      <c r="E2370" s="112">
        <f t="shared" si="1141"/>
        <v>-2.2713839398801006E-2</v>
      </c>
      <c r="F2370" s="112">
        <f t="shared" si="1141"/>
        <v>-9.5404295078738155E-3</v>
      </c>
    </row>
    <row r="2371" spans="1:6">
      <c r="A2371" s="111">
        <f t="shared" si="1105"/>
        <v>46094</v>
      </c>
      <c r="B2371" s="112">
        <f t="shared" ref="B2371:F2371" si="1142">IFERROR((B1129/B1128-1),"")</f>
        <v>-3.3023225125362821E-2</v>
      </c>
      <c r="C2371" s="112">
        <f t="shared" si="1142"/>
        <v>-1.6427475403917313E-2</v>
      </c>
      <c r="D2371" s="112">
        <f t="shared" si="1142"/>
        <v>-2.0242608036391219E-2</v>
      </c>
      <c r="E2371" s="112">
        <f t="shared" si="1142"/>
        <v>3.7152237774322749E-3</v>
      </c>
      <c r="F2371" s="112">
        <f t="shared" si="1142"/>
        <v>-2.0645835404403456E-2</v>
      </c>
    </row>
    <row r="2372" spans="1:6">
      <c r="A2372" s="111">
        <f t="shared" si="1105"/>
        <v>46097</v>
      </c>
      <c r="B2372" s="112">
        <f t="shared" ref="B2372:F2372" si="1143">IFERROR((B1130/B1129-1),"")</f>
        <v>3.5822728668418069E-2</v>
      </c>
      <c r="C2372" s="112">
        <f t="shared" si="1143"/>
        <v>-8.3509222721851462E-3</v>
      </c>
      <c r="D2372" s="112">
        <f t="shared" si="1143"/>
        <v>-1.1916737599628413E-2</v>
      </c>
      <c r="E2372" s="112">
        <f t="shared" si="1143"/>
        <v>5.7674098304210109E-3</v>
      </c>
      <c r="F2372" s="112">
        <f t="shared" si="1143"/>
        <v>1.1131220546755971E-2</v>
      </c>
    </row>
    <row r="2373" spans="1:6">
      <c r="A2373" s="111">
        <f t="shared" si="1105"/>
        <v>46098</v>
      </c>
      <c r="B2373" s="112">
        <f t="shared" ref="B2373:F2373" si="1144">IFERROR((B1131/B1130-1),"")</f>
        <v>3.0565528144659293E-2</v>
      </c>
      <c r="C2373" s="112">
        <f t="shared" si="1144"/>
        <v>-6.2002591153061948E-3</v>
      </c>
      <c r="D2373" s="112">
        <f t="shared" si="1144"/>
        <v>5.4037121152790135E-3</v>
      </c>
      <c r="E2373" s="112">
        <f t="shared" si="1144"/>
        <v>2.6532009585757965E-3</v>
      </c>
      <c r="F2373" s="112">
        <f t="shared" si="1144"/>
        <v>7.3626157684290039E-3</v>
      </c>
    </row>
    <row r="2374" spans="1:6">
      <c r="A2374" s="111">
        <f t="shared" si="1105"/>
        <v>46099</v>
      </c>
      <c r="B2374" s="112">
        <f t="shared" ref="B2374:F2374" si="1145">IFERROR((B1132/B1131-1),"")</f>
        <v>2.7389817507750269E-2</v>
      </c>
      <c r="C2374" s="112">
        <f t="shared" si="1145"/>
        <v>5.4101871682652014E-2</v>
      </c>
      <c r="D2374" s="112">
        <f t="shared" si="1145"/>
        <v>8.5683128213116522E-3</v>
      </c>
      <c r="E2374" s="112">
        <f t="shared" si="1145"/>
        <v>4.6948356807512415E-3</v>
      </c>
      <c r="F2374" s="112">
        <f t="shared" si="1145"/>
        <v>8.3392879482127036E-3</v>
      </c>
    </row>
    <row r="2375" spans="1:6">
      <c r="A2375" s="111">
        <f t="shared" si="1105"/>
        <v>46100</v>
      </c>
      <c r="B2375" s="112">
        <f t="shared" ref="B2375:F2375" si="1146">IFERROR((B1133/B1132-1),"")</f>
        <v>-5.2634853480992949E-2</v>
      </c>
      <c r="C2375" s="112">
        <f t="shared" si="1146"/>
        <v>-3.5070671378091944E-2</v>
      </c>
      <c r="D2375" s="112">
        <f t="shared" si="1146"/>
        <v>-1.5678097003398173E-2</v>
      </c>
      <c r="E2375" s="112">
        <f t="shared" si="1146"/>
        <v>-3.5938827527612571E-2</v>
      </c>
      <c r="F2375" s="112">
        <f t="shared" si="1146"/>
        <v>-3.2620763905828021E-2</v>
      </c>
    </row>
    <row r="2376" spans="1:6">
      <c r="A2376" s="111">
        <f t="shared" si="1105"/>
        <v>46101</v>
      </c>
      <c r="B2376" s="112">
        <f t="shared" ref="B2376:F2376" si="1147">IFERROR((B1134/B1133-1),"")</f>
        <v>6.7971366651342624E-3</v>
      </c>
      <c r="C2376" s="112">
        <f t="shared" si="1147"/>
        <v>-2.7464982147761274E-3</v>
      </c>
      <c r="D2376" s="112">
        <f t="shared" si="1147"/>
        <v>1.9144762652020475E-2</v>
      </c>
      <c r="E2376" s="112">
        <f t="shared" si="1147"/>
        <v>-9.6941922975235517E-3</v>
      </c>
      <c r="F2376" s="112">
        <f t="shared" si="1147"/>
        <v>4.8843260303927938E-3</v>
      </c>
    </row>
    <row r="2377" spans="1:6">
      <c r="A2377" s="111">
        <f t="shared" si="1105"/>
        <v>46104</v>
      </c>
      <c r="B2377" s="112">
        <f t="shared" ref="B2377:F2377" si="1148">IFERROR((B1135/B1134-1),"")</f>
        <v>-3.5974038681060527E-2</v>
      </c>
      <c r="C2377" s="112">
        <f t="shared" si="1148"/>
        <v>1.0190030294684682E-2</v>
      </c>
      <c r="D2377" s="112">
        <f t="shared" si="1148"/>
        <v>-3.5106628685811159E-2</v>
      </c>
      <c r="E2377" s="112">
        <f t="shared" si="1148"/>
        <v>-2.2870873008810189E-2</v>
      </c>
      <c r="F2377" s="112">
        <f t="shared" si="1148"/>
        <v>-2.6037768500291936E-2</v>
      </c>
    </row>
    <row r="2378" spans="1:6">
      <c r="A2378" s="111">
        <f t="shared" si="1105"/>
        <v>46105</v>
      </c>
      <c r="B2378" s="112">
        <f t="shared" ref="B2378:F2378" si="1149">IFERROR((B1136/B1135-1),"")</f>
        <v>2.5543000202990829E-2</v>
      </c>
      <c r="C2378" s="112">
        <f t="shared" si="1149"/>
        <v>8.8149763722280561E-3</v>
      </c>
      <c r="D2378" s="112">
        <f t="shared" si="1149"/>
        <v>5.0267294342933866E-3</v>
      </c>
      <c r="E2378" s="112">
        <f t="shared" si="1149"/>
        <v>4.2805100182148337E-3</v>
      </c>
      <c r="F2378" s="112">
        <f t="shared" si="1149"/>
        <v>1.7756683464629885E-2</v>
      </c>
    </row>
    <row r="2379" spans="1:6">
      <c r="A2379" s="111">
        <f t="shared" si="1105"/>
        <v>46106</v>
      </c>
      <c r="B2379" s="112">
        <f t="shared" ref="B2379:F2379" si="1150">IFERROR((B1137/B1136-1),"")</f>
        <v>3.1933493880513142E-2</v>
      </c>
      <c r="C2379" s="112">
        <f t="shared" si="1150"/>
        <v>4.7743446536347989E-2</v>
      </c>
      <c r="D2379" s="112">
        <f t="shared" si="1150"/>
        <v>3.2629406160685992E-2</v>
      </c>
      <c r="E2379" s="112">
        <f t="shared" si="1150"/>
        <v>2.4213294640428096E-2</v>
      </c>
      <c r="F2379" s="112">
        <f t="shared" si="1150"/>
        <v>1.7198111066496713E-2</v>
      </c>
    </row>
    <row r="2380" spans="1:6">
      <c r="A2380" s="111">
        <f t="shared" si="1105"/>
        <v>46108</v>
      </c>
      <c r="B2380" s="112">
        <f t="shared" ref="B2380:F2380" si="1151">IFERROR((B1138/B1137-1),"")</f>
        <v>-2.7748473514273786E-2</v>
      </c>
      <c r="C2380" s="112">
        <f t="shared" si="1151"/>
        <v>-1.5819791935345107E-2</v>
      </c>
      <c r="D2380" s="112">
        <f t="shared" si="1151"/>
        <v>-1.4607519028215554E-2</v>
      </c>
      <c r="E2380" s="112">
        <f t="shared" si="1151"/>
        <v>-2.6031521161678728E-2</v>
      </c>
      <c r="F2380" s="112">
        <f t="shared" si="1151"/>
        <v>-2.0889067189554966E-2</v>
      </c>
    </row>
    <row r="2381" spans="1:6">
      <c r="A2381" s="111">
        <f t="shared" si="1105"/>
        <v>46111</v>
      </c>
      <c r="B2381" s="112">
        <f t="shared" ref="B2381:F2381" si="1152">IFERROR((B1139/B1138-1),"")</f>
        <v>-2.8474665439121583E-2</v>
      </c>
      <c r="C2381" s="112">
        <f t="shared" si="1152"/>
        <v>-2.6207740019218995E-2</v>
      </c>
      <c r="D2381" s="112">
        <f t="shared" si="1152"/>
        <v>-2.0909729265818799E-2</v>
      </c>
      <c r="E2381" s="112">
        <f t="shared" si="1152"/>
        <v>-1.4000000000000012E-2</v>
      </c>
      <c r="F2381" s="112">
        <f t="shared" si="1152"/>
        <v>-2.1393889463443561E-2</v>
      </c>
    </row>
    <row r="2382" spans="1:6">
      <c r="A2382" s="111">
        <f t="shared" si="1105"/>
        <v>46113</v>
      </c>
      <c r="B2382" s="112">
        <f t="shared" ref="B2382:F2382" si="1153">IFERROR((B1140/B1139-1),"")</f>
        <v>2.5992486546857707E-2</v>
      </c>
      <c r="C2382" s="112">
        <f t="shared" si="1153"/>
        <v>3.5166412487664944E-2</v>
      </c>
      <c r="D2382" s="112">
        <f t="shared" si="1153"/>
        <v>-3.6098493903896856E-2</v>
      </c>
      <c r="E2382" s="112">
        <f t="shared" si="1153"/>
        <v>9.4043887147334804E-3</v>
      </c>
      <c r="F2382" s="112">
        <f t="shared" si="1153"/>
        <v>1.5583438566323604E-2</v>
      </c>
    </row>
    <row r="2383" spans="1:6">
      <c r="A2383" s="111">
        <f t="shared" si="1105"/>
        <v>46114</v>
      </c>
      <c r="B2383" s="112">
        <f t="shared" ref="B2383:F2383" si="1154">IFERROR((B1141/B1140-1),"")</f>
        <v>-6.5314200890649321E-3</v>
      </c>
      <c r="C2383" s="112">
        <f t="shared" si="1154"/>
        <v>5.1564260334517664E-2</v>
      </c>
      <c r="D2383" s="112">
        <f t="shared" si="1154"/>
        <v>6.3657407407406996E-3</v>
      </c>
      <c r="E2383" s="112">
        <f t="shared" si="1154"/>
        <v>-5.8458165875046042E-3</v>
      </c>
      <c r="F2383" s="112">
        <f t="shared" si="1154"/>
        <v>1.4859299628737777E-3</v>
      </c>
    </row>
    <row r="2384" spans="1:6">
      <c r="A2384" s="111">
        <f t="shared" si="1105"/>
        <v>46118</v>
      </c>
      <c r="B2384" s="112">
        <f t="shared" ref="B2384:F2384" si="1155">IFERROR((B1142/B1141-1),"")</f>
        <v>3.287179998007872E-3</v>
      </c>
      <c r="C2384" s="112">
        <f t="shared" si="1155"/>
        <v>5.6040876874896561E-3</v>
      </c>
      <c r="D2384" s="112">
        <f t="shared" si="1155"/>
        <v>4.1074509159622075E-4</v>
      </c>
      <c r="E2384" s="112">
        <f t="shared" si="1155"/>
        <v>1.7089305402425481E-2</v>
      </c>
      <c r="F2384" s="112">
        <f t="shared" si="1155"/>
        <v>1.123360527625028E-2</v>
      </c>
    </row>
    <row r="2385" spans="1:6">
      <c r="A2385" s="111">
        <f t="shared" si="1105"/>
        <v>46119</v>
      </c>
      <c r="B2385" s="112">
        <f t="shared" ref="B2385:F2385" si="1156">IFERROR((B1143/B1142-1),"")</f>
        <v>-4.96425734710082E-3</v>
      </c>
      <c r="C2385" s="112">
        <f t="shared" si="1156"/>
        <v>8.5231929191935674E-3</v>
      </c>
      <c r="D2385" s="112">
        <f t="shared" si="1156"/>
        <v>-1.7819017901133272E-2</v>
      </c>
      <c r="E2385" s="112">
        <f t="shared" si="1156"/>
        <v>1.26467931345986E-3</v>
      </c>
      <c r="F2385" s="112">
        <f t="shared" si="1156"/>
        <v>6.7658615697756552E-3</v>
      </c>
    </row>
    <row r="2386" spans="1:6">
      <c r="A2386" s="111">
        <f t="shared" si="1105"/>
        <v>46120</v>
      </c>
      <c r="B2386" s="112">
        <f t="shared" ref="B2386:F2386" si="1157">IFERROR((B1144/B1143-1),"")</f>
        <v>6.7684427592629604E-2</v>
      </c>
      <c r="C2386" s="112">
        <f t="shared" si="1157"/>
        <v>3.2341947017715089E-2</v>
      </c>
      <c r="D2386" s="112">
        <f t="shared" si="1157"/>
        <v>-3.929437338015096E-3</v>
      </c>
      <c r="E2386" s="112">
        <f t="shared" si="1157"/>
        <v>9.4731143991337863E-3</v>
      </c>
      <c r="F2386" s="112">
        <f t="shared" si="1157"/>
        <v>3.7783827380192925E-2</v>
      </c>
    </row>
    <row r="2387" spans="1:6">
      <c r="A2387" s="111">
        <f t="shared" si="1105"/>
        <v>46121</v>
      </c>
      <c r="B2387" s="112">
        <f t="shared" ref="B2387:F2387" si="1158">IFERROR((B1145/B1144-1),"")</f>
        <v>-1.3488676365222219E-2</v>
      </c>
      <c r="C2387" s="112">
        <f t="shared" si="1158"/>
        <v>-4.329345088161185E-3</v>
      </c>
      <c r="D2387" s="112">
        <f t="shared" si="1158"/>
        <v>1.7206647641430317E-2</v>
      </c>
      <c r="E2387" s="112">
        <f t="shared" si="1158"/>
        <v>-2.1360264545535745E-2</v>
      </c>
      <c r="F2387" s="112">
        <f t="shared" si="1158"/>
        <v>-9.2614392839209803E-3</v>
      </c>
    </row>
    <row r="2388" spans="1:6">
      <c r="A2388" s="111">
        <f t="shared" si="1105"/>
        <v>46122</v>
      </c>
      <c r="B2388" s="112">
        <f t="shared" ref="B2388:F2388" si="1159">IFERROR((B1146/B1145-1),"")</f>
        <v>2.9367184539598412E-2</v>
      </c>
      <c r="C2388" s="112">
        <f t="shared" si="1159"/>
        <v>-3.2097399003873983E-2</v>
      </c>
      <c r="D2388" s="112">
        <f t="shared" si="1159"/>
        <v>1.6750556976648179E-2</v>
      </c>
      <c r="E2388" s="112">
        <f t="shared" si="1159"/>
        <v>1.5068493150685036E-2</v>
      </c>
      <c r="F2388" s="112">
        <f t="shared" si="1159"/>
        <v>1.1587753574117565E-2</v>
      </c>
    </row>
    <row r="2389" spans="1:6">
      <c r="A2389" s="111">
        <f t="shared" si="1105"/>
        <v>46125</v>
      </c>
      <c r="B2389" s="112">
        <f t="shared" ref="B2389:F2389" si="1160">IFERROR((B1147/B1146-1),"")</f>
        <v>-1.2147984538928847E-2</v>
      </c>
      <c r="C2389" s="112">
        <f t="shared" si="1160"/>
        <v>5.7175528873643078E-3</v>
      </c>
      <c r="D2389" s="112">
        <f t="shared" si="1160"/>
        <v>3.0027592923227431E-3</v>
      </c>
      <c r="E2389" s="112">
        <f t="shared" si="1160"/>
        <v>5.6680161943318819E-3</v>
      </c>
      <c r="F2389" s="112">
        <f t="shared" si="1160"/>
        <v>-8.6463539371157694E-3</v>
      </c>
    </row>
    <row r="2390" spans="1:6">
      <c r="A2390" s="111">
        <f t="shared" si="1105"/>
        <v>46127</v>
      </c>
      <c r="B2390" s="112">
        <f t="shared" ref="B2390:F2390" si="1161">IFERROR((B1148/B1147-1),"")</f>
        <v>1.1272591764486695E-2</v>
      </c>
      <c r="C2390" s="112">
        <f t="shared" si="1161"/>
        <v>4.1744497685373361E-2</v>
      </c>
      <c r="D2390" s="112">
        <f t="shared" si="1161"/>
        <v>-1.4645197831539836E-2</v>
      </c>
      <c r="E2390" s="112">
        <f t="shared" si="1161"/>
        <v>1.1719448917516528E-2</v>
      </c>
      <c r="F2390" s="112">
        <f t="shared" si="1161"/>
        <v>1.6300620946077649E-2</v>
      </c>
    </row>
    <row r="2391" spans="1:6">
      <c r="A2391" s="111">
        <f t="shared" si="1105"/>
        <v>46128</v>
      </c>
      <c r="B2391" s="112">
        <f t="shared" ref="B2391:F2391" si="1162">IFERROR((B1149/B1148-1),"")</f>
        <v>-1.0502072777521798E-2</v>
      </c>
      <c r="C2391" s="112">
        <f t="shared" si="1162"/>
        <v>2.3777968348015932E-2</v>
      </c>
      <c r="D2391" s="112">
        <f t="shared" si="1162"/>
        <v>2.9561504352111356E-3</v>
      </c>
      <c r="E2391" s="112">
        <f t="shared" si="1162"/>
        <v>-1.2114245291360848E-2</v>
      </c>
      <c r="F2391" s="112">
        <f t="shared" si="1162"/>
        <v>-1.4258417831481962E-3</v>
      </c>
    </row>
    <row r="2392" spans="1:6">
      <c r="A2392" s="111">
        <f t="shared" si="1105"/>
        <v>46129</v>
      </c>
      <c r="B2392" s="112">
        <f t="shared" ref="B2392:F2392" si="1163">IFERROR((B1150/B1149-1),"")</f>
        <v>-6.8584551407381289E-3</v>
      </c>
      <c r="C2392" s="112">
        <f t="shared" si="1163"/>
        <v>2.7413950654888719E-3</v>
      </c>
      <c r="D2392" s="112">
        <f t="shared" si="1163"/>
        <v>1.1707876207630585E-2</v>
      </c>
      <c r="E2392" s="112">
        <f t="shared" si="1163"/>
        <v>2.6763336913712799E-2</v>
      </c>
      <c r="F2392" s="112">
        <f t="shared" si="1163"/>
        <v>6.4802091189932742E-3</v>
      </c>
    </row>
    <row r="2393" spans="1:6">
      <c r="A2393" s="111">
        <f t="shared" si="1105"/>
        <v>46132</v>
      </c>
      <c r="B2393" s="112">
        <f t="shared" ref="B2393:F2393" si="1164">IFERROR((B1151/B1150-1),"")</f>
        <v>6.6870820573714518E-3</v>
      </c>
      <c r="C2393" s="112">
        <f t="shared" si="1164"/>
        <v>-2.1795261239368147E-2</v>
      </c>
      <c r="D2393" s="112">
        <f t="shared" si="1164"/>
        <v>-2.5086995225379605E-3</v>
      </c>
      <c r="E2393" s="112">
        <f t="shared" si="1164"/>
        <v>-6.18952140179585E-3</v>
      </c>
      <c r="F2393" s="112">
        <f t="shared" si="1164"/>
        <v>4.6399806188412995E-4</v>
      </c>
    </row>
    <row r="2394" spans="1:6">
      <c r="A2394" s="111">
        <f t="shared" si="1105"/>
        <v>46133</v>
      </c>
      <c r="B2394" s="112">
        <f t="shared" ref="B2394:F2394" si="1165">IFERROR((B1152/B1151-1),"")</f>
        <v>7.9774025329029108E-3</v>
      </c>
      <c r="C2394" s="112">
        <f t="shared" si="1165"/>
        <v>3.6487850322179938E-3</v>
      </c>
      <c r="D2394" s="112">
        <f t="shared" si="1165"/>
        <v>-9.7355184163556707E-3</v>
      </c>
      <c r="E2394" s="112">
        <f t="shared" si="1165"/>
        <v>2.4122807017543879E-2</v>
      </c>
      <c r="F2394" s="112">
        <f t="shared" si="1165"/>
        <v>8.690798424779933E-3</v>
      </c>
    </row>
    <row r="2395" spans="1:6">
      <c r="A2395" s="111">
        <f t="shared" si="1105"/>
        <v>46134</v>
      </c>
      <c r="B2395" s="112">
        <f t="shared" ref="B2395:F2395" si="1166">IFERROR((B1153/B1152-1),"")</f>
        <v>-3.0055738613617544E-2</v>
      </c>
      <c r="C2395" s="112">
        <f t="shared" si="1166"/>
        <v>-4.4090346534653491E-2</v>
      </c>
      <c r="D2395" s="112">
        <f t="shared" si="1166"/>
        <v>-2.9493691627068275E-3</v>
      </c>
      <c r="E2395" s="112">
        <f t="shared" si="1166"/>
        <v>-1.850107066381157E-2</v>
      </c>
      <c r="F2395" s="112">
        <f t="shared" si="1166"/>
        <v>-8.0767884898643727E-3</v>
      </c>
    </row>
    <row r="2396" spans="1:6">
      <c r="A2396" s="111">
        <f t="shared" si="1105"/>
        <v>46135</v>
      </c>
      <c r="B2396" s="112">
        <f t="shared" ref="B2396:F2396" si="1167">IFERROR((B1154/B1153-1),"")</f>
        <v>-3.2384036574911845E-2</v>
      </c>
      <c r="C2396" s="112">
        <f t="shared" si="1167"/>
        <v>-1.2299724874575202E-2</v>
      </c>
      <c r="D2396" s="112">
        <f t="shared" si="1167"/>
        <v>9.3672966310599737E-2</v>
      </c>
      <c r="E2396" s="112">
        <f t="shared" si="1167"/>
        <v>-1.012304738633385E-2</v>
      </c>
      <c r="F2396" s="112">
        <f t="shared" si="1167"/>
        <v>-8.4112379553779038E-3</v>
      </c>
    </row>
    <row r="2397" spans="1:6">
      <c r="A2397" s="111">
        <f t="shared" si="1105"/>
        <v>46136</v>
      </c>
      <c r="B2397" s="112">
        <f t="shared" ref="B2397:F2397" si="1168">IFERROR((B1155/B1154-1),"")</f>
        <v>-3.0514814450239847E-3</v>
      </c>
      <c r="C2397" s="112">
        <f t="shared" si="1168"/>
        <v>-5.7103064066852172E-2</v>
      </c>
      <c r="D2397" s="112">
        <f t="shared" si="1168"/>
        <v>-1.0443275732532009E-2</v>
      </c>
      <c r="E2397" s="112">
        <f t="shared" si="1168"/>
        <v>1.0402891651238644E-2</v>
      </c>
      <c r="F2397" s="112">
        <f t="shared" si="1168"/>
        <v>-1.1380442269386726E-2</v>
      </c>
    </row>
    <row r="2398" spans="1:6">
      <c r="A2398" s="111">
        <f t="shared" si="1105"/>
        <v>46139</v>
      </c>
      <c r="B2398" s="112">
        <f t="shared" ref="B2398:F2398" si="1169">IFERROR((B1156/B1155-1),"")</f>
        <v>2.1063717746182098E-2</v>
      </c>
      <c r="C2398" s="112">
        <f t="shared" si="1169"/>
        <v>4.4747588843513819E-2</v>
      </c>
      <c r="D2398" s="112">
        <f t="shared" si="1169"/>
        <v>1.3210842001366796E-2</v>
      </c>
      <c r="E2398" s="112">
        <f t="shared" si="1169"/>
        <v>-2.2685629526218998E-3</v>
      </c>
      <c r="F2398" s="112">
        <f t="shared" si="1169"/>
        <v>8.1492345577758307E-3</v>
      </c>
    </row>
    <row r="2399" spans="1:6">
      <c r="A2399" s="111">
        <f t="shared" ref="A2399:A2462" si="1170">A1157</f>
        <v>46140</v>
      </c>
      <c r="B2399" s="112">
        <f t="shared" ref="B2399:F2399" si="1171">IFERROR((B1157/B1156-1),"")</f>
        <v>-4.6093347086128E-3</v>
      </c>
      <c r="C2399" s="112">
        <f t="shared" si="1171"/>
        <v>-1.2475049900199098E-3</v>
      </c>
      <c r="D2399" s="112">
        <f t="shared" si="1171"/>
        <v>1.5061820906706602E-2</v>
      </c>
      <c r="E2399" s="112">
        <f t="shared" si="1171"/>
        <v>-9.7070397901181105E-3</v>
      </c>
      <c r="F2399" s="112">
        <f t="shared" si="1171"/>
        <v>-4.0261157944107007E-3</v>
      </c>
    </row>
    <row r="2400" spans="1:6">
      <c r="A2400" s="111">
        <f t="shared" si="1170"/>
        <v>46141</v>
      </c>
      <c r="B2400" s="112">
        <f t="shared" ref="B2400:F2400" si="1172">IFERROR((B1158/B1157-1),"")</f>
        <v>2.0789482205887166E-2</v>
      </c>
      <c r="C2400" s="112">
        <f t="shared" si="1172"/>
        <v>2.5813972853692135E-3</v>
      </c>
      <c r="D2400" s="112">
        <f t="shared" si="1172"/>
        <v>-1.8307987597814823E-2</v>
      </c>
      <c r="E2400" s="112">
        <f t="shared" si="1172"/>
        <v>8.3009537265983369E-3</v>
      </c>
      <c r="F2400" s="112">
        <f t="shared" si="1172"/>
        <v>7.5826085506986995E-3</v>
      </c>
    </row>
    <row r="2401" spans="1:6">
      <c r="A2401" s="111">
        <f t="shared" si="1170"/>
        <v>46142</v>
      </c>
      <c r="B2401" s="112">
        <f t="shared" ref="B2401:F2401" si="1173">IFERROR((B1159/B1158-1),"")</f>
        <v>-1.7384132220918169E-2</v>
      </c>
      <c r="C2401" s="112">
        <f t="shared" si="1173"/>
        <v>-6.7275747508305228E-3</v>
      </c>
      <c r="D2401" s="112">
        <f t="shared" si="1173"/>
        <v>-5.1887501879981368E-3</v>
      </c>
      <c r="E2401" s="112">
        <f t="shared" si="1173"/>
        <v>2.9777544228410946E-3</v>
      </c>
      <c r="F2401" s="112">
        <f t="shared" si="1173"/>
        <v>-7.4490283381554168E-3</v>
      </c>
    </row>
    <row r="2402" spans="1:6">
      <c r="A2402" s="111">
        <f t="shared" si="1170"/>
        <v>46146</v>
      </c>
      <c r="B2402" s="112">
        <f t="shared" ref="B2402:F2402" si="1174">IFERROR((B1160/B1159-1),"")</f>
        <v>2.9055690072639084E-3</v>
      </c>
      <c r="C2402" s="112">
        <f t="shared" si="1174"/>
        <v>-3.7043231039384672E-2</v>
      </c>
      <c r="D2402" s="112">
        <f t="shared" si="1174"/>
        <v>-2.6986166754856766E-2</v>
      </c>
      <c r="E2402" s="112">
        <f t="shared" si="1174"/>
        <v>1.1613691931540382E-2</v>
      </c>
      <c r="F2402" s="112">
        <f t="shared" si="1174"/>
        <v>5.0734345797800451E-3</v>
      </c>
    </row>
    <row r="2403" spans="1:6">
      <c r="A2403" s="111">
        <f t="shared" si="1170"/>
        <v>46147</v>
      </c>
      <c r="B2403" s="112">
        <f t="shared" ref="B2403:F2403" si="1175">IFERROR((B1161/B1160-1),"")</f>
        <v>3.3574762594559937E-2</v>
      </c>
      <c r="C2403" s="112">
        <f t="shared" si="1175"/>
        <v>1.4935741576936445E-2</v>
      </c>
      <c r="D2403" s="112">
        <f t="shared" si="1175"/>
        <v>-1.2430080795525211E-2</v>
      </c>
      <c r="E2403" s="112">
        <f t="shared" si="1175"/>
        <v>7.2507552870091363E-3</v>
      </c>
      <c r="F2403" s="112">
        <f t="shared" si="1175"/>
        <v>-3.5863395703855661E-3</v>
      </c>
    </row>
    <row r="2404" spans="1:6">
      <c r="A2404" s="111">
        <f t="shared" si="1170"/>
        <v>46148</v>
      </c>
      <c r="B2404" s="112">
        <f t="shared" ref="B2404:F2404" si="1176">IFERROR((B1162/B1161-1),"")</f>
        <v>2.8030397408745467E-2</v>
      </c>
      <c r="C2404" s="112">
        <f t="shared" si="1176"/>
        <v>9.5482546201232088E-2</v>
      </c>
      <c r="D2404" s="112">
        <f t="shared" si="1176"/>
        <v>3.130899937067344E-2</v>
      </c>
      <c r="E2404" s="112">
        <f t="shared" si="1176"/>
        <v>-8.8268060673579729E-3</v>
      </c>
      <c r="F2404" s="112">
        <f t="shared" si="1176"/>
        <v>1.2405961852135494E-2</v>
      </c>
    </row>
    <row r="2405" spans="1:6">
      <c r="A2405" s="111">
        <f t="shared" si="1170"/>
        <v>46149</v>
      </c>
      <c r="B2405" s="112">
        <f t="shared" ref="B2405:F2405" si="1177">IFERROR((B1163/B1162-1),"")</f>
        <v>2.117668444013554E-2</v>
      </c>
      <c r="C2405" s="112">
        <f t="shared" si="1177"/>
        <v>3.8269290846608683E-3</v>
      </c>
      <c r="D2405" s="112">
        <f t="shared" si="1177"/>
        <v>-2.5934401220443215E-3</v>
      </c>
      <c r="E2405" s="112">
        <f t="shared" si="1177"/>
        <v>5.3605395123639266E-3</v>
      </c>
      <c r="F2405" s="112">
        <f t="shared" si="1177"/>
        <v>-1.7672963858783586E-4</v>
      </c>
    </row>
    <row r="2406" spans="1:6">
      <c r="A2406" s="111">
        <f t="shared" si="1170"/>
        <v>46150</v>
      </c>
      <c r="B2406" s="112">
        <f t="shared" ref="B2406:F2406" si="1178">IFERROR((B1164/B1163-1),"")</f>
        <v>-1.1955973536654008E-2</v>
      </c>
      <c r="C2406" s="112">
        <f t="shared" si="1178"/>
        <v>6.4420757799735329E-2</v>
      </c>
      <c r="D2406" s="112">
        <f t="shared" si="1178"/>
        <v>-1.0477210156010885E-2</v>
      </c>
      <c r="E2406" s="112">
        <f t="shared" si="1178"/>
        <v>-5.0567595459236281E-2</v>
      </c>
      <c r="F2406" s="112">
        <f t="shared" si="1178"/>
        <v>-6.1866307115858721E-3</v>
      </c>
    </row>
    <row r="2407" spans="1:6">
      <c r="A2407" s="111">
        <f t="shared" si="1170"/>
        <v>46153</v>
      </c>
      <c r="B2407" s="112">
        <f t="shared" ref="B2407:F2407" si="1179">IFERROR((B1165/B1164-1),"")</f>
        <v>-2.5372327648330528E-2</v>
      </c>
      <c r="C2407" s="112">
        <f t="shared" si="1179"/>
        <v>5.1896791170236156E-3</v>
      </c>
      <c r="D2407" s="112">
        <f t="shared" si="1179"/>
        <v>-1.0820001545714497E-2</v>
      </c>
      <c r="E2407" s="112">
        <f t="shared" si="1179"/>
        <v>-1.9836956521739113E-2</v>
      </c>
      <c r="F2407" s="112">
        <f t="shared" si="1179"/>
        <v>-1.4903117328441629E-2</v>
      </c>
    </row>
    <row r="2408" spans="1:6">
      <c r="A2408" s="111">
        <f t="shared" si="1170"/>
        <v>46154</v>
      </c>
      <c r="B2408" s="112">
        <f t="shared" ref="B2408:F2408" si="1180">IFERROR((B1166/B1165-1),"")</f>
        <v>-2.153485936104016E-2</v>
      </c>
      <c r="C2408" s="112">
        <f t="shared" si="1180"/>
        <v>-3.9848749272832995E-2</v>
      </c>
      <c r="D2408" s="112">
        <f t="shared" si="1180"/>
        <v>-7.7349792952574603E-3</v>
      </c>
      <c r="E2408" s="112">
        <f t="shared" si="1180"/>
        <v>-1.4139173828666474E-2</v>
      </c>
      <c r="F2408" s="112">
        <f t="shared" si="1180"/>
        <v>-1.8319732447088732E-2</v>
      </c>
    </row>
    <row r="2409" spans="1:6">
      <c r="A2409" s="111">
        <f t="shared" si="1170"/>
        <v>46155</v>
      </c>
      <c r="B2409" s="112">
        <f t="shared" ref="B2409:F2409" si="1181">IFERROR((B1167/B1166-1),"")</f>
        <v>-2.0214105793450843E-2</v>
      </c>
      <c r="C2409" s="112">
        <f t="shared" si="1181"/>
        <v>-1.7646167827931047E-2</v>
      </c>
      <c r="D2409" s="112">
        <f t="shared" si="1181"/>
        <v>-3.7007874015748676E-3</v>
      </c>
      <c r="E2409" s="112">
        <f t="shared" si="1181"/>
        <v>3.7495313085855742E-4</v>
      </c>
      <c r="F2409" s="112">
        <f t="shared" si="1181"/>
        <v>1.4136285771111368E-3</v>
      </c>
    </row>
    <row r="2410" spans="1:6">
      <c r="A2410" s="111">
        <f t="shared" si="1170"/>
        <v>46156</v>
      </c>
      <c r="B2410" s="112">
        <f t="shared" ref="B2410:F2410" si="1182">IFERROR((B1168/B1167-1),"")</f>
        <v>1.9956295391734713E-2</v>
      </c>
      <c r="C2410" s="112">
        <f t="shared" si="1182"/>
        <v>-1.7346388096523002E-2</v>
      </c>
      <c r="D2410" s="112">
        <f t="shared" si="1182"/>
        <v>3.0269501304038604E-2</v>
      </c>
      <c r="E2410" s="112">
        <f t="shared" si="1182"/>
        <v>6.840329835082537E-3</v>
      </c>
      <c r="F2410" s="112">
        <f t="shared" si="1182"/>
        <v>1.1831236171975679E-2</v>
      </c>
    </row>
    <row r="2411" spans="1:6">
      <c r="A2411" s="111">
        <f t="shared" si="1170"/>
        <v>46157</v>
      </c>
      <c r="B2411" s="112">
        <f t="shared" ref="B2411:F2411" si="1183">IFERROR((B1169/B1168-1),"")</f>
        <v>-1.6005545228268137E-2</v>
      </c>
      <c r="C2411" s="112">
        <f t="shared" si="1183"/>
        <v>5.8841989643809711E-3</v>
      </c>
      <c r="D2411" s="112">
        <f t="shared" si="1183"/>
        <v>2.5391224301933191E-2</v>
      </c>
      <c r="E2411" s="112">
        <f t="shared" si="1183"/>
        <v>6.2354583527222118E-3</v>
      </c>
      <c r="F2411" s="112">
        <f t="shared" si="1183"/>
        <v>-1.946001620964366E-3</v>
      </c>
    </row>
    <row r="2412" spans="1:6">
      <c r="A2412" s="111">
        <f t="shared" si="1170"/>
        <v>46160</v>
      </c>
      <c r="B2412" s="112">
        <f t="shared" ref="B2412:F2412" si="1184">IFERROR((B1170/B1169-1),"")</f>
        <v>-1.261567032755917E-2</v>
      </c>
      <c r="C2412" s="112">
        <f t="shared" si="1184"/>
        <v>5.1478043834334297E-2</v>
      </c>
      <c r="D2412" s="112">
        <f t="shared" si="1184"/>
        <v>-4.1146106082142753E-3</v>
      </c>
      <c r="E2412" s="112">
        <f t="shared" si="1184"/>
        <v>-4.7169811320755262E-3</v>
      </c>
      <c r="F2412" s="112">
        <f t="shared" si="1184"/>
        <v>2.7280225008996517E-4</v>
      </c>
    </row>
    <row r="2413" spans="1:6">
      <c r="A2413" s="111">
        <f t="shared" si="1170"/>
        <v>46161</v>
      </c>
      <c r="B2413" s="112">
        <f t="shared" ref="B2413:F2413" si="1185">IFERROR((B1171/B1170-1),"")</f>
        <v>2.7888575412655658E-3</v>
      </c>
      <c r="C2413" s="112">
        <f t="shared" si="1185"/>
        <v>4.7400044507084127E-2</v>
      </c>
      <c r="D2413" s="112">
        <f t="shared" si="1185"/>
        <v>3.0048076923077094E-3</v>
      </c>
      <c r="E2413" s="112">
        <f t="shared" si="1185"/>
        <v>6.6908279899637879E-3</v>
      </c>
      <c r="F2413" s="112">
        <f t="shared" si="1185"/>
        <v>-1.3509542303472566E-3</v>
      </c>
    </row>
    <row r="2414" spans="1:6">
      <c r="A2414" s="111">
        <f t="shared" si="1170"/>
        <v>46162</v>
      </c>
      <c r="B2414" s="112">
        <f t="shared" ref="B2414:F2414" si="1186">IFERROR((B1172/B1171-1),"")</f>
        <v>9.6691782815379046E-3</v>
      </c>
      <c r="C2414" s="112">
        <f t="shared" si="1186"/>
        <v>-6.8696883852691348E-3</v>
      </c>
      <c r="D2414" s="112">
        <f t="shared" si="1186"/>
        <v>-9.9610545236668013E-3</v>
      </c>
      <c r="E2414" s="112">
        <f t="shared" si="1186"/>
        <v>-1.329271669897536E-2</v>
      </c>
      <c r="F2414" s="112">
        <f t="shared" si="1186"/>
        <v>1.7359640951817301E-3</v>
      </c>
    </row>
    <row r="2415" spans="1:6">
      <c r="A2415" s="111">
        <f t="shared" si="1170"/>
        <v>46163</v>
      </c>
      <c r="B2415" s="112">
        <f t="shared" ref="B2415:F2415" si="1187">IFERROR((B1173/B1172-1),"")</f>
        <v>-7.4306578694509628E-3</v>
      </c>
      <c r="C2415" s="112">
        <f t="shared" si="1187"/>
        <v>-1.8041788490337218E-2</v>
      </c>
      <c r="D2415" s="112">
        <f t="shared" si="1187"/>
        <v>-2.5720553748392883E-3</v>
      </c>
      <c r="E2415" s="112">
        <f t="shared" si="1187"/>
        <v>-2.1517447843577564E-3</v>
      </c>
      <c r="F2415" s="112">
        <f t="shared" si="1187"/>
        <v>-1.8174901728729154E-4</v>
      </c>
    </row>
    <row r="2416" spans="1:6">
      <c r="A2416" s="111">
        <f t="shared" si="1170"/>
        <v>46164</v>
      </c>
      <c r="B2416" s="112">
        <f t="shared" ref="B2416:F2416" si="1188">IFERROR((B1174/B1173-1),"")</f>
        <v>-5.7115198451113125E-3</v>
      </c>
      <c r="C2416" s="112">
        <f t="shared" si="1188"/>
        <v>7.3347857661583138E-3</v>
      </c>
      <c r="D2416" s="112">
        <f t="shared" si="1188"/>
        <v>-8.5703450891163602E-3</v>
      </c>
      <c r="E2416" s="112">
        <f t="shared" si="1188"/>
        <v>-2.8126757922375401E-4</v>
      </c>
      <c r="F2416" s="112">
        <f t="shared" si="1188"/>
        <v>2.7309583296342144E-3</v>
      </c>
    </row>
    <row r="2417" spans="1:6">
      <c r="A2417" s="111">
        <f t="shared" si="1170"/>
        <v>46167</v>
      </c>
      <c r="B2417" s="112">
        <f t="shared" ref="B2417:F2417" si="1189">IFERROR((B1175/B1174-1),"")</f>
        <v>1.8725862460649667E-2</v>
      </c>
      <c r="C2417" s="112">
        <f t="shared" si="1189"/>
        <v>7.8581212601831485E-3</v>
      </c>
      <c r="D2417" s="112">
        <f t="shared" si="1189"/>
        <v>1.8512851897184879E-2</v>
      </c>
      <c r="E2417" s="112">
        <f t="shared" si="1189"/>
        <v>-8.4404013879768591E-4</v>
      </c>
      <c r="F2417" s="112">
        <f t="shared" si="1189"/>
        <v>1.3170709085006838E-2</v>
      </c>
    </row>
    <row r="2418" spans="1:6">
      <c r="A2418" s="111">
        <f t="shared" si="1170"/>
        <v>46168</v>
      </c>
      <c r="B2418" s="112">
        <f t="shared" ref="B2418:F2418" si="1190">IFERROR((B1176/B1175-1),"")</f>
        <v>-1.0098757566103789E-2</v>
      </c>
      <c r="C2418" s="112">
        <f t="shared" si="1190"/>
        <v>1.7739628040057243E-2</v>
      </c>
      <c r="D2418" s="112">
        <f t="shared" si="1190"/>
        <v>-2.628811777076745E-3</v>
      </c>
      <c r="E2418" s="112">
        <f t="shared" si="1190"/>
        <v>2.0649521306550511E-3</v>
      </c>
      <c r="F2418" s="112">
        <f t="shared" si="1190"/>
        <v>-4.9101811357498137E-3</v>
      </c>
    </row>
    <row r="2419" spans="1:6">
      <c r="A2419" s="111">
        <f t="shared" si="1170"/>
        <v>46169</v>
      </c>
      <c r="B2419" s="112">
        <f t="shared" ref="B2419:F2419" si="1191">IFERROR((B1177/B1176-1),"")</f>
        <v>4.6020661024039899E-3</v>
      </c>
      <c r="C2419" s="112">
        <f t="shared" si="1191"/>
        <v>-2.4177677818386201E-2</v>
      </c>
      <c r="D2419" s="112">
        <f t="shared" si="1191"/>
        <v>-6.7023119210785076E-3</v>
      </c>
      <c r="E2419" s="112">
        <f t="shared" si="1191"/>
        <v>-4.6834020232300322E-4</v>
      </c>
      <c r="F2419" s="112">
        <f t="shared" si="1191"/>
        <v>-2.7390157106588209E-4</v>
      </c>
    </row>
    <row r="2420" spans="1:6">
      <c r="A2420" s="111">
        <f t="shared" si="1170"/>
        <v>46171</v>
      </c>
      <c r="B2420" s="112">
        <f t="shared" ref="B2420:F2420" si="1192">IFERROR((B1178/B1177-1),"")</f>
        <v>-2.4346488980010239E-2</v>
      </c>
      <c r="C2420" s="112">
        <f t="shared" si="1192"/>
        <v>2.4056467876692578E-2</v>
      </c>
      <c r="D2420" s="112">
        <f t="shared" si="1192"/>
        <v>-1.1751326762698966E-2</v>
      </c>
      <c r="E2420" s="112">
        <f t="shared" si="1192"/>
        <v>-2.455252553650078E-2</v>
      </c>
      <c r="F2420" s="112">
        <f t="shared" si="1192"/>
        <v>-1.5033159535954743E-2</v>
      </c>
    </row>
    <row r="2421" spans="1:6">
      <c r="A2421" s="111">
        <f t="shared" si="1170"/>
        <v>46174</v>
      </c>
      <c r="B2421" s="112">
        <f t="shared" ref="B2421:F2421" si="1193">IFERROR((B1179/B1178-1),"")</f>
        <v>-2.4757026530076165E-2</v>
      </c>
      <c r="C2421" s="112">
        <f t="shared" si="1193"/>
        <v>2.7711351807568008E-2</v>
      </c>
      <c r="D2421" s="112">
        <f t="shared" si="1193"/>
        <v>-1.0049865746068254E-2</v>
      </c>
      <c r="E2421" s="112">
        <f t="shared" si="1193"/>
        <v>-9.0306465558651627E-3</v>
      </c>
      <c r="F2421" s="112">
        <f t="shared" si="1193"/>
        <v>-7.0134089244195952E-3</v>
      </c>
    </row>
    <row r="2422" spans="1:6">
      <c r="A2422" s="111">
        <f t="shared" si="1170"/>
        <v>46175</v>
      </c>
      <c r="B2422" s="112">
        <f t="shared" ref="B2422:F2422" si="1194">IFERROR((B1180/B1179-1),"")</f>
        <v>9.4606423809846518E-3</v>
      </c>
      <c r="C2422" s="112">
        <f t="shared" si="1194"/>
        <v>3.9898713386257834E-2</v>
      </c>
      <c r="D2422" s="112">
        <f t="shared" si="1194"/>
        <v>-1.2709237445753363E-2</v>
      </c>
      <c r="E2422" s="112">
        <f t="shared" si="1194"/>
        <v>-7.8526417838099549E-3</v>
      </c>
      <c r="F2422" s="112">
        <f t="shared" si="1194"/>
        <v>4.3173128736753164E-3</v>
      </c>
    </row>
    <row r="2423" spans="1:6">
      <c r="A2423" s="111">
        <f t="shared" si="1170"/>
        <v>46176</v>
      </c>
      <c r="B2423" s="112">
        <f t="shared" ref="B2423:F2423" si="1195">IFERROR((B1181/B1180-1),"")</f>
        <v>4.2690858152951705E-3</v>
      </c>
      <c r="C2423" s="112">
        <f t="shared" si="1195"/>
        <v>-6.4889766370516577E-2</v>
      </c>
      <c r="D2423" s="112">
        <f t="shared" si="1195"/>
        <v>-8.3987441130298768E-3</v>
      </c>
      <c r="E2423" s="112">
        <f t="shared" si="1195"/>
        <v>-1.0357631424662839E-2</v>
      </c>
      <c r="F2423" s="112">
        <f t="shared" si="1195"/>
        <v>-3.3193448179683616E-3</v>
      </c>
    </row>
    <row r="2424" spans="1:6">
      <c r="A2424" s="111">
        <f t="shared" si="1170"/>
        <v>46177</v>
      </c>
      <c r="B2424" s="112">
        <f t="shared" ref="B2424:F2424" si="1196">IFERROR((B1182/B1181-1),"")</f>
        <v>1.6605227325561245E-3</v>
      </c>
      <c r="C2424" s="112">
        <f t="shared" si="1196"/>
        <v>1.0978956999085021E-2</v>
      </c>
      <c r="D2424" s="112">
        <f t="shared" si="1196"/>
        <v>3.3246259795773891E-3</v>
      </c>
      <c r="E2424" s="112">
        <f t="shared" si="1196"/>
        <v>5.1342812006318628E-3</v>
      </c>
      <c r="F2424" s="112">
        <f t="shared" si="1196"/>
        <v>4.6783675701544958E-4</v>
      </c>
    </row>
    <row r="2425" spans="1:6">
      <c r="A2425" s="111">
        <f t="shared" si="1170"/>
        <v>46178</v>
      </c>
      <c r="B2425" s="112">
        <f t="shared" ref="B2425:F2425" si="1197">IFERROR((B1183/B1182-1),"")</f>
        <v>8.0899174430555387E-3</v>
      </c>
      <c r="C2425" s="112">
        <f t="shared" si="1197"/>
        <v>-6.9613644274280073E-4</v>
      </c>
      <c r="D2425" s="112">
        <f t="shared" si="1197"/>
        <v>8.4418145956608459E-3</v>
      </c>
      <c r="E2425" s="112">
        <f t="shared" si="1197"/>
        <v>5.9921414538310902E-3</v>
      </c>
      <c r="F2425" s="112">
        <f t="shared" si="1197"/>
        <v>-2.1288362290772245E-3</v>
      </c>
    </row>
    <row r="2426" spans="1:6">
      <c r="A2426" s="111">
        <f t="shared" si="1170"/>
        <v>46181</v>
      </c>
      <c r="B2426" s="112">
        <f t="shared" ref="B2426:F2426" si="1198">IFERROR((B1184/B1183-1),"")</f>
        <v>-2.4502548922874512E-2</v>
      </c>
      <c r="C2426" s="112">
        <f t="shared" si="1198"/>
        <v>-1.0031347962382475E-2</v>
      </c>
      <c r="D2426" s="112">
        <f t="shared" si="1198"/>
        <v>-2.034110467845518E-3</v>
      </c>
      <c r="E2426" s="112">
        <f t="shared" si="1198"/>
        <v>-8.2023239917976554E-3</v>
      </c>
      <c r="F2426" s="112">
        <f t="shared" si="1198"/>
        <v>-1.0429371712736502E-2</v>
      </c>
    </row>
    <row r="2427" spans="1:6">
      <c r="A2427" s="111">
        <f t="shared" si="1170"/>
        <v>46182</v>
      </c>
      <c r="B2427" s="112">
        <f t="shared" ref="B2427:F2427" si="1199">IFERROR((B1185/B1184-1),"")</f>
        <v>8.1254214430208638E-3</v>
      </c>
      <c r="C2427" s="112">
        <f t="shared" si="1199"/>
        <v>-6.4034902540285321E-3</v>
      </c>
      <c r="D2427" s="112">
        <f t="shared" si="1199"/>
        <v>-5.5660081530259919E-3</v>
      </c>
      <c r="E2427" s="112">
        <f t="shared" si="1199"/>
        <v>5.71034754356603E-3</v>
      </c>
      <c r="F2427" s="112">
        <f t="shared" si="1199"/>
        <v>5.1507157375771939E-3</v>
      </c>
    </row>
    <row r="2428" spans="1:6">
      <c r="A2428" s="111">
        <f t="shared" si="1170"/>
        <v>46183</v>
      </c>
      <c r="B2428" s="112">
        <f t="shared" ref="B2428:F2428" si="1200">IFERROR((B1186/B1185-1),"")</f>
        <v>-1.2574830273235027E-2</v>
      </c>
      <c r="C2428" s="112">
        <f t="shared" si="1200"/>
        <v>-6.5864022662889266E-3</v>
      </c>
      <c r="D2428" s="112">
        <f t="shared" si="1200"/>
        <v>2.5226645644462753E-3</v>
      </c>
      <c r="E2428" s="112">
        <f t="shared" si="1200"/>
        <v>1.2432697014194805E-2</v>
      </c>
      <c r="F2428" s="112">
        <f t="shared" si="1200"/>
        <v>-1.1681388514805935E-3</v>
      </c>
    </row>
    <row r="2429" spans="1:6">
      <c r="A2429" s="111">
        <f t="shared" si="1170"/>
        <v>46184</v>
      </c>
      <c r="B2429" s="112">
        <f t="shared" ref="B2429:F2429" si="1201">IFERROR((B1187/B1186-1),"")</f>
        <v>1.6392887383573251E-2</v>
      </c>
      <c r="C2429" s="112">
        <f t="shared" si="1201"/>
        <v>-6.3449062522279442E-3</v>
      </c>
      <c r="D2429" s="112">
        <f t="shared" si="1201"/>
        <v>3.381300621215555E-3</v>
      </c>
      <c r="E2429" s="112">
        <f t="shared" si="1201"/>
        <v>-1.1216399149100775E-2</v>
      </c>
      <c r="F2429" s="112">
        <f t="shared" si="1201"/>
        <v>-2.2980880854794883E-3</v>
      </c>
    </row>
    <row r="2430" spans="1:6">
      <c r="A2430" s="111">
        <f t="shared" si="1170"/>
        <v>46185</v>
      </c>
      <c r="B2430" s="112">
        <f t="shared" ref="B2430:F2430" si="1202">IFERROR((B1188/B1187-1),"")</f>
        <v>1.3995801259622187E-2</v>
      </c>
      <c r="C2430" s="112">
        <f t="shared" si="1202"/>
        <v>-1.9084517147366808E-2</v>
      </c>
      <c r="D2430" s="112">
        <f t="shared" si="1202"/>
        <v>-4.7021943573655189E-4</v>
      </c>
      <c r="E2430" s="112">
        <f t="shared" si="1202"/>
        <v>1.0267944455309985E-2</v>
      </c>
      <c r="F2430" s="112">
        <f t="shared" si="1202"/>
        <v>1.9916586073501108E-2</v>
      </c>
    </row>
    <row r="2431" spans="1:6">
      <c r="A2431" s="111">
        <f t="shared" si="1170"/>
        <v>46188</v>
      </c>
      <c r="B2431" s="112">
        <f t="shared" ref="B2431:F2431" si="1203">IFERROR((B1189/B1188-1),"")</f>
        <v>3.0037135627197786E-2</v>
      </c>
      <c r="C2431" s="112">
        <f t="shared" si="1203"/>
        <v>2.5819192510239786E-2</v>
      </c>
      <c r="D2431" s="112">
        <f t="shared" si="1203"/>
        <v>3.214677748157424E-3</v>
      </c>
      <c r="E2431" s="112">
        <f t="shared" si="1203"/>
        <v>6.5821314490368543E-3</v>
      </c>
      <c r="F2431" s="112">
        <f t="shared" si="1203"/>
        <v>9.7786469908436313E-3</v>
      </c>
    </row>
    <row r="2432" spans="1:6">
      <c r="A2432" s="111">
        <f t="shared" si="1170"/>
        <v>46189</v>
      </c>
      <c r="B2432" s="112">
        <f t="shared" ref="B2432:F2432" si="1204">IFERROR((B1190/B1189-1),"")</f>
        <v>1.1485818205021481E-3</v>
      </c>
      <c r="C2432" s="112">
        <f t="shared" si="1204"/>
        <v>4.4420677361853844E-2</v>
      </c>
      <c r="D2432" s="112">
        <f t="shared" si="1204"/>
        <v>-2.0320437670964253E-3</v>
      </c>
      <c r="E2432" s="112">
        <f t="shared" si="1204"/>
        <v>3.4618713337821738E-3</v>
      </c>
      <c r="F2432" s="112">
        <f t="shared" si="1204"/>
        <v>5.6699323800299961E-3</v>
      </c>
    </row>
    <row r="2433" spans="1:6">
      <c r="A2433" s="111">
        <f t="shared" si="1170"/>
        <v>46190</v>
      </c>
      <c r="B2433" s="112">
        <f t="shared" ref="B2433:F2433" si="1205">IFERROR((B1191/B1190-1),"")</f>
        <v>-1.5934223525287949E-3</v>
      </c>
      <c r="C2433" s="112">
        <f t="shared" si="1205"/>
        <v>6.1441835062803207E-4</v>
      </c>
      <c r="D2433" s="112">
        <f t="shared" si="1205"/>
        <v>-6.1868587986531054E-3</v>
      </c>
      <c r="E2433" s="112">
        <f t="shared" si="1205"/>
        <v>2.779108768567351E-3</v>
      </c>
      <c r="F2433" s="112">
        <f t="shared" si="1205"/>
        <v>4.0247361828158468E-3</v>
      </c>
    </row>
    <row r="2434" spans="1:6">
      <c r="A2434" s="111">
        <f t="shared" si="1170"/>
        <v>46191</v>
      </c>
      <c r="B2434" s="112">
        <f t="shared" ref="B2434:F2434" si="1206">IFERROR((B1192/B1191-1),"")</f>
        <v>1.1490950876185124E-3</v>
      </c>
      <c r="C2434" s="112">
        <f t="shared" si="1206"/>
        <v>1.1803233949648551E-2</v>
      </c>
      <c r="D2434" s="112">
        <f t="shared" si="1206"/>
        <v>-1.1820330969266601E-3</v>
      </c>
      <c r="E2434" s="112">
        <f t="shared" si="1206"/>
        <v>2.4847094801223601E-3</v>
      </c>
      <c r="F2434" s="112">
        <f t="shared" si="1206"/>
        <v>3.4169652532414219E-3</v>
      </c>
    </row>
    <row r="2435" spans="1:6">
      <c r="A2435" s="111">
        <f t="shared" si="1170"/>
        <v>46192</v>
      </c>
      <c r="B2435" s="112">
        <f t="shared" ref="B2435:F2435" si="1207">IFERROR((B1193/B1192-1),"")</f>
        <v>-1.9671608480790637E-2</v>
      </c>
      <c r="C2435" s="112">
        <f t="shared" si="1207"/>
        <v>-1.3283884018880698E-2</v>
      </c>
      <c r="D2435" s="112">
        <f t="shared" si="1207"/>
        <v>3.6291913214989702E-3</v>
      </c>
      <c r="E2435" s="112">
        <f t="shared" si="1207"/>
        <v>-9.5328884652049473E-3</v>
      </c>
      <c r="F2435" s="112">
        <f t="shared" si="1207"/>
        <v>-6.4093015557763477E-3</v>
      </c>
    </row>
    <row r="2436" spans="1:6">
      <c r="A2436" s="111">
        <f t="shared" si="1170"/>
        <v>46195</v>
      </c>
      <c r="B2436" s="112">
        <f t="shared" ref="B2436:F2436" si="1208">IFERROR((B1194/B1193-1),"")</f>
        <v>-3.7075582151685493E-3</v>
      </c>
      <c r="C2436" s="112">
        <f t="shared" si="1208"/>
        <v>1.4077769425271836E-2</v>
      </c>
      <c r="D2436" s="112">
        <f t="shared" si="1208"/>
        <v>1.4621492021067661E-2</v>
      </c>
      <c r="E2436" s="112">
        <f t="shared" si="1208"/>
        <v>4.3310875842155205E-3</v>
      </c>
      <c r="F2436" s="112">
        <f t="shared" si="1208"/>
        <v>3.7396254544395102E-3</v>
      </c>
    </row>
    <row r="2437" spans="1:6">
      <c r="A2437" s="111">
        <f t="shared" si="1170"/>
        <v>46196</v>
      </c>
      <c r="B2437" s="112">
        <f t="shared" ref="B2437:F2437" si="1209">IFERROR((B1195/B1194-1),"")</f>
        <v>-8.5199451589736963E-3</v>
      </c>
      <c r="C2437" s="112">
        <f t="shared" si="1209"/>
        <v>-1.8195296178987741E-3</v>
      </c>
      <c r="D2437" s="112">
        <f t="shared" si="1209"/>
        <v>8.2125978151390555E-3</v>
      </c>
      <c r="E2437" s="112">
        <f t="shared" si="1209"/>
        <v>4.5040728318159751E-3</v>
      </c>
      <c r="F2437" s="112">
        <f t="shared" si="1209"/>
        <v>-1.1567072841857318E-2</v>
      </c>
    </row>
    <row r="2438" spans="1:6">
      <c r="A2438" s="111">
        <f t="shared" si="1170"/>
        <v>46197</v>
      </c>
      <c r="B2438" s="112">
        <f t="shared" ref="B2438:F2438" si="1210">IFERROR((B1196/B1195-1),"")</f>
        <v>8.9553221611298195E-3</v>
      </c>
      <c r="C2438" s="112">
        <f t="shared" si="1210"/>
        <v>1.1274642182014682E-2</v>
      </c>
      <c r="D2438" s="112">
        <f t="shared" si="1210"/>
        <v>2.0825328517636299E-2</v>
      </c>
      <c r="E2438" s="112">
        <f t="shared" si="1210"/>
        <v>4.1022705590536557E-3</v>
      </c>
      <c r="F2438" s="112">
        <f t="shared" si="1210"/>
        <v>8.2920236231380784E-3</v>
      </c>
    </row>
    <row r="2439" spans="1:6">
      <c r="A2439" s="111">
        <f t="shared" si="1170"/>
        <v>46198</v>
      </c>
      <c r="B2439" s="112">
        <f t="shared" ref="B2439:F2439" si="1211">IFERROR((B1197/B1196-1),"")</f>
        <v>3.8407570566160842E-2</v>
      </c>
      <c r="C2439" s="112">
        <f t="shared" si="1211"/>
        <v>-3.3380065424928329E-3</v>
      </c>
      <c r="D2439" s="112">
        <f t="shared" si="1211"/>
        <v>1.663655525444141E-2</v>
      </c>
      <c r="E2439" s="112">
        <f t="shared" si="1211"/>
        <v>-4.8456057007125741E-3</v>
      </c>
      <c r="F2439" s="112">
        <f t="shared" si="1211"/>
        <v>1.4299600568652426E-3</v>
      </c>
    </row>
    <row r="2440" spans="1:6">
      <c r="A2440" s="111">
        <f t="shared" si="1170"/>
        <v>46202</v>
      </c>
      <c r="B2440" s="112">
        <f t="shared" ref="B2440:F2440" si="1212">IFERROR((B1198/B1197-1),"")</f>
        <v>-2.8030922003645209E-2</v>
      </c>
      <c r="C2440" s="112">
        <f t="shared" si="1212"/>
        <v>-1.0047558443297966E-3</v>
      </c>
      <c r="D2440" s="112">
        <f t="shared" si="1212"/>
        <v>1.8659755646057041E-2</v>
      </c>
      <c r="E2440" s="112">
        <f t="shared" si="1212"/>
        <v>-2.5778117242696186E-2</v>
      </c>
      <c r="F2440" s="112">
        <f t="shared" si="1212"/>
        <v>-4.5622713668107551E-3</v>
      </c>
    </row>
    <row r="2441" spans="1:6">
      <c r="A2441" s="111">
        <f t="shared" si="1170"/>
        <v>46203</v>
      </c>
      <c r="B2441" s="112">
        <f t="shared" ref="B2441:F2441" si="1213">IFERROR((B1199/B1198-1),"")</f>
        <v>-7.8241189783381238E-3</v>
      </c>
      <c r="C2441" s="112">
        <f t="shared" si="1213"/>
        <v>-1.7232130883733432E-2</v>
      </c>
      <c r="D2441" s="112">
        <f t="shared" si="1213"/>
        <v>-1.3520389619830042E-2</v>
      </c>
      <c r="E2441" s="112">
        <f t="shared" si="1213"/>
        <v>8.7220697765582056E-3</v>
      </c>
      <c r="F2441" s="112">
        <f t="shared" si="1213"/>
        <v>-3.3616954637991636E-3</v>
      </c>
    </row>
    <row r="2442" spans="1:6">
      <c r="A2442" s="111">
        <f t="shared" si="1170"/>
        <v>46204</v>
      </c>
      <c r="B2442" s="112">
        <f t="shared" ref="B2442:F2442" si="1214">IFERROR((B1200/B1199-1),"")</f>
        <v>1.9942648592283563E-2</v>
      </c>
      <c r="C2442" s="112">
        <f t="shared" si="1214"/>
        <v>-6.481544654431326E-2</v>
      </c>
      <c r="D2442" s="112">
        <f t="shared" si="1214"/>
        <v>-1.2674084444771805E-2</v>
      </c>
      <c r="E2442" s="112">
        <f t="shared" si="1214"/>
        <v>2.2442436607403193E-2</v>
      </c>
      <c r="F2442" s="112">
        <f t="shared" si="1214"/>
        <v>5.8703371987052222E-3</v>
      </c>
    </row>
    <row r="2443" spans="1:6">
      <c r="A2443" s="111">
        <f t="shared" si="1170"/>
        <v>46205</v>
      </c>
      <c r="B2443" s="112">
        <f t="shared" ref="B2443:F2443" si="1215">IFERROR((B1201/B1200-1),"")</f>
        <v>1.4504792332268313E-2</v>
      </c>
      <c r="C2443" s="112">
        <f t="shared" si="1215"/>
        <v>5.1944262055883872E-2</v>
      </c>
      <c r="D2443" s="112">
        <f t="shared" si="1215"/>
        <v>4.3286812448690704E-3</v>
      </c>
      <c r="E2443" s="112">
        <f t="shared" si="1215"/>
        <v>2.1284682630178686E-2</v>
      </c>
      <c r="F2443" s="112">
        <f t="shared" si="1215"/>
        <v>7.0753587146468178E-3</v>
      </c>
    </row>
    <row r="2444" spans="1:6">
      <c r="A2444" s="111">
        <f t="shared" si="1170"/>
        <v>46206</v>
      </c>
      <c r="B2444" s="112">
        <f t="shared" ref="B2444:F2444" si="1216">IFERROR((B1202/B1201-1),"")</f>
        <v>-1.2124456761352875E-2</v>
      </c>
      <c r="C2444" s="112">
        <f t="shared" si="1216"/>
        <v>1.5326999098411731E-2</v>
      </c>
      <c r="D2444" s="112">
        <f t="shared" si="1216"/>
        <v>2.1104258006985122E-2</v>
      </c>
      <c r="E2444" s="112">
        <f t="shared" si="1216"/>
        <v>9.3040565686641763E-4</v>
      </c>
      <c r="F2444" s="112">
        <f t="shared" si="1216"/>
        <v>3.9357702155469187E-3</v>
      </c>
    </row>
    <row r="2445" spans="1:6">
      <c r="A2445" s="111">
        <f t="shared" si="1170"/>
        <v>46209</v>
      </c>
      <c r="B2445" s="112">
        <f t="shared" ref="B2445:F2445" si="1217">IFERROR((B1203/B1202-1),"")</f>
        <v>2.049794382989556E-2</v>
      </c>
      <c r="C2445" s="112">
        <f t="shared" si="1217"/>
        <v>1.2226775956284186E-2</v>
      </c>
      <c r="D2445" s="112">
        <f t="shared" si="1217"/>
        <v>-4.5120442471434652E-3</v>
      </c>
      <c r="E2445" s="112">
        <f t="shared" si="1217"/>
        <v>1.403606618330544E-2</v>
      </c>
      <c r="F2445" s="112">
        <f t="shared" si="1217"/>
        <v>6.5716693070081433E-3</v>
      </c>
    </row>
    <row r="2446" spans="1:6">
      <c r="A2446" s="111">
        <f t="shared" si="1170"/>
        <v>46210</v>
      </c>
      <c r="B2446" s="112">
        <f t="shared" ref="B2446:F2446" si="1218">IFERROR((B1204/B1203-1),"")</f>
        <v>-1.4994377108583645E-3</v>
      </c>
      <c r="C2446" s="112">
        <f t="shared" si="1218"/>
        <v>2.3145961265942372E-2</v>
      </c>
      <c r="D2446" s="112">
        <f t="shared" si="1218"/>
        <v>-9.7229329629360262E-3</v>
      </c>
      <c r="E2446" s="112">
        <f t="shared" si="1218"/>
        <v>-1.3750114584287765E-3</v>
      </c>
      <c r="F2446" s="112">
        <f t="shared" si="1218"/>
        <v>-1.2955197121612416E-3</v>
      </c>
    </row>
    <row r="2447" spans="1:6">
      <c r="A2447" s="111">
        <f t="shared" si="1170"/>
        <v>46211</v>
      </c>
      <c r="B2447" s="112">
        <f t="shared" ref="B2447:F2447" si="1219">IFERROR((B1205/B1204-1),"")</f>
        <v>-2.9376798898761103E-2</v>
      </c>
      <c r="C2447" s="112">
        <f t="shared" si="1219"/>
        <v>-4.6365914786967388E-2</v>
      </c>
      <c r="D2447" s="112">
        <f t="shared" si="1219"/>
        <v>-4.134061715635573E-3</v>
      </c>
      <c r="E2447" s="112">
        <f t="shared" si="1219"/>
        <v>-2.4141729392326061E-2</v>
      </c>
      <c r="F2447" s="112">
        <f t="shared" si="1219"/>
        <v>-2.1175308520535951E-2</v>
      </c>
    </row>
    <row r="2448" spans="1:6">
      <c r="A2448" s="111">
        <f t="shared" si="1170"/>
        <v>46212</v>
      </c>
      <c r="B2448" s="112">
        <f t="shared" ref="B2448:F2448" si="1220">IFERROR((B1206/B1205-1),"")</f>
        <v>-5.5116841257050186E-3</v>
      </c>
      <c r="C2448" s="112">
        <f t="shared" si="1220"/>
        <v>1.5699564285220236E-2</v>
      </c>
      <c r="D2448" s="112">
        <f t="shared" si="1220"/>
        <v>-5.8932542624166029E-2</v>
      </c>
      <c r="E2448" s="112">
        <f t="shared" si="1220"/>
        <v>8.6539366005078389E-3</v>
      </c>
      <c r="F2448" s="112">
        <f t="shared" si="1220"/>
        <v>3.3812005250806187E-3</v>
      </c>
    </row>
    <row r="2449" spans="1:6">
      <c r="A2449" s="111">
        <f t="shared" si="1170"/>
        <v>46213</v>
      </c>
      <c r="B2449" s="112">
        <f t="shared" ref="B2449:F2449" si="1221">IFERROR((B1207/B1206-1),"")</f>
        <v>1.426071173915866E-2</v>
      </c>
      <c r="C2449" s="112">
        <f t="shared" si="1221"/>
        <v>2.396840528394395E-2</v>
      </c>
      <c r="D2449" s="112">
        <f t="shared" si="1221"/>
        <v>-1.9850334777471446E-2</v>
      </c>
      <c r="E2449" s="112">
        <f t="shared" si="1221"/>
        <v>-1.5853772265224109E-3</v>
      </c>
      <c r="F2449" s="112">
        <f t="shared" si="1221"/>
        <v>1.0186622598360895E-2</v>
      </c>
    </row>
    <row r="2450" spans="1:6">
      <c r="A2450" s="111">
        <f t="shared" si="1170"/>
        <v>46216</v>
      </c>
      <c r="B2450" s="112">
        <f t="shared" ref="B2450:F2450" si="1222">IFERROR((B1208/B1207-1),"")</f>
        <v>9.9060522783920302E-3</v>
      </c>
      <c r="C2450" s="112">
        <f t="shared" si="1222"/>
        <v>2.4670833887485033E-2</v>
      </c>
      <c r="D2450" s="112">
        <f t="shared" si="1222"/>
        <v>-7.8759141686087775E-3</v>
      </c>
      <c r="E2450" s="112">
        <f t="shared" si="1222"/>
        <v>-8.4065010274614327E-4</v>
      </c>
      <c r="F2450" s="112">
        <f t="shared" si="1222"/>
        <v>1.6937319524590322E-4</v>
      </c>
    </row>
    <row r="2451" spans="1:6">
      <c r="A2451" s="111">
        <f t="shared" si="1170"/>
        <v>46217</v>
      </c>
      <c r="B2451" s="112">
        <f t="shared" ref="B2451:F2451" si="1223">IFERROR((B1209/B1208-1),"")</f>
        <v>-2.1231489684850002E-2</v>
      </c>
      <c r="C2451" s="112">
        <f t="shared" si="1223"/>
        <v>-4.1534168343176914E-3</v>
      </c>
      <c r="D2451" s="112">
        <f t="shared" si="1223"/>
        <v>9.4775212636695194E-3</v>
      </c>
      <c r="E2451" s="112">
        <f t="shared" si="1223"/>
        <v>-1.2152940076657015E-2</v>
      </c>
      <c r="F2451" s="112">
        <f t="shared" si="1223"/>
        <v>-6.5651976374375698E-3</v>
      </c>
    </row>
    <row r="2452" spans="1:6">
      <c r="A2452" s="111">
        <f t="shared" si="1170"/>
        <v>46218</v>
      </c>
      <c r="B2452" s="112">
        <f t="shared" ref="B2452:F2452" si="1224">IFERROR((B1210/B1209-1),"")</f>
        <v>-3.3621051950991632E-3</v>
      </c>
      <c r="C2452" s="112">
        <f t="shared" si="1224"/>
        <v>-8.4718149234275231E-4</v>
      </c>
      <c r="D2452" s="112">
        <f t="shared" si="1224"/>
        <v>-1.3400738244262578E-2</v>
      </c>
      <c r="E2452" s="112">
        <f t="shared" si="1224"/>
        <v>6.0565912747232442E-3</v>
      </c>
      <c r="F2452" s="112">
        <f t="shared" si="1224"/>
        <v>1.0996983625095602E-3</v>
      </c>
    </row>
    <row r="2453" spans="1:6">
      <c r="A2453" s="111">
        <f t="shared" si="1170"/>
        <v>46219</v>
      </c>
      <c r="B2453" s="112">
        <f t="shared" ref="B2453:F2453" si="1225">IFERROR((B1211/B1210-1),"")</f>
        <v>1.1320509909500842E-2</v>
      </c>
      <c r="C2453" s="112">
        <f t="shared" si="1225"/>
        <v>-1.6305765718758192E-3</v>
      </c>
      <c r="D2453" s="112">
        <f t="shared" si="1225"/>
        <v>-4.1480276535176275E-3</v>
      </c>
      <c r="E2453" s="112">
        <f t="shared" si="1225"/>
        <v>-9.4064528266391001E-4</v>
      </c>
      <c r="F2453" s="112">
        <f t="shared" si="1225"/>
        <v>-2.3880225097083763E-4</v>
      </c>
    </row>
    <row r="2454" spans="1:6">
      <c r="A2454" s="111">
        <f t="shared" si="1170"/>
        <v>46220</v>
      </c>
      <c r="B2454" s="112">
        <f t="shared" ref="B2454:F2454" si="1226">IFERROR((B1212/B1211-1),"")</f>
        <v>1.9693373532619018E-2</v>
      </c>
      <c r="C2454" s="112">
        <f t="shared" si="1226"/>
        <v>-1.4568498072777158E-2</v>
      </c>
      <c r="D2454" s="112">
        <f t="shared" si="1226"/>
        <v>-1.0780790591310097E-2</v>
      </c>
      <c r="E2454" s="112">
        <f t="shared" si="1226"/>
        <v>1.9207230957536847E-2</v>
      </c>
      <c r="F2454" s="112">
        <f t="shared" si="1226"/>
        <v>1.0864982189404904E-2</v>
      </c>
    </row>
    <row r="2455" spans="1:6">
      <c r="A2455" s="111">
        <f t="shared" si="1170"/>
        <v>46223</v>
      </c>
      <c r="B2455" s="112">
        <f t="shared" ref="B2455:F2455" si="1227">IFERROR((B1213/B1212-1),"")</f>
        <v>-4.3092601912430029E-3</v>
      </c>
      <c r="C2455" s="112">
        <f t="shared" si="1227"/>
        <v>-6.6295412357464389E-4</v>
      </c>
      <c r="D2455" s="112">
        <f t="shared" si="1227"/>
        <v>9.8249669749008728E-3</v>
      </c>
      <c r="E2455" s="112">
        <f t="shared" si="1227"/>
        <v>1.0623556581986104E-2</v>
      </c>
      <c r="F2455" s="112">
        <f t="shared" si="1227"/>
        <v>-3.9368299067571444E-3</v>
      </c>
    </row>
    <row r="2456" spans="1:6">
      <c r="A2456" s="111">
        <f t="shared" si="1170"/>
        <v>46224</v>
      </c>
      <c r="B2456" s="112">
        <f t="shared" ref="B2456:F2456" si="1228">IFERROR((B1214/B1213-1),"")</f>
        <v>1.1435792133944078E-2</v>
      </c>
      <c r="C2456" s="112">
        <f t="shared" si="1228"/>
        <v>-8.8894785723763192E-3</v>
      </c>
      <c r="D2456" s="112">
        <f t="shared" si="1228"/>
        <v>-1.3980868285503933E-2</v>
      </c>
      <c r="E2456" s="112">
        <f t="shared" si="1228"/>
        <v>2.1937842778794181E-3</v>
      </c>
      <c r="F2456" s="112">
        <f t="shared" si="1228"/>
        <v>-2.0958392639808254E-3</v>
      </c>
    </row>
    <row r="2457" spans="1:6">
      <c r="A2457" s="111">
        <f t="shared" si="1170"/>
        <v>46225</v>
      </c>
      <c r="B2457" s="112">
        <f t="shared" ref="B2457:F2457" si="1229">IFERROR((B1215/B1214-1),"")</f>
        <v>-8.2456195146327627E-3</v>
      </c>
      <c r="C2457" s="112">
        <f t="shared" si="1229"/>
        <v>-1.5127175368139123E-2</v>
      </c>
      <c r="D2457" s="112">
        <f t="shared" si="1229"/>
        <v>-1.9237147595356552E-2</v>
      </c>
      <c r="E2457" s="112">
        <f t="shared" si="1229"/>
        <v>6.3845311929955351E-4</v>
      </c>
      <c r="F2457" s="112">
        <f t="shared" si="1229"/>
        <v>-7.9151800295191865E-3</v>
      </c>
    </row>
    <row r="2458" spans="1:6">
      <c r="A2458" s="111">
        <f t="shared" si="1170"/>
        <v>46226</v>
      </c>
      <c r="B2458" s="112">
        <f t="shared" ref="B2458:F2458" si="1230">IFERROR((B1216/B1215-1),"")</f>
        <v>1.7132239473435451E-2</v>
      </c>
      <c r="C2458" s="112">
        <f t="shared" si="1230"/>
        <v>-2.1408182683158916E-2</v>
      </c>
      <c r="D2458" s="112">
        <f t="shared" si="1230"/>
        <v>-1.394994927291171E-2</v>
      </c>
      <c r="E2458" s="112">
        <f t="shared" si="1230"/>
        <v>-1.7774131802023474E-2</v>
      </c>
      <c r="F2458" s="112">
        <f t="shared" si="1230"/>
        <v>-5.2779080064594419E-3</v>
      </c>
    </row>
    <row r="2459" spans="1:6">
      <c r="A2459" s="111">
        <f t="shared" si="1170"/>
        <v>46227</v>
      </c>
      <c r="B2459" s="112">
        <f t="shared" ref="B2459:F2459" si="1231">IFERROR((B1217/B1216-1),"")</f>
        <v>-2.1147474997677773E-2</v>
      </c>
      <c r="C2459" s="112">
        <f t="shared" si="1231"/>
        <v>3.1113271754982907E-2</v>
      </c>
      <c r="D2459" s="112">
        <f t="shared" si="1231"/>
        <v>-1.2518220012003645E-2</v>
      </c>
      <c r="E2459" s="112">
        <f t="shared" si="1231"/>
        <v>-1.5775798069784797E-3</v>
      </c>
      <c r="F2459" s="112">
        <f t="shared" si="1231"/>
        <v>-4.2795019606527429E-3</v>
      </c>
    </row>
    <row r="2460" spans="1:6">
      <c r="A2460" s="111">
        <f t="shared" si="1170"/>
        <v>46230</v>
      </c>
      <c r="B2460" s="112">
        <f t="shared" ref="B2460:F2460" si="1232">IFERROR((B1218/B1217-1),"")</f>
        <v>2.4419560954007657E-2</v>
      </c>
      <c r="C2460" s="112">
        <f t="shared" si="1232"/>
        <v>2.9433555600458128E-2</v>
      </c>
      <c r="D2460" s="112">
        <f t="shared" si="1232"/>
        <v>-7.8145350351666032E-4</v>
      </c>
      <c r="E2460" s="112">
        <f t="shared" si="1232"/>
        <v>9.2945441026115461E-4</v>
      </c>
      <c r="F2460" s="112">
        <f t="shared" si="1232"/>
        <v>9.6139888797495132E-3</v>
      </c>
    </row>
    <row r="2461" spans="1:6">
      <c r="A2461" s="111">
        <f t="shared" si="1170"/>
        <v>46231</v>
      </c>
      <c r="B2461" s="112">
        <f t="shared" ref="B2461:F2461" si="1233">IFERROR((B1219/B1218-1),"")</f>
        <v>1.0066077934910211E-2</v>
      </c>
      <c r="C2461" s="112">
        <f t="shared" si="1233"/>
        <v>0.10311436796650075</v>
      </c>
      <c r="D2461" s="112">
        <f t="shared" si="1233"/>
        <v>-1.3208202989224982E-2</v>
      </c>
      <c r="E2461" s="112">
        <f t="shared" si="1233"/>
        <v>1.7457516946791651E-2</v>
      </c>
      <c r="F2461" s="112">
        <f t="shared" si="1233"/>
        <v>-4.4174121049600501E-4</v>
      </c>
    </row>
    <row r="2462" spans="1:6">
      <c r="A2462" s="111">
        <f t="shared" si="1170"/>
        <v>46232</v>
      </c>
      <c r="B2462" s="112">
        <f t="shared" ref="B2462:F2462" si="1234">IFERROR((B1220/B1219-1),"")</f>
        <v>-1.5101491807287704E-2</v>
      </c>
      <c r="C2462" s="112">
        <f t="shared" si="1234"/>
        <v>1.7141162514828112E-2</v>
      </c>
      <c r="D2462" s="112">
        <f t="shared" si="1234"/>
        <v>5.8999647763298135E-3</v>
      </c>
      <c r="E2462" s="112">
        <f t="shared" si="1234"/>
        <v>7.1187368805329942E-3</v>
      </c>
      <c r="F2462" s="112">
        <f t="shared" si="1234"/>
        <v>1.1042156983325224E-2</v>
      </c>
    </row>
    <row r="2463" spans="1:6">
      <c r="A2463" s="111">
        <f t="shared" ref="A2463:A2485" si="1235">A1221</f>
        <v>46233</v>
      </c>
      <c r="B2463" s="112">
        <f t="shared" ref="B2463:F2463" si="1236">IFERROR((B1221/B1220-1),"")</f>
        <v>1.9212862375069806E-2</v>
      </c>
      <c r="C2463" s="112">
        <f t="shared" si="1236"/>
        <v>1.8659980173771018E-2</v>
      </c>
      <c r="D2463" s="112">
        <f t="shared" si="1236"/>
        <v>2.1885669263765894E-3</v>
      </c>
      <c r="E2463" s="112">
        <f t="shared" si="1236"/>
        <v>1.2686905301313445E-3</v>
      </c>
      <c r="F2463" s="112">
        <f t="shared" si="1236"/>
        <v>2.7608019727671795E-3</v>
      </c>
    </row>
    <row r="2464" spans="1:6">
      <c r="A2464" s="111">
        <f t="shared" si="1235"/>
        <v>46234</v>
      </c>
      <c r="B2464" s="112">
        <f t="shared" ref="B2464:F2464" si="1237">IFERROR((B1222/B1221-1),"")</f>
        <v>3.4960562779791093E-2</v>
      </c>
      <c r="C2464" s="112">
        <f t="shared" si="1237"/>
        <v>-1.4826263667067408E-2</v>
      </c>
      <c r="D2464" s="112">
        <f t="shared" si="1237"/>
        <v>2.8825995807126858E-3</v>
      </c>
      <c r="E2464" s="112">
        <f t="shared" si="1237"/>
        <v>-1.95492804778713E-2</v>
      </c>
      <c r="F2464" s="112">
        <f t="shared" si="1237"/>
        <v>2.7326393101163582E-3</v>
      </c>
    </row>
    <row r="2465" spans="1:6">
      <c r="A2465" s="111">
        <f t="shared" si="1235"/>
        <v>46237</v>
      </c>
      <c r="B2465" s="112">
        <f t="shared" ref="B2465:F2465" si="1238">IFERROR((B1223/B1222-1),"")</f>
        <v>8.8568486096807231E-3</v>
      </c>
      <c r="C2465" s="112">
        <f t="shared" si="1238"/>
        <v>2.7309703660662432E-2</v>
      </c>
      <c r="D2465" s="112">
        <f t="shared" si="1238"/>
        <v>2.7785036146677156E-2</v>
      </c>
      <c r="E2465" s="112">
        <f t="shared" si="1238"/>
        <v>2.1139111972676039E-2</v>
      </c>
      <c r="F2465" s="112">
        <f t="shared" si="1238"/>
        <v>1.6023064682819665E-2</v>
      </c>
    </row>
    <row r="2466" spans="1:6">
      <c r="A2466" s="111">
        <f t="shared" si="1235"/>
        <v>46238</v>
      </c>
      <c r="B2466" s="112">
        <f t="shared" ref="B2466:F2466" si="1239">IFERROR((B1224/B1223-1),"")</f>
        <v>1.2833226389781238E-3</v>
      </c>
      <c r="C2466" s="112">
        <f t="shared" si="1239"/>
        <v>-1.0237556561085936E-2</v>
      </c>
      <c r="D2466" s="112">
        <f t="shared" si="1239"/>
        <v>-6.2711864406780338E-3</v>
      </c>
      <c r="E2466" s="112">
        <f t="shared" si="1239"/>
        <v>-9.5823540047007549E-3</v>
      </c>
      <c r="F2466" s="112">
        <f t="shared" si="1239"/>
        <v>-6.4340869368659792E-3</v>
      </c>
    </row>
    <row r="2467" spans="1:6">
      <c r="A2467" s="111">
        <f t="shared" si="1235"/>
        <v>46239</v>
      </c>
      <c r="B2467" s="112">
        <f t="shared" ref="B2467:F2467" si="1240">IFERROR((B1225/B1224-1),"")</f>
        <v>6.524905330614672E-3</v>
      </c>
      <c r="C2467" s="112">
        <f t="shared" si="1240"/>
        <v>1.5486599234241893E-2</v>
      </c>
      <c r="D2467" s="112">
        <f t="shared" si="1240"/>
        <v>2.8995394849054001E-3</v>
      </c>
      <c r="E2467" s="112">
        <f t="shared" si="1240"/>
        <v>-6.936838262139422E-3</v>
      </c>
      <c r="F2467" s="112">
        <f t="shared" si="1240"/>
        <v>3.9610154824920585E-4</v>
      </c>
    </row>
    <row r="2468" spans="1:6">
      <c r="A2468" s="111">
        <f t="shared" si="1235"/>
        <v>46240</v>
      </c>
      <c r="B2468" s="112">
        <f t="shared" ref="B2468:F2468" si="1241">IFERROR((B1226/B1225-1),"")</f>
        <v>-1.4296463506395796E-2</v>
      </c>
      <c r="C2468" s="112">
        <f t="shared" si="1241"/>
        <v>-2.3635340461451992E-3</v>
      </c>
      <c r="D2468" s="112">
        <f t="shared" si="1241"/>
        <v>-4.2517006802721413E-3</v>
      </c>
      <c r="E2468" s="112">
        <f t="shared" si="1241"/>
        <v>-6.6176470588235059E-3</v>
      </c>
      <c r="F2468" s="112">
        <f t="shared" si="1241"/>
        <v>4.6092025673449832E-4</v>
      </c>
    </row>
    <row r="2469" spans="1:6">
      <c r="A2469" s="111">
        <f t="shared" si="1235"/>
        <v>46241</v>
      </c>
      <c r="B2469" s="112">
        <f t="shared" ref="B2469:F2469" si="1242">IFERROR((B1227/B1226-1),"")</f>
        <v>2.8185554903112253E-2</v>
      </c>
      <c r="C2469" s="112">
        <f t="shared" si="1242"/>
        <v>1.8050541516245744E-3</v>
      </c>
      <c r="D2469" s="112">
        <f t="shared" si="1242"/>
        <v>8.5397096498729397E-4</v>
      </c>
      <c r="E2469" s="112">
        <f t="shared" si="1242"/>
        <v>1.9615099925980761E-2</v>
      </c>
      <c r="F2469" s="112">
        <f t="shared" si="1242"/>
        <v>-2.6526221789251458E-3</v>
      </c>
    </row>
    <row r="2470" spans="1:6">
      <c r="A2470" s="111">
        <f t="shared" si="1235"/>
        <v>46244</v>
      </c>
      <c r="B2470" s="112">
        <f t="shared" ref="B2470:F2470" si="1243">IFERROR((B1228/B1227-1),"")</f>
        <v>4.2832667047401074E-3</v>
      </c>
      <c r="C2470" s="112">
        <f t="shared" si="1243"/>
        <v>1.9144144144144226E-2</v>
      </c>
      <c r="D2470" s="112">
        <f t="shared" si="1243"/>
        <v>-1.1262798634812277E-2</v>
      </c>
      <c r="E2470" s="112">
        <f t="shared" si="1243"/>
        <v>2.059891107078049E-2</v>
      </c>
      <c r="F2470" s="112">
        <f t="shared" si="1243"/>
        <v>5.3519137670332562E-4</v>
      </c>
    </row>
    <row r="2471" spans="1:6">
      <c r="A2471" s="111">
        <f t="shared" si="1235"/>
        <v>46245</v>
      </c>
      <c r="B2471" s="112">
        <f t="shared" ref="B2471:F2471" si="1244">IFERROR((B1229/B1228-1),"")</f>
        <v>-1.6178561273812897E-2</v>
      </c>
      <c r="C2471" s="112">
        <f t="shared" si="1244"/>
        <v>4.972375690607711E-3</v>
      </c>
      <c r="D2471" s="112">
        <f t="shared" si="1244"/>
        <v>3.9868829823955787E-2</v>
      </c>
      <c r="E2471" s="112">
        <f t="shared" si="1244"/>
        <v>-4.5345425446785548E-3</v>
      </c>
      <c r="F2471" s="112">
        <f t="shared" si="1244"/>
        <v>-4.5599134389312512E-3</v>
      </c>
    </row>
    <row r="2472" spans="1:6">
      <c r="A2472" s="111">
        <f t="shared" si="1235"/>
        <v>46246</v>
      </c>
      <c r="B2472" s="112">
        <f t="shared" ref="B2472:F2472" si="1245">IFERROR((B1230/B1229-1),"")</f>
        <v>-1.6329007832143527E-2</v>
      </c>
      <c r="C2472" s="112">
        <f t="shared" si="1245"/>
        <v>-9.6206706981858403E-3</v>
      </c>
      <c r="D2472" s="112">
        <f t="shared" si="1245"/>
        <v>-4.1493775933609811E-3</v>
      </c>
      <c r="E2472" s="112">
        <f t="shared" si="1245"/>
        <v>8.4851732761701548E-3</v>
      </c>
      <c r="F2472" s="112">
        <f t="shared" si="1245"/>
        <v>-1.4608711286915321E-3</v>
      </c>
    </row>
    <row r="2473" spans="1:6">
      <c r="A2473" s="111">
        <f t="shared" si="1235"/>
        <v>46247</v>
      </c>
      <c r="B2473" s="112">
        <f t="shared" ref="B2473:F2473" si="1246">IFERROR((B1231/B1230-1),"")</f>
        <v>7.2276413209542145E-3</v>
      </c>
      <c r="C2473" s="112">
        <f t="shared" si="1246"/>
        <v>1.5265056897030282E-2</v>
      </c>
      <c r="D2473" s="112">
        <f t="shared" si="1246"/>
        <v>4.9999999999998934E-3</v>
      </c>
      <c r="E2473" s="112">
        <f t="shared" si="1246"/>
        <v>-5.4025329908776731E-3</v>
      </c>
      <c r="F2473" s="112">
        <f t="shared" si="1246"/>
        <v>-1.6410248015731321E-3</v>
      </c>
    </row>
    <row r="2474" spans="1:6">
      <c r="A2474" s="111">
        <f t="shared" si="1235"/>
        <v>46248</v>
      </c>
      <c r="B2474" s="112">
        <f t="shared" ref="B2474:F2474" si="1247">IFERROR((B1232/B1231-1),"")</f>
        <v>2.9169826731401116E-5</v>
      </c>
      <c r="C2474" s="112">
        <f t="shared" si="1247"/>
        <v>-9.2946965554947525E-3</v>
      </c>
      <c r="D2474" s="112">
        <f t="shared" si="1247"/>
        <v>-4.9751243781094301E-3</v>
      </c>
      <c r="E2474" s="112">
        <f t="shared" si="1247"/>
        <v>-1.0151380231522733E-2</v>
      </c>
      <c r="F2474" s="112">
        <f t="shared" si="1247"/>
        <v>-1.2235687627197844E-3</v>
      </c>
    </row>
    <row r="2475" spans="1:6">
      <c r="A2475" s="111">
        <f t="shared" si="1235"/>
        <v>46251</v>
      </c>
      <c r="B2475" s="112">
        <f t="shared" ref="B2475:F2475" si="1248">IFERROR((B1233/B1232-1),"")</f>
        <v>-1.1055041857480408E-2</v>
      </c>
      <c r="C2475" s="112">
        <f t="shared" si="1248"/>
        <v>-3.3112582781457123E-3</v>
      </c>
      <c r="D2475" s="112">
        <f t="shared" si="1248"/>
        <v>-6.6666666666667096E-3</v>
      </c>
      <c r="E2475" s="112">
        <f t="shared" si="1248"/>
        <v>-6.657070888808958E-3</v>
      </c>
      <c r="F2475" s="112">
        <f t="shared" si="1248"/>
        <v>-3.2155462529753764E-3</v>
      </c>
    </row>
    <row r="2476" spans="1:6">
      <c r="A2476" s="111">
        <f t="shared" si="1235"/>
        <v>46252</v>
      </c>
      <c r="B2476" s="112">
        <f t="shared" ref="B2476:F2476" si="1249">IFERROR((B1234/B1233-1),"")</f>
        <v>9.1729589428974911E-3</v>
      </c>
      <c r="C2476" s="112">
        <f t="shared" si="1249"/>
        <v>-1.8272425249169388E-2</v>
      </c>
      <c r="D2476" s="112">
        <f t="shared" si="1249"/>
        <v>-1.1073825503355783E-2</v>
      </c>
      <c r="E2476" s="112">
        <f t="shared" si="1249"/>
        <v>-4.7092917949647095E-3</v>
      </c>
      <c r="F2476" s="112">
        <f t="shared" si="1249"/>
        <v>-5.4657408188935053E-3</v>
      </c>
    </row>
    <row r="2477" spans="1:6">
      <c r="A2477" s="111">
        <f t="shared" si="1235"/>
        <v>46253</v>
      </c>
      <c r="B2477" s="112">
        <f t="shared" ref="B2477:F2477" si="1250">IFERROR((B1235/B1234-1),"")</f>
        <v>-1.8997515709484603E-3</v>
      </c>
      <c r="C2477" s="112">
        <f t="shared" si="1250"/>
        <v>2.2617033276931764E-2</v>
      </c>
      <c r="D2477" s="112">
        <f t="shared" si="1250"/>
        <v>-7.4652188666439745E-3</v>
      </c>
      <c r="E2477" s="112">
        <f t="shared" si="1250"/>
        <v>-7.6433121019108263E-3</v>
      </c>
      <c r="F2477" s="112">
        <f t="shared" si="1250"/>
        <v>-3.1711992183781623E-3</v>
      </c>
    </row>
    <row r="2478" spans="1:6">
      <c r="A2478" s="111">
        <f t="shared" si="1235"/>
        <v>46254</v>
      </c>
      <c r="B2478" s="112">
        <f t="shared" ref="B2478:F2478" si="1251">IFERROR((B1236/B1235-1),"")</f>
        <v>2.8696925329430023E-3</v>
      </c>
      <c r="C2478" s="112">
        <f t="shared" si="1251"/>
        <v>3.8001213391429145E-2</v>
      </c>
      <c r="D2478" s="112">
        <f t="shared" si="1251"/>
        <v>8.5470085470085166E-3</v>
      </c>
      <c r="E2478" s="112">
        <f t="shared" si="1251"/>
        <v>1.7421602787456525E-2</v>
      </c>
      <c r="F2478" s="112">
        <f t="shared" si="1251"/>
        <v>6.3771113409167857E-3</v>
      </c>
    </row>
    <row r="2479" spans="1:6">
      <c r="A2479" s="111">
        <f t="shared" si="1235"/>
        <v>46255</v>
      </c>
      <c r="B2479" s="112">
        <f t="shared" ref="B2479:F2479" si="1252">IFERROR((B1237/B1236-1),"")</f>
        <v>-3.6790469516468916E-3</v>
      </c>
      <c r="C2479" s="112">
        <f t="shared" si="1252"/>
        <v>5.1540913921359621E-3</v>
      </c>
      <c r="D2479" s="112">
        <f t="shared" si="1252"/>
        <v>-4.4915254237287705E-3</v>
      </c>
      <c r="E2479" s="112">
        <f t="shared" si="1252"/>
        <v>-3.2984859408795919E-2</v>
      </c>
      <c r="F2479" s="112">
        <f t="shared" si="1252"/>
        <v>8.3155021180814082E-4</v>
      </c>
    </row>
    <row r="2480" spans="1:6">
      <c r="A2480" s="111">
        <f t="shared" si="1235"/>
        <v>46258</v>
      </c>
      <c r="B2480" s="112">
        <f t="shared" ref="B2480:F2480" si="1253">IFERROR((B1238/B1237-1),"")</f>
        <v>5.5682550846958279E-4</v>
      </c>
      <c r="C2480" s="112">
        <f t="shared" si="1253"/>
        <v>-9.8852883649627188E-3</v>
      </c>
      <c r="D2480" s="112">
        <f t="shared" si="1253"/>
        <v>1.3024602026049159E-2</v>
      </c>
      <c r="E2480" s="112">
        <f t="shared" si="1253"/>
        <v>-1.0065237651444514E-2</v>
      </c>
      <c r="F2480" s="112">
        <f t="shared" si="1253"/>
        <v>-1.3586508329209712E-3</v>
      </c>
    </row>
    <row r="2481" spans="1:6">
      <c r="A2481" s="111">
        <f t="shared" si="1235"/>
        <v>46259</v>
      </c>
      <c r="B2481" s="112">
        <f t="shared" ref="B2481:F2481" si="1254">IFERROR((B1239/B1238-1),"")</f>
        <v>8.4648955800943337E-3</v>
      </c>
      <c r="C2481" s="112">
        <f t="shared" si="1254"/>
        <v>1.0571276027762977E-2</v>
      </c>
      <c r="D2481" s="112">
        <f t="shared" si="1254"/>
        <v>2.9411764705882248E-3</v>
      </c>
      <c r="E2481" s="112">
        <f t="shared" si="1254"/>
        <v>1.3462624741103379E-2</v>
      </c>
      <c r="F2481" s="112">
        <f t="shared" si="1254"/>
        <v>4.7689731843321148E-3</v>
      </c>
    </row>
    <row r="2482" spans="1:6">
      <c r="A2482" s="111">
        <f t="shared" si="1235"/>
        <v>46260</v>
      </c>
      <c r="B2482" s="112">
        <f t="shared" ref="B2482:F2482" si="1255">IFERROR((B1240/B1239-1),"")</f>
        <v>-1.3011908219575985E-2</v>
      </c>
      <c r="C2482" s="112">
        <f t="shared" si="1255"/>
        <v>-6.7624683009298581E-3</v>
      </c>
      <c r="D2482" s="112">
        <f t="shared" si="1255"/>
        <v>-9.6355257645580616E-3</v>
      </c>
      <c r="E2482" s="112">
        <f t="shared" si="1255"/>
        <v>-1.3469577333952598E-2</v>
      </c>
      <c r="F2482" s="112">
        <f t="shared" si="1255"/>
        <v>-5.2106983691910802E-3</v>
      </c>
    </row>
    <row r="2483" spans="1:6">
      <c r="A2483" s="111">
        <f t="shared" si="1235"/>
        <v>46261</v>
      </c>
      <c r="B2483" s="112">
        <f t="shared" ref="B2483:F2483" si="1256">IFERROR((B1241/B1240-1),"")</f>
        <v>-2.006944853157544E-2</v>
      </c>
      <c r="C2483" s="112">
        <f t="shared" si="1256"/>
        <v>1.1595744680851006E-2</v>
      </c>
      <c r="D2483" s="112">
        <f t="shared" si="1256"/>
        <v>-4.230118443316444E-3</v>
      </c>
      <c r="E2483" s="112">
        <f t="shared" si="1256"/>
        <v>-2.2598870056497189E-3</v>
      </c>
      <c r="F2483" s="112">
        <f t="shared" si="1256"/>
        <v>-4.829032024868174E-3</v>
      </c>
    </row>
    <row r="2484" spans="1:6">
      <c r="A2484" s="111">
        <f t="shared" si="1235"/>
        <v>46262</v>
      </c>
      <c r="B2484" s="112">
        <f t="shared" ref="B2484:F2484" si="1257">IFERROR((B1242/B1241-1),"")</f>
        <v>1.2012012012012629E-3</v>
      </c>
      <c r="C2484" s="112">
        <f t="shared" si="1257"/>
        <v>5.9312230518456133E-2</v>
      </c>
      <c r="D2484" s="112">
        <f t="shared" si="1257"/>
        <v>8.4961767204760896E-4</v>
      </c>
      <c r="E2484" s="112">
        <f t="shared" si="1257"/>
        <v>1.9818799546997834E-3</v>
      </c>
      <c r="F2484" s="112">
        <f t="shared" si="1257"/>
        <v>3.5200086339834957E-3</v>
      </c>
    </row>
    <row r="2485" spans="1:6">
      <c r="A2485" s="111">
        <f t="shared" si="1235"/>
        <v>46265</v>
      </c>
      <c r="B2485" s="112">
        <f t="shared" ref="B2485:F2485" si="1258">IFERROR((B1243/B1242-1),"")</f>
        <v>-1.5596880623875209E-2</v>
      </c>
      <c r="C2485" s="112">
        <f t="shared" si="1258"/>
        <v>-1.454383004070281E-2</v>
      </c>
      <c r="D2485" s="112">
        <f t="shared" si="1258"/>
        <v>-2.0033955857385322E-2</v>
      </c>
      <c r="E2485" s="112">
        <f t="shared" si="1258"/>
        <v>-1.1020062164453281E-2</v>
      </c>
      <c r="F2485" s="112">
        <f t="shared" si="1258"/>
        <v>-3.9399147489312947E-3</v>
      </c>
    </row>
    <row r="2487" spans="1:6" ht="18" customHeight="1">
      <c r="A2487" s="109" t="s">
        <v>216</v>
      </c>
      <c r="B2487" s="108"/>
      <c r="C2487" s="108"/>
      <c r="D2487" s="108"/>
      <c r="E2487" s="108"/>
      <c r="F2487" s="108"/>
    </row>
    <row r="2488" spans="1:6">
      <c r="A2488" s="110" t="s">
        <v>217</v>
      </c>
      <c r="B2488" s="110" t="s">
        <v>210</v>
      </c>
      <c r="C2488" s="110" t="s">
        <v>211</v>
      </c>
      <c r="D2488" s="110" t="s">
        <v>212</v>
      </c>
      <c r="E2488" s="110" t="s">
        <v>213</v>
      </c>
      <c r="F2488" s="110" t="s">
        <v>214</v>
      </c>
    </row>
    <row r="2489" spans="1:6">
      <c r="A2489" s="113" t="s">
        <v>218</v>
      </c>
      <c r="B2489" s="114">
        <f>IFERROR(AVERAGE(B1247:B2485),0)</f>
        <v>1.3266429895189894E-3</v>
      </c>
      <c r="C2489" s="114">
        <f>IFERROR(AVERAGE(C1247:C2485),0)</f>
        <v>7.9145309283514952E-4</v>
      </c>
      <c r="D2489" s="114">
        <f>IFERROR(AVERAGE(D1247:D2485),0)</f>
        <v>2.4677925911974333E-4</v>
      </c>
      <c r="E2489" s="114">
        <f>IFERROR(AVERAGE(E1247:E2485),0)</f>
        <v>2.9820801571571736E-4</v>
      </c>
      <c r="F2489" s="114">
        <f>IFERROR(AVERAGE(F1247:F2485),0)</f>
        <v>3.1534607954145782E-4</v>
      </c>
    </row>
    <row r="2490" spans="1:6">
      <c r="A2490" s="115" t="s">
        <v>219</v>
      </c>
      <c r="B2490" s="116">
        <f>B2489*252</f>
        <v>0.33431403335878535</v>
      </c>
      <c r="C2490" s="116">
        <f>C2489*252</f>
        <v>0.19944617939445769</v>
      </c>
      <c r="D2490" s="116">
        <f>D2489*252</f>
        <v>6.2188373298175316E-2</v>
      </c>
      <c r="E2490" s="116">
        <f>E2489*252</f>
        <v>7.5148419960360771E-2</v>
      </c>
      <c r="F2490" s="116">
        <f>F2489*252</f>
        <v>7.9467212044447372E-2</v>
      </c>
    </row>
    <row r="2491" spans="1:6">
      <c r="A2491" s="113" t="s">
        <v>220</v>
      </c>
      <c r="B2491" s="114">
        <f>IFERROR(STDEV(B1247:B2485),0)</f>
        <v>1.7675331772737581E-2</v>
      </c>
      <c r="C2491" s="114">
        <f>IFERROR(STDEV(C1247:C2485),0)</f>
        <v>2.3020564919824082E-2</v>
      </c>
      <c r="D2491" s="114">
        <f>IFERROR(STDEV(D1247:D2485),0)</f>
        <v>1.3565404865729559E-2</v>
      </c>
      <c r="E2491" s="114">
        <f>IFERROR(STDEV(E1247:E2485),0)</f>
        <v>1.2799071580349578E-2</v>
      </c>
      <c r="F2491" s="114">
        <f>IFERROR(STDEV(F1247:F2485),0)</f>
        <v>8.7003889914676648E-3</v>
      </c>
    </row>
    <row r="2492" spans="1:6">
      <c r="A2492" s="115" t="s">
        <v>221</v>
      </c>
      <c r="B2492" s="116">
        <f>B2491*SQRT(252)</f>
        <v>0.28058719326733245</v>
      </c>
      <c r="C2492" s="116">
        <f>C2491*SQRT(252)</f>
        <v>0.36544013890843252</v>
      </c>
      <c r="D2492" s="116">
        <f>D2491*SQRT(252)</f>
        <v>0.21534412625175575</v>
      </c>
      <c r="E2492" s="116">
        <f>E2491*SQRT(252)</f>
        <v>0.20317896248471662</v>
      </c>
      <c r="F2492" s="116">
        <f>F2491*SQRT(252)</f>
        <v>0.13811439348568505</v>
      </c>
    </row>
    <row r="2494" spans="1:6" ht="18" customHeight="1">
      <c r="A2494" s="109" t="s">
        <v>222</v>
      </c>
      <c r="B2494" s="108"/>
      <c r="C2494" s="108"/>
      <c r="D2494" s="108"/>
      <c r="E2494" s="108"/>
      <c r="F2494" s="108"/>
    </row>
    <row r="2495" spans="1:6">
      <c r="A2495" s="110"/>
      <c r="B2495" s="110" t="s">
        <v>210</v>
      </c>
      <c r="C2495" s="110" t="s">
        <v>211</v>
      </c>
      <c r="D2495" s="110" t="s">
        <v>212</v>
      </c>
      <c r="E2495" s="110" t="s">
        <v>213</v>
      </c>
    </row>
    <row r="2496" spans="1:6">
      <c r="A2496" s="115" t="s">
        <v>210</v>
      </c>
      <c r="B2496" s="117">
        <f>IFERROR(COVAR(B1247:B2485,B1247:B2485)*252,0)</f>
        <v>7.8665630513108403E-2</v>
      </c>
      <c r="C2496" s="117">
        <f>IFERROR(COVAR(B1247:B2485,C1247:C2485)*252,0)</f>
        <v>2.1232459001890573E-2</v>
      </c>
      <c r="D2496" s="117">
        <f>IFERROR(COVAR(B1247:B2485,D1247:D2485)*252,0)</f>
        <v>1.3609933082879173E-2</v>
      </c>
      <c r="E2496" s="117">
        <f>IFERROR(COVAR(B1247:B2485,E1247:E2485)*252,0)</f>
        <v>1.3300926302779671E-2</v>
      </c>
    </row>
    <row r="2497" spans="1:8">
      <c r="A2497" s="115" t="s">
        <v>211</v>
      </c>
      <c r="B2497" s="117">
        <f>IFERROR(COVAR(C1247:C2485,B1247:B2485)*252,0)</f>
        <v>2.1232459001890573E-2</v>
      </c>
      <c r="C2497" s="117">
        <f>IFERROR(COVAR(C1247:C2485,C1247:C2485)*252,0)</f>
        <v>0.13343870941506339</v>
      </c>
      <c r="D2497" s="117">
        <f>IFERROR(COVAR(C1247:C2485,D1247:D2485)*252,0)</f>
        <v>1.2630020072695381E-2</v>
      </c>
      <c r="E2497" s="117">
        <f>IFERROR(COVAR(C1247:C2485,E1247:E2485)*252,0)</f>
        <v>8.866783297975989E-3</v>
      </c>
    </row>
    <row r="2498" spans="1:8">
      <c r="A2498" s="115" t="s">
        <v>212</v>
      </c>
      <c r="B2498" s="117">
        <f>IFERROR(COVAR(D1247:D2485,B1247:B2485)*252,0)</f>
        <v>1.3609933082879173E-2</v>
      </c>
      <c r="C2498" s="117">
        <f>IFERROR(COVAR(D1247:D2485,C1247:C2485)*252,0)</f>
        <v>1.2630020072695381E-2</v>
      </c>
      <c r="D2498" s="117">
        <f>IFERROR(COVAR(D1247:D2485,D1247:D2485)*252,0)</f>
        <v>4.6335664871978724E-2</v>
      </c>
      <c r="E2498" s="117">
        <f>IFERROR(COVAR(D1247:D2485,E1247:E2485)*252,0)</f>
        <v>6.1582036157436697E-3</v>
      </c>
    </row>
    <row r="2499" spans="1:8">
      <c r="A2499" s="115" t="s">
        <v>213</v>
      </c>
      <c r="B2499" s="117">
        <f>IFERROR(COVAR(E1247:E2485,B1247:B2485)*252,0)</f>
        <v>1.3300926302779671E-2</v>
      </c>
      <c r="C2499" s="117">
        <f>IFERROR(COVAR(E1247:E2485,C1247:C2485)*252,0)</f>
        <v>8.866783297975989E-3</v>
      </c>
      <c r="D2499" s="117">
        <f>IFERROR(COVAR(E1247:E2485,D1247:D2485)*252,0)</f>
        <v>6.1582036157436697E-3</v>
      </c>
      <c r="E2499" s="117">
        <f>IFERROR(COVAR(E1247:E2485,E1247:E2485)*252,0)</f>
        <v>4.1248372240436537E-2</v>
      </c>
    </row>
    <row r="2501" spans="1:8" ht="18" customHeight="1">
      <c r="A2501" s="109" t="s">
        <v>223</v>
      </c>
      <c r="B2501" s="108"/>
      <c r="C2501" s="108"/>
      <c r="D2501" s="108"/>
      <c r="E2501" s="108"/>
      <c r="F2501" s="108"/>
    </row>
    <row r="2502" spans="1:8">
      <c r="A2502" s="110"/>
      <c r="B2502" s="110" t="s">
        <v>210</v>
      </c>
      <c r="C2502" s="110" t="s">
        <v>211</v>
      </c>
      <c r="D2502" s="110" t="s">
        <v>212</v>
      </c>
      <c r="E2502" s="110" t="s">
        <v>213</v>
      </c>
    </row>
    <row r="2503" spans="1:8">
      <c r="A2503" s="115" t="s">
        <v>210</v>
      </c>
      <c r="B2503" s="118">
        <f>IFERROR(CORREL(B1247:B2485,B1247:B2485),0)</f>
        <v>1.0000000000000002</v>
      </c>
      <c r="C2503" s="118">
        <f>IFERROR(CORREL(B1247:B2485,C1247:C2485),0)</f>
        <v>0.20723679338415715</v>
      </c>
      <c r="D2503" s="118">
        <f>IFERROR(CORREL(B1247:B2485,D1247:D2485),0)</f>
        <v>0.22542691949874205</v>
      </c>
      <c r="E2503" s="118">
        <f>IFERROR(CORREL(B1247:B2485,E1247:E2485),0)</f>
        <v>0.23349950579905748</v>
      </c>
    </row>
    <row r="2504" spans="1:8">
      <c r="A2504" s="115" t="s">
        <v>211</v>
      </c>
      <c r="B2504" s="118">
        <f>IFERROR(CORREL(C1247:C2485,B1247:B2485),0)</f>
        <v>0.20723679338415715</v>
      </c>
      <c r="C2504" s="118">
        <f>IFERROR(CORREL(C1247:C2485,C1247:C2485),0)</f>
        <v>1.0000000000000002</v>
      </c>
      <c r="D2504" s="118">
        <f>IFERROR(CORREL(C1247:C2485,D1247:D2485),0)</f>
        <v>0.16062214627110658</v>
      </c>
      <c r="E2504" s="118">
        <f>IFERROR(CORREL(C1247:C2485,E1247:E2485),0)</f>
        <v>0.11951482244582697</v>
      </c>
    </row>
    <row r="2505" spans="1:8">
      <c r="A2505" s="115" t="s">
        <v>212</v>
      </c>
      <c r="B2505" s="118">
        <f>IFERROR(CORREL(D1247:D2485,B1247:B2485),0)</f>
        <v>0.22542691949874205</v>
      </c>
      <c r="C2505" s="118">
        <f>IFERROR(CORREL(D1247:D2485,C1247:C2485),0)</f>
        <v>0.16062214627110658</v>
      </c>
      <c r="D2505" s="118">
        <f>IFERROR(CORREL(D1247:D2485,D1247:D2485),0)</f>
        <v>1</v>
      </c>
      <c r="E2505" s="118">
        <f>IFERROR(CORREL(D1247:D2485,E1247:E2485),0)</f>
        <v>0.14086170387970084</v>
      </c>
    </row>
    <row r="2506" spans="1:8">
      <c r="A2506" s="115" t="s">
        <v>213</v>
      </c>
      <c r="B2506" s="118">
        <f>IFERROR(CORREL(E1247:E2485,B1247:B2485),0)</f>
        <v>0.23349950579905748</v>
      </c>
      <c r="C2506" s="118">
        <f>IFERROR(CORREL(E1247:E2485,C1247:C2485),0)</f>
        <v>0.11951482244582697</v>
      </c>
      <c r="D2506" s="118">
        <f>IFERROR(CORREL(E1247:E2485,D1247:D2485),0)</f>
        <v>0.14086170387970084</v>
      </c>
      <c r="E2506" s="118">
        <f>IFERROR(CORREL(E1247:E2485,E1247:E2485),0)</f>
        <v>0.99999999999999989</v>
      </c>
    </row>
    <row r="2507" spans="1:8">
      <c r="A2507" s="15"/>
      <c r="B2507" s="15"/>
      <c r="C2507" s="15"/>
      <c r="D2507" s="15"/>
      <c r="E2507" s="15"/>
      <c r="F2507" s="15"/>
      <c r="G2507" s="15"/>
      <c r="H2507" s="15"/>
    </row>
    <row r="2508" spans="1:8">
      <c r="A2508" s="15"/>
      <c r="B2508" s="15"/>
      <c r="C2508" s="15"/>
      <c r="D2508" s="15"/>
      <c r="E2508" s="15"/>
      <c r="F2508" s="15"/>
      <c r="G2508" s="15"/>
      <c r="H2508" s="15"/>
    </row>
    <row r="2509" spans="1:8" ht="18" customHeight="1">
      <c r="A2509" s="109" t="s">
        <v>224</v>
      </c>
      <c r="B2509" s="108"/>
      <c r="C2509" s="108"/>
      <c r="D2509" s="108"/>
      <c r="E2509" s="108"/>
      <c r="F2509" s="108"/>
      <c r="G2509" s="108"/>
      <c r="H2509" s="108"/>
    </row>
    <row r="2510" spans="1:8" ht="26.45" customHeight="1">
      <c r="A2510" s="110" t="s">
        <v>225</v>
      </c>
      <c r="B2510" s="110" t="s">
        <v>226</v>
      </c>
      <c r="C2510" s="110" t="s">
        <v>227</v>
      </c>
      <c r="D2510" s="15"/>
      <c r="E2510" s="15"/>
      <c r="F2510" s="15"/>
      <c r="G2510" s="15"/>
      <c r="H2510" s="15"/>
    </row>
    <row r="2511" spans="1:8">
      <c r="A2511" s="115" t="s">
        <v>210</v>
      </c>
      <c r="B2511" s="118">
        <f>IFERROR(SLOPE(B1247:B2485,$F$1247:$F$2485),1)</f>
        <v>1.1855034556833719</v>
      </c>
      <c r="C2511" s="118">
        <f>IFERROR(CORREL(B1247:B2485,$F$1247:$F$2485),0)</f>
        <v>0.58354441929533241</v>
      </c>
      <c r="D2511" s="16"/>
      <c r="E2511" s="16"/>
      <c r="F2511" s="15"/>
      <c r="G2511" s="15"/>
      <c r="H2511" s="15"/>
    </row>
    <row r="2512" spans="1:8">
      <c r="A2512" s="115" t="s">
        <v>211</v>
      </c>
      <c r="B2512" s="118">
        <f>IFERROR(SLOPE(C1247:C2485,$F$1247:$F$2485),1)</f>
        <v>1.1245596511568199</v>
      </c>
      <c r="C2512" s="118">
        <f>IFERROR(CORREL(C1247:C2485,$F$1247:$F$2485),0)</f>
        <v>0.42501591265242777</v>
      </c>
      <c r="D2512" s="15"/>
      <c r="E2512" s="15"/>
      <c r="F2512" s="15"/>
      <c r="G2512" s="15"/>
      <c r="H2512" s="15"/>
    </row>
    <row r="2513" spans="1:8">
      <c r="A2513" s="115" t="s">
        <v>212</v>
      </c>
      <c r="B2513" s="118">
        <f>IFERROR(SLOPE(D1247:D2485,$F$1247:$F$2485),1)</f>
        <v>0.5289974531558439</v>
      </c>
      <c r="C2513" s="118">
        <f>IFERROR(CORREL(D1247:D2485,$F$1247:$F$2485),0)</f>
        <v>0.33928096238239369</v>
      </c>
      <c r="D2513" s="15"/>
      <c r="E2513" s="15"/>
      <c r="F2513" s="15"/>
      <c r="G2513" s="15"/>
      <c r="H2513" s="15"/>
    </row>
    <row r="2514" spans="1:8">
      <c r="A2514" s="115" t="s">
        <v>213</v>
      </c>
      <c r="B2514" s="118">
        <f>IFERROR(SLOPE(E1247:E2485,$F$1247:$F$2485),1)</f>
        <v>0.50853000879572485</v>
      </c>
      <c r="C2514" s="118">
        <f>IFERROR(CORREL(E1247:E2485,$F$1247:$F$2485),0)</f>
        <v>0.34568201783870633</v>
      </c>
      <c r="D2514" s="15"/>
      <c r="E2514" s="15"/>
      <c r="F2514" s="15"/>
      <c r="G2514" s="15"/>
      <c r="H2514" s="15"/>
    </row>
    <row r="2515" spans="1:8">
      <c r="A2515" s="15"/>
      <c r="B2515" s="17"/>
      <c r="C2515" s="15"/>
      <c r="D2515" s="15"/>
      <c r="E2515" s="15"/>
      <c r="F2515" s="15"/>
      <c r="G2515" s="15"/>
      <c r="H2515" s="15"/>
    </row>
    <row r="2516" spans="1:8" ht="18" customHeight="1">
      <c r="A2516" s="109" t="s">
        <v>228</v>
      </c>
      <c r="B2516" s="108"/>
      <c r="C2516" s="108"/>
      <c r="D2516" s="108"/>
      <c r="E2516" s="108"/>
      <c r="F2516" s="108"/>
      <c r="G2516" s="108"/>
      <c r="H2516" s="108"/>
    </row>
    <row r="2517" spans="1:8" ht="26.45" customHeight="1">
      <c r="A2517" s="110" t="s">
        <v>225</v>
      </c>
      <c r="B2517" s="119" t="s">
        <v>229</v>
      </c>
      <c r="C2517" s="110" t="s">
        <v>230</v>
      </c>
      <c r="D2517" s="110" t="s">
        <v>231</v>
      </c>
      <c r="E2517" s="15"/>
      <c r="F2517" s="15"/>
      <c r="G2517" s="15"/>
      <c r="H2517" s="15"/>
    </row>
    <row r="2518" spans="1:8">
      <c r="A2518" s="115" t="s">
        <v>210</v>
      </c>
      <c r="B2518" s="120">
        <f>B2490</f>
        <v>0.33431403335878535</v>
      </c>
      <c r="C2518" s="120">
        <f>B2492</f>
        <v>0.28058719326733245</v>
      </c>
      <c r="D2518" s="121">
        <f>IFERROR((B2518-$B$2531)/C2518,"")</f>
        <v>0.94556715247514722</v>
      </c>
      <c r="E2518" s="15"/>
      <c r="F2518" s="15"/>
      <c r="G2518" s="15"/>
      <c r="H2518" s="15"/>
    </row>
    <row r="2519" spans="1:8">
      <c r="A2519" s="115" t="s">
        <v>211</v>
      </c>
      <c r="B2519" s="120">
        <f>C2490</f>
        <v>0.19944617939445769</v>
      </c>
      <c r="C2519" s="120">
        <f>C2492</f>
        <v>0.36544013890843252</v>
      </c>
      <c r="D2519" s="121">
        <f>IFERROR((B2519-$B$2531)/C2519,"")</f>
        <v>0.35695635346489202</v>
      </c>
      <c r="E2519" s="15"/>
      <c r="F2519" s="15"/>
      <c r="G2519" s="15"/>
      <c r="H2519" s="15"/>
    </row>
    <row r="2520" spans="1:8">
      <c r="A2520" s="115" t="s">
        <v>212</v>
      </c>
      <c r="B2520" s="120">
        <f>D2490</f>
        <v>6.2188373298175316E-2</v>
      </c>
      <c r="C2520" s="120">
        <f>D2492</f>
        <v>0.21534412625175575</v>
      </c>
      <c r="D2520" s="121">
        <f>IFERROR((B2520-$B$2531)/C2520,"")</f>
        <v>-3.1631355915699849E-2</v>
      </c>
      <c r="E2520" s="15"/>
      <c r="F2520" s="15"/>
      <c r="G2520" s="15"/>
      <c r="H2520" s="15"/>
    </row>
    <row r="2521" spans="1:8">
      <c r="A2521" s="115" t="s">
        <v>213</v>
      </c>
      <c r="B2521" s="120">
        <f>E2490</f>
        <v>7.5148419960360771E-2</v>
      </c>
      <c r="C2521" s="120">
        <f>E2492</f>
        <v>0.20317896248471662</v>
      </c>
      <c r="D2521" s="121">
        <f>IFERROR((B2521-$B$2531)/C2521,"")</f>
        <v>3.0261105210748665E-2</v>
      </c>
      <c r="E2521" s="15"/>
      <c r="F2521" s="15"/>
      <c r="G2521" s="15"/>
      <c r="H2521" s="15"/>
    </row>
    <row r="2522" spans="1:8">
      <c r="A2522" s="15"/>
      <c r="B2522" s="15"/>
      <c r="C2522" s="15"/>
      <c r="D2522" s="15"/>
      <c r="E2522" s="15"/>
      <c r="F2522" s="15"/>
      <c r="G2522" s="15"/>
      <c r="H2522" s="15"/>
    </row>
    <row r="2523" spans="1:8" ht="18" customHeight="1">
      <c r="A2523" s="109" t="s">
        <v>232</v>
      </c>
      <c r="B2523" s="108"/>
      <c r="C2523" s="108"/>
      <c r="D2523" s="108"/>
      <c r="E2523" s="108"/>
      <c r="F2523" s="108"/>
      <c r="G2523" s="108"/>
      <c r="H2523" s="108"/>
    </row>
    <row r="2524" spans="1:8">
      <c r="A2524" s="110" t="s">
        <v>217</v>
      </c>
      <c r="B2524" s="110" t="s">
        <v>210</v>
      </c>
      <c r="C2524" s="110" t="s">
        <v>211</v>
      </c>
      <c r="D2524" s="110" t="s">
        <v>212</v>
      </c>
      <c r="E2524" s="110" t="s">
        <v>213</v>
      </c>
      <c r="F2524" s="18" t="s">
        <v>233</v>
      </c>
      <c r="G2524" s="19">
        <v>1</v>
      </c>
      <c r="H2524" s="15"/>
    </row>
    <row r="2525" spans="1:8">
      <c r="A2525" s="115" t="s">
        <v>234</v>
      </c>
      <c r="B2525" s="122">
        <v>0.4</v>
      </c>
      <c r="C2525" s="122">
        <v>0.27839848040663623</v>
      </c>
      <c r="D2525" s="122">
        <v>9.1437014870120362E-2</v>
      </c>
      <c r="E2525" s="122">
        <v>0.23016450065725455</v>
      </c>
      <c r="F2525" s="18" t="s">
        <v>235</v>
      </c>
      <c r="G2525" s="19">
        <v>0.05</v>
      </c>
      <c r="H2525" s="18"/>
    </row>
    <row r="2526" spans="1:8">
      <c r="A2526" s="115" t="s">
        <v>236</v>
      </c>
      <c r="B2526" s="123">
        <f>SUM(B2525:E2525)</f>
        <v>0.99999999593401123</v>
      </c>
      <c r="C2526" s="108"/>
      <c r="D2526" s="108"/>
      <c r="E2526" s="108"/>
      <c r="F2526" s="18" t="s">
        <v>237</v>
      </c>
      <c r="G2526" s="19">
        <v>0.4</v>
      </c>
    </row>
    <row r="2527" spans="1:8">
      <c r="A2527" s="15"/>
      <c r="B2527" s="15"/>
      <c r="C2527" s="15"/>
      <c r="D2527" s="15"/>
      <c r="E2527" s="15"/>
      <c r="F2527" s="15"/>
      <c r="G2527" s="15"/>
      <c r="H2527" s="15"/>
    </row>
    <row r="2528" spans="1:8">
      <c r="A2528" s="115" t="s">
        <v>238</v>
      </c>
      <c r="B2528" s="124">
        <f>IFERROR(SUMPRODUCT(B2525:E2525,B2490:E2490),0)</f>
        <v>0.21223394437921247</v>
      </c>
      <c r="C2528" s="20"/>
      <c r="D2528" s="15"/>
      <c r="E2528" s="15"/>
      <c r="F2528" s="15"/>
      <c r="G2528" s="15"/>
      <c r="H2528" s="15"/>
    </row>
    <row r="2529" spans="1:8" ht="26.45" customHeight="1">
      <c r="A2529" s="125" t="s">
        <v>239</v>
      </c>
      <c r="B2529" s="126">
        <f>IFERROR(B2525^2*B2496 + C2525^2*C2497 + D2525^2*D2498 + E2525^2*E2499 + 2*B2525*C2525*C2496 + 2*B2525*D2525*D2496 + 2*B2525*E2525*E2496 + 2*C2525*D2525*D2497 + 2*C2525*E2525*E2497 + 2*D2525*E2525*E2498,0)</f>
        <v>3.5713419120082815E-2</v>
      </c>
      <c r="C2529" s="20"/>
      <c r="D2529" s="15"/>
      <c r="E2529" s="15"/>
      <c r="F2529" s="15"/>
      <c r="G2529" s="15"/>
      <c r="H2529" s="15"/>
    </row>
    <row r="2530" spans="1:8">
      <c r="A2530" s="115" t="s">
        <v>240</v>
      </c>
      <c r="B2530" s="124">
        <f>IFERROR(SQRT(B2529),0)</f>
        <v>0.18897994369795651</v>
      </c>
      <c r="C2530" s="20"/>
      <c r="D2530" s="15"/>
      <c r="E2530" s="15"/>
      <c r="F2530" s="15"/>
      <c r="G2530" s="15"/>
      <c r="H2530" s="15"/>
    </row>
    <row r="2531" spans="1:8">
      <c r="A2531" s="115" t="s">
        <v>241</v>
      </c>
      <c r="B2531" s="120">
        <f>'Economic &amp; Industry Inputs'!$B$5</f>
        <v>6.9000000000000006E-2</v>
      </c>
      <c r="C2531" s="20"/>
      <c r="D2531" s="15"/>
      <c r="E2531" s="15"/>
      <c r="F2531" s="15"/>
      <c r="G2531" s="15"/>
      <c r="H2531" s="15"/>
    </row>
    <row r="2532" spans="1:8">
      <c r="A2532" s="115" t="s">
        <v>242</v>
      </c>
      <c r="B2532" s="121">
        <f>IFERROR((B2528-B2531)/B2530,"")</f>
        <v>0.75793198778882531</v>
      </c>
      <c r="C2532" s="15"/>
      <c r="D2532" s="15"/>
      <c r="E2532" s="15"/>
      <c r="F2532" s="15"/>
      <c r="G2532" s="15"/>
      <c r="H2532" s="15"/>
    </row>
    <row r="2533" spans="1:8">
      <c r="A2533" s="115" t="s">
        <v>243</v>
      </c>
      <c r="B2533" s="121">
        <f>IFERROR(B2525*B2511+C2525*B2512+D2525*B2513+E2525*B2514,1)</f>
        <v>0.95269258381618838</v>
      </c>
      <c r="C2533" s="15"/>
      <c r="D2533" s="15"/>
      <c r="E2533" s="15"/>
      <c r="F2533" s="15"/>
      <c r="G2533" s="15"/>
      <c r="H2533" s="15"/>
    </row>
    <row r="2534" spans="1:8" ht="26.45" customHeight="1">
      <c r="A2534" s="115" t="s">
        <v>244</v>
      </c>
      <c r="B2534" s="120">
        <f>F2490</f>
        <v>7.9467212044447372E-2</v>
      </c>
      <c r="C2534" s="15"/>
      <c r="D2534" s="15"/>
      <c r="E2534" s="15"/>
      <c r="F2534" s="15"/>
      <c r="G2534" s="15"/>
      <c r="H2534" s="15"/>
    </row>
    <row r="2535" spans="1:8">
      <c r="A2535" s="115" t="s">
        <v>245</v>
      </c>
      <c r="B2535" s="121">
        <f>IFERROR((B2528-B2531)/B2533,"")</f>
        <v>0.15034644628539262</v>
      </c>
      <c r="C2535" s="15"/>
      <c r="D2535" s="15"/>
      <c r="E2535" s="15"/>
      <c r="F2535" s="15"/>
      <c r="G2535" s="15"/>
      <c r="H2535" s="15"/>
    </row>
    <row r="2536" spans="1:8">
      <c r="A2536" s="115" t="s">
        <v>246</v>
      </c>
      <c r="B2536" s="124">
        <f>IFERROR(B2528-(B2531+B2533*(B2534-B2531)),"")</f>
        <v>0.13326190909123597</v>
      </c>
      <c r="C2536" s="15"/>
      <c r="D2536" s="15"/>
      <c r="E2536" s="15"/>
      <c r="F2536" s="15"/>
      <c r="G2536" s="15"/>
      <c r="H2536" s="15"/>
    </row>
    <row r="2537" spans="1:8">
      <c r="A2537" s="15"/>
      <c r="B2537" s="15"/>
      <c r="C2537" s="15"/>
      <c r="D2537" s="15"/>
      <c r="E2537" s="15"/>
      <c r="F2537" s="15"/>
      <c r="G2537" s="15"/>
      <c r="H2537" s="15"/>
    </row>
    <row r="2539" spans="1:8">
      <c r="A2539" s="127" t="s">
        <v>247</v>
      </c>
    </row>
  </sheetData>
  <mergeCells count="10">
    <mergeCell ref="A1:F1"/>
    <mergeCell ref="A2487:F2487"/>
    <mergeCell ref="A2516:H2516"/>
    <mergeCell ref="B2526:E2526"/>
    <mergeCell ref="A2523:H2523"/>
    <mergeCell ref="A2501:F2501"/>
    <mergeCell ref="A2:F2"/>
    <mergeCell ref="A1245:F1245"/>
    <mergeCell ref="A2494:F2494"/>
    <mergeCell ref="A2509:H250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3"/>
  <sheetViews>
    <sheetView showGridLines="0" topLeftCell="A19" workbookViewId="0">
      <selection activeCell="B31" sqref="B31"/>
    </sheetView>
  </sheetViews>
  <sheetFormatPr defaultRowHeight="14.45"/>
  <cols>
    <col min="1" max="1" width="28" customWidth="1"/>
    <col min="2" max="2" width="98.7109375" customWidth="1"/>
  </cols>
  <sheetData>
    <row r="1" spans="1:3" ht="22.15" customHeight="1">
      <c r="A1" s="48" t="s">
        <v>248</v>
      </c>
      <c r="B1" s="55"/>
    </row>
    <row r="3" spans="1:3" ht="18" customHeight="1">
      <c r="A3" s="56" t="s">
        <v>249</v>
      </c>
      <c r="B3" s="55"/>
    </row>
    <row r="4" spans="1:3">
      <c r="A4" s="47"/>
      <c r="B4" s="55"/>
    </row>
    <row r="5" spans="1:3" ht="55.15" customHeight="1">
      <c r="A5" s="68" t="s">
        <v>250</v>
      </c>
      <c r="B5" s="29" t="s">
        <v>251</v>
      </c>
    </row>
    <row r="6" spans="1:3" ht="271.89999999999998" customHeight="1">
      <c r="A6" s="128" t="s">
        <v>252</v>
      </c>
      <c r="B6" s="29" t="s">
        <v>253</v>
      </c>
    </row>
    <row r="7" spans="1:3" ht="72">
      <c r="A7" s="128" t="s">
        <v>254</v>
      </c>
      <c r="B7" s="41" t="s">
        <v>255</v>
      </c>
    </row>
    <row r="8" spans="1:3" ht="109.9" customHeight="1">
      <c r="A8" s="128" t="s">
        <v>256</v>
      </c>
      <c r="B8" s="29" t="s">
        <v>257</v>
      </c>
    </row>
    <row r="9" spans="1:3" ht="86.45">
      <c r="A9" s="32" t="s">
        <v>258</v>
      </c>
      <c r="B9" s="22" t="s">
        <v>259</v>
      </c>
      <c r="C9" s="33"/>
    </row>
    <row r="10" spans="1:3" ht="26.45">
      <c r="A10" s="39" t="s">
        <v>260</v>
      </c>
      <c r="B10" s="37" t="s">
        <v>261</v>
      </c>
      <c r="C10" s="40"/>
    </row>
    <row r="11" spans="1:3">
      <c r="A11" s="36" t="s">
        <v>225</v>
      </c>
      <c r="B11" s="36" t="s">
        <v>262</v>
      </c>
      <c r="C11" s="34" t="s">
        <v>263</v>
      </c>
    </row>
    <row r="12" spans="1:3" ht="43.15">
      <c r="A12" s="38" t="s">
        <v>210</v>
      </c>
      <c r="B12" s="22" t="s">
        <v>264</v>
      </c>
      <c r="C12" s="35">
        <v>0.4</v>
      </c>
    </row>
    <row r="13" spans="1:3" ht="57.6">
      <c r="A13" s="38" t="s">
        <v>211</v>
      </c>
      <c r="B13" s="22" t="s">
        <v>265</v>
      </c>
      <c r="C13" s="35">
        <v>0.25</v>
      </c>
    </row>
    <row r="14" spans="1:3" ht="43.15">
      <c r="A14" s="38" t="s">
        <v>266</v>
      </c>
      <c r="B14" s="22" t="s">
        <v>267</v>
      </c>
      <c r="C14" s="35">
        <v>0.1</v>
      </c>
    </row>
    <row r="15" spans="1:3" ht="43.15">
      <c r="A15" s="38" t="s">
        <v>213</v>
      </c>
      <c r="B15" s="22" t="s">
        <v>268</v>
      </c>
      <c r="C15" s="35">
        <v>0.25</v>
      </c>
    </row>
    <row r="16" spans="1:3">
      <c r="A16" s="31"/>
      <c r="B16" s="30"/>
    </row>
    <row r="17" spans="1:3">
      <c r="A17" s="31"/>
      <c r="B17" s="30"/>
    </row>
    <row r="18" spans="1:3" ht="18" customHeight="1">
      <c r="A18" s="129" t="s">
        <v>269</v>
      </c>
      <c r="B18" s="55"/>
    </row>
    <row r="19" spans="1:3">
      <c r="A19" s="42" t="s">
        <v>270</v>
      </c>
      <c r="B19" s="42" t="s">
        <v>271</v>
      </c>
    </row>
    <row r="20" spans="1:3" ht="58.9" customHeight="1">
      <c r="A20" s="44" t="s">
        <v>210</v>
      </c>
      <c r="B20" s="44" t="s">
        <v>272</v>
      </c>
    </row>
    <row r="21" spans="1:3" ht="43.15">
      <c r="A21" s="44" t="s">
        <v>211</v>
      </c>
      <c r="B21" s="44" t="s">
        <v>273</v>
      </c>
    </row>
    <row r="22" spans="1:3" ht="43.15">
      <c r="A22" s="44" t="s">
        <v>274</v>
      </c>
      <c r="B22" s="44" t="s">
        <v>275</v>
      </c>
    </row>
    <row r="23" spans="1:3" ht="43.15">
      <c r="A23" s="44" t="s">
        <v>213</v>
      </c>
      <c r="B23" s="44" t="s">
        <v>276</v>
      </c>
    </row>
    <row r="25" spans="1:3">
      <c r="A25" s="52" t="s">
        <v>277</v>
      </c>
      <c r="B25" s="52"/>
      <c r="C25" s="52"/>
    </row>
    <row r="26" spans="1:3">
      <c r="A26" s="52"/>
      <c r="B26" s="52"/>
      <c r="C26" s="52"/>
    </row>
    <row r="27" spans="1:3">
      <c r="A27" s="52"/>
      <c r="B27" s="52"/>
      <c r="C27" s="52"/>
    </row>
    <row r="28" spans="1:3" ht="16.149999999999999" customHeight="1">
      <c r="A28" s="52"/>
      <c r="B28" s="52"/>
      <c r="C28" s="52"/>
    </row>
    <row r="30" spans="1:3" ht="43.15" customHeight="1">
      <c r="A30" s="51" t="s">
        <v>278</v>
      </c>
      <c r="B30" s="51"/>
      <c r="C30" s="51"/>
    </row>
    <row r="31" spans="1:3" ht="55.15" customHeight="1"/>
    <row r="32" spans="1:3" ht="60" customHeight="1"/>
    <row r="33" ht="109.9" customHeight="1"/>
  </sheetData>
  <mergeCells count="6">
    <mergeCell ref="A30:C30"/>
    <mergeCell ref="A4:B4"/>
    <mergeCell ref="A1:B1"/>
    <mergeCell ref="A18:B18"/>
    <mergeCell ref="A3:B3"/>
    <mergeCell ref="A25:C2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showGridLines="0" topLeftCell="A16" zoomScale="220" zoomScaleNormal="220" workbookViewId="0">
      <selection activeCell="B17" sqref="B17"/>
    </sheetView>
  </sheetViews>
  <sheetFormatPr defaultRowHeight="14.45"/>
  <cols>
    <col min="1" max="1" width="22" customWidth="1"/>
    <col min="2" max="4" width="34" customWidth="1"/>
  </cols>
  <sheetData>
    <row r="1" spans="1:8" ht="22.15" customHeight="1">
      <c r="A1" s="53" t="s">
        <v>279</v>
      </c>
      <c r="B1" s="53"/>
      <c r="C1" s="53"/>
      <c r="E1" s="21"/>
      <c r="F1" s="21"/>
      <c r="G1" s="21"/>
      <c r="H1" s="21"/>
    </row>
    <row r="2" spans="1:8">
      <c r="A2" s="42" t="s">
        <v>270</v>
      </c>
      <c r="B2" s="42" t="s">
        <v>280</v>
      </c>
      <c r="C2" s="42" t="s">
        <v>281</v>
      </c>
      <c r="D2" s="21"/>
      <c r="E2" s="21"/>
      <c r="F2" s="21"/>
      <c r="G2" s="21"/>
      <c r="H2" s="21"/>
    </row>
    <row r="3" spans="1:8" ht="43.15">
      <c r="A3" s="44" t="s">
        <v>210</v>
      </c>
      <c r="B3" s="43" t="s">
        <v>282</v>
      </c>
      <c r="C3" s="43" t="s">
        <v>283</v>
      </c>
      <c r="D3" s="45"/>
      <c r="E3" s="21"/>
      <c r="F3" s="21"/>
      <c r="G3" s="21"/>
      <c r="H3" s="21"/>
    </row>
    <row r="4" spans="1:8" s="22" customFormat="1" ht="43.15">
      <c r="A4" s="44" t="s">
        <v>211</v>
      </c>
      <c r="B4" s="43" t="s">
        <v>284</v>
      </c>
      <c r="C4" s="43" t="s">
        <v>285</v>
      </c>
      <c r="D4" s="21"/>
      <c r="E4" s="21"/>
      <c r="F4" s="21"/>
      <c r="G4" s="21"/>
      <c r="H4" s="21"/>
    </row>
    <row r="5" spans="1:8" ht="43.15">
      <c r="A5" s="44" t="s">
        <v>274</v>
      </c>
      <c r="B5" s="43" t="s">
        <v>286</v>
      </c>
      <c r="C5" s="43" t="s">
        <v>287</v>
      </c>
      <c r="D5" s="21"/>
      <c r="E5" s="21"/>
      <c r="F5" s="21"/>
      <c r="G5" s="21"/>
      <c r="H5" s="21"/>
    </row>
    <row r="6" spans="1:8" ht="28.9">
      <c r="A6" s="44" t="s">
        <v>213</v>
      </c>
      <c r="B6" s="43" t="s">
        <v>288</v>
      </c>
      <c r="C6" s="43" t="s">
        <v>289</v>
      </c>
      <c r="D6" s="21"/>
      <c r="E6" s="21"/>
      <c r="F6" s="21"/>
      <c r="G6" s="21"/>
      <c r="H6" s="21"/>
    </row>
    <row r="7" spans="1:8">
      <c r="A7" s="21"/>
      <c r="B7" s="21"/>
      <c r="C7" s="21"/>
      <c r="D7" s="21"/>
      <c r="E7" s="21"/>
      <c r="F7" s="21"/>
      <c r="G7" s="21"/>
      <c r="H7" s="21"/>
    </row>
    <row r="8" spans="1:8" ht="22.15" customHeight="1">
      <c r="A8" s="53" t="s">
        <v>290</v>
      </c>
      <c r="B8" s="53"/>
      <c r="C8" s="53"/>
      <c r="E8" s="21"/>
      <c r="F8" s="21"/>
      <c r="G8" s="21"/>
      <c r="H8" s="21"/>
    </row>
    <row r="9" spans="1:8">
      <c r="A9" s="42" t="s">
        <v>291</v>
      </c>
      <c r="B9" s="42" t="s">
        <v>292</v>
      </c>
      <c r="C9" s="42" t="s">
        <v>293</v>
      </c>
      <c r="D9" s="21"/>
      <c r="E9" s="21"/>
      <c r="F9" s="21"/>
      <c r="G9" s="21"/>
      <c r="H9" s="21"/>
    </row>
    <row r="10" spans="1:8" ht="57.6">
      <c r="A10" s="43" t="s">
        <v>294</v>
      </c>
      <c r="B10" s="43" t="s">
        <v>295</v>
      </c>
      <c r="C10" s="43" t="s">
        <v>296</v>
      </c>
      <c r="D10" s="21"/>
      <c r="E10" s="21"/>
      <c r="F10" s="21"/>
      <c r="G10" s="21"/>
      <c r="H10" s="21"/>
    </row>
    <row r="11" spans="1:8" ht="57.6">
      <c r="A11" s="43" t="s">
        <v>297</v>
      </c>
      <c r="B11" s="43" t="s">
        <v>298</v>
      </c>
      <c r="C11" s="43" t="s">
        <v>299</v>
      </c>
      <c r="D11" s="21"/>
      <c r="E11" s="21"/>
      <c r="F11" s="21"/>
      <c r="G11" s="21"/>
      <c r="H11" s="21"/>
    </row>
    <row r="12" spans="1:8" ht="57.6">
      <c r="A12" s="43" t="s">
        <v>300</v>
      </c>
      <c r="B12" s="43" t="s">
        <v>301</v>
      </c>
      <c r="C12" s="43" t="s">
        <v>302</v>
      </c>
      <c r="D12" s="21"/>
      <c r="E12" s="21"/>
      <c r="F12" s="21"/>
      <c r="G12" s="21"/>
      <c r="H12" s="21"/>
    </row>
    <row r="13" spans="1:8" ht="57.6">
      <c r="A13" s="43" t="s">
        <v>303</v>
      </c>
      <c r="B13" s="43" t="s">
        <v>304</v>
      </c>
      <c r="C13" s="43" t="s">
        <v>305</v>
      </c>
      <c r="D13" s="21"/>
      <c r="E13" s="21"/>
      <c r="F13" s="21"/>
      <c r="G13" s="21"/>
      <c r="H13" s="21"/>
    </row>
    <row r="14" spans="1:8" ht="57.6">
      <c r="A14" s="43" t="s">
        <v>306</v>
      </c>
      <c r="B14" s="43" t="s">
        <v>307</v>
      </c>
      <c r="C14" s="43" t="s">
        <v>308</v>
      </c>
      <c r="D14" s="21"/>
      <c r="E14" s="21"/>
      <c r="F14" s="21"/>
      <c r="G14" s="21"/>
      <c r="H14" s="21"/>
    </row>
    <row r="15" spans="1:8" ht="57.6">
      <c r="A15" s="43" t="s">
        <v>309</v>
      </c>
      <c r="B15" s="43" t="s">
        <v>310</v>
      </c>
      <c r="C15" s="43" t="s">
        <v>311</v>
      </c>
      <c r="D15" s="21"/>
      <c r="E15" s="21"/>
      <c r="F15" s="21"/>
      <c r="G15" s="21"/>
      <c r="H15" s="21"/>
    </row>
    <row r="16" spans="1:8" ht="43.15">
      <c r="A16" s="43" t="s">
        <v>312</v>
      </c>
      <c r="B16" s="43" t="s">
        <v>313</v>
      </c>
      <c r="C16" s="43" t="s">
        <v>314</v>
      </c>
      <c r="D16" s="21"/>
      <c r="E16" s="21"/>
      <c r="F16" s="21"/>
      <c r="G16" s="21"/>
      <c r="H16" s="21"/>
    </row>
    <row r="17" spans="1:8" ht="43.15">
      <c r="A17" s="43" t="s">
        <v>315</v>
      </c>
      <c r="B17" s="43" t="s">
        <v>316</v>
      </c>
      <c r="C17" s="43" t="s">
        <v>317</v>
      </c>
      <c r="D17" s="21"/>
      <c r="E17" s="21"/>
      <c r="F17" s="21"/>
      <c r="G17" s="21"/>
      <c r="H17" s="21"/>
    </row>
    <row r="18" spans="1:8">
      <c r="A18" s="21"/>
      <c r="B18" s="21"/>
      <c r="C18" s="21"/>
      <c r="D18" s="21"/>
      <c r="E18" s="21"/>
      <c r="F18" s="21"/>
      <c r="G18" s="21"/>
      <c r="H18" s="21"/>
    </row>
    <row r="19" spans="1:8" ht="43.15" customHeight="1">
      <c r="A19" s="54" t="s">
        <v>318</v>
      </c>
      <c r="B19" s="54"/>
      <c r="C19" s="54"/>
    </row>
  </sheetData>
  <mergeCells count="3">
    <mergeCell ref="A1:C1"/>
    <mergeCell ref="A8:C8"/>
    <mergeCell ref="A19:C1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6"/>
  <sheetViews>
    <sheetView showGridLines="0" workbookViewId="0">
      <pane ySplit="2" topLeftCell="A24" activePane="bottomLeft" state="frozen"/>
      <selection pane="bottomLeft" activeCell="A10" sqref="A10:I10"/>
      <selection activeCell="D2356" sqref="D2356"/>
    </sheetView>
  </sheetViews>
  <sheetFormatPr defaultRowHeight="14.45"/>
  <cols>
    <col min="1" max="1" width="26" customWidth="1"/>
    <col min="2" max="3" width="16" customWidth="1"/>
    <col min="4" max="4" width="22.5703125" customWidth="1"/>
    <col min="5" max="10" width="16" customWidth="1"/>
  </cols>
  <sheetData>
    <row r="1" spans="1:9" ht="22.15" customHeight="1">
      <c r="A1" s="48" t="s">
        <v>319</v>
      </c>
      <c r="B1" s="55"/>
      <c r="C1" s="55"/>
      <c r="D1" s="55"/>
      <c r="E1" s="55"/>
      <c r="F1" s="55"/>
      <c r="G1" s="55"/>
      <c r="H1" s="55"/>
      <c r="I1" s="55"/>
    </row>
    <row r="3" spans="1:9" ht="18" customHeight="1">
      <c r="A3" s="56" t="s">
        <v>320</v>
      </c>
      <c r="B3" s="55"/>
      <c r="C3" s="55"/>
      <c r="D3" s="55"/>
      <c r="E3" s="55"/>
      <c r="F3" s="55"/>
      <c r="G3" s="55"/>
      <c r="H3" s="55"/>
      <c r="I3" s="55"/>
    </row>
    <row r="4" spans="1:9">
      <c r="A4" s="57" t="s">
        <v>270</v>
      </c>
      <c r="B4" s="57" t="s">
        <v>19</v>
      </c>
      <c r="C4" s="57" t="s">
        <v>321</v>
      </c>
    </row>
    <row r="5" spans="1:9" ht="30" customHeight="1">
      <c r="A5" s="68" t="s">
        <v>210</v>
      </c>
      <c r="B5" s="60" t="s">
        <v>322</v>
      </c>
      <c r="C5" s="130">
        <f>'M&amp;M'!F35</f>
        <v>3282</v>
      </c>
    </row>
    <row r="6" spans="1:9" ht="30" customHeight="1">
      <c r="A6" s="68" t="s">
        <v>211</v>
      </c>
      <c r="B6" s="60" t="s">
        <v>323</v>
      </c>
      <c r="C6" s="130">
        <f>Coforge!F35</f>
        <v>1985.3</v>
      </c>
    </row>
    <row r="7" spans="1:9" ht="30" customHeight="1">
      <c r="A7" s="68" t="s">
        <v>212</v>
      </c>
      <c r="B7" s="60" t="s">
        <v>324</v>
      </c>
      <c r="C7" s="130">
        <f>'Dr Reddy'!F35</f>
        <v>1154.4000000000001</v>
      </c>
    </row>
    <row r="8" spans="1:9" ht="30" customHeight="1">
      <c r="A8" s="68" t="s">
        <v>213</v>
      </c>
      <c r="B8" s="60" t="s">
        <v>325</v>
      </c>
      <c r="C8" s="130">
        <f>Britannia!F35</f>
        <v>5250</v>
      </c>
    </row>
    <row r="10" spans="1:9" ht="18" customHeight="1">
      <c r="A10" s="56" t="s">
        <v>326</v>
      </c>
      <c r="B10" s="55"/>
      <c r="C10" s="55"/>
      <c r="D10" s="55"/>
      <c r="E10" s="55"/>
      <c r="F10" s="55"/>
      <c r="G10" s="55"/>
      <c r="H10" s="55"/>
      <c r="I10" s="55"/>
    </row>
    <row r="11" spans="1:9" ht="26.45" customHeight="1">
      <c r="A11" s="57" t="s">
        <v>270</v>
      </c>
      <c r="B11" s="57" t="s">
        <v>95</v>
      </c>
      <c r="C11" s="57" t="s">
        <v>327</v>
      </c>
      <c r="D11" s="57" t="s">
        <v>328</v>
      </c>
      <c r="E11" s="57" t="s">
        <v>329</v>
      </c>
      <c r="F11" s="57" t="s">
        <v>330</v>
      </c>
      <c r="G11" s="57" t="s">
        <v>331</v>
      </c>
      <c r="H11" s="57" t="s">
        <v>332</v>
      </c>
      <c r="I11" s="57" t="s">
        <v>333</v>
      </c>
    </row>
    <row r="12" spans="1:9">
      <c r="A12" s="68" t="s">
        <v>210</v>
      </c>
      <c r="B12" s="131">
        <f>'M&amp;M'!B49</f>
        <v>0.11847452683455097</v>
      </c>
      <c r="C12" s="132">
        <f>'M&amp;M'!B39</f>
        <v>1.1855034556833719</v>
      </c>
      <c r="D12" s="130">
        <f>'M&amp;M'!B103</f>
        <v>2945.2005765909294</v>
      </c>
      <c r="E12" s="130">
        <f>'M&amp;M'!B104</f>
        <v>3204.6247496614542</v>
      </c>
      <c r="F12" s="133">
        <f>'M&amp;M'!B105</f>
        <v>3074.9126631261915</v>
      </c>
      <c r="G12" s="130">
        <f>'M&amp;M'!B106</f>
        <v>3282</v>
      </c>
      <c r="H12" s="134">
        <f>'M&amp;M'!B107</f>
        <v>-6.3097908858564478E-2</v>
      </c>
      <c r="I12" s="135" t="str">
        <f>'M&amp;M'!B108</f>
        <v>HOLD</v>
      </c>
    </row>
    <row r="13" spans="1:9">
      <c r="A13" s="68" t="s">
        <v>211</v>
      </c>
      <c r="B13" s="131">
        <f>Coforge!B49</f>
        <v>0.13746205507895046</v>
      </c>
      <c r="C13" s="132">
        <f>Coforge!B39</f>
        <v>1.1245596511568199</v>
      </c>
      <c r="D13" s="130">
        <f>Coforge!B103</f>
        <v>229.78719166367418</v>
      </c>
      <c r="E13" s="130">
        <f>Coforge!B104</f>
        <v>1352.6651511480088</v>
      </c>
      <c r="F13" s="133">
        <f>Coforge!B105</f>
        <v>791.22617140584146</v>
      </c>
      <c r="G13" s="130">
        <f>Coforge!B106</f>
        <v>1985.3</v>
      </c>
      <c r="H13" s="136">
        <f>Coforge!B107</f>
        <v>-0.60145762786186396</v>
      </c>
      <c r="I13" s="103" t="str">
        <f>Coforge!B108</f>
        <v>SELL</v>
      </c>
    </row>
    <row r="14" spans="1:9">
      <c r="A14" s="68" t="s">
        <v>212</v>
      </c>
      <c r="B14" s="131">
        <f>'Dr Reddy'!B49</f>
        <v>9.7402168364519287E-2</v>
      </c>
      <c r="C14" s="132">
        <f>'Dr Reddy'!B39</f>
        <v>0.5289974531558439</v>
      </c>
      <c r="D14" s="130">
        <f>'Dr Reddy'!B103</f>
        <v>433.30227117193618</v>
      </c>
      <c r="E14" s="130">
        <f>'Dr Reddy'!B104</f>
        <v>1403.5335394804315</v>
      </c>
      <c r="F14" s="133">
        <f>'Dr Reddy'!B105</f>
        <v>918.41790532618381</v>
      </c>
      <c r="G14" s="130">
        <f>'Dr Reddy'!B106</f>
        <v>1154.4000000000001</v>
      </c>
      <c r="H14" s="136">
        <f>'Dr Reddy'!B107</f>
        <v>-0.20441969393088721</v>
      </c>
      <c r="I14" s="103" t="str">
        <f>'Dr Reddy'!B108</f>
        <v>SELL</v>
      </c>
    </row>
    <row r="15" spans="1:9">
      <c r="A15" s="68" t="s">
        <v>213</v>
      </c>
      <c r="B15" s="131">
        <f>Britannia!B49</f>
        <v>9.9566407222107758E-2</v>
      </c>
      <c r="C15" s="132">
        <f>Britannia!B39</f>
        <v>0.50853000879572485</v>
      </c>
      <c r="D15" s="130">
        <f>Britannia!B102</f>
        <v>3199.5050868314929</v>
      </c>
      <c r="E15" s="130">
        <f>Britannia!B103</f>
        <v>4186.2975664903479</v>
      </c>
      <c r="F15" s="133">
        <f>Britannia!B104</f>
        <v>3692.9013266609204</v>
      </c>
      <c r="G15" s="130">
        <f>Britannia!B105</f>
        <v>5250</v>
      </c>
      <c r="H15" s="136">
        <f>Britannia!B106</f>
        <v>-0.296590223493158</v>
      </c>
      <c r="I15" s="103" t="str">
        <f>Britannia!B107</f>
        <v>SELL</v>
      </c>
    </row>
    <row r="18" spans="1:9" ht="18" customHeight="1">
      <c r="A18" s="56" t="s">
        <v>334</v>
      </c>
      <c r="B18" s="55"/>
      <c r="C18" s="55"/>
      <c r="D18" s="55"/>
      <c r="E18" s="55"/>
      <c r="F18" s="55"/>
      <c r="G18" s="55"/>
      <c r="H18" s="55"/>
      <c r="I18" s="55"/>
    </row>
    <row r="19" spans="1:9" ht="26.45" customHeight="1">
      <c r="A19" s="57" t="s">
        <v>270</v>
      </c>
      <c r="B19" s="57" t="s">
        <v>229</v>
      </c>
      <c r="C19" s="57" t="s">
        <v>230</v>
      </c>
      <c r="D19" s="57" t="s">
        <v>335</v>
      </c>
      <c r="E19" s="57" t="s">
        <v>231</v>
      </c>
    </row>
    <row r="20" spans="1:9">
      <c r="A20" s="68" t="s">
        <v>210</v>
      </c>
      <c r="B20" s="137">
        <f>'Portfolio Construction'!B2518</f>
        <v>0.33431403335878535</v>
      </c>
      <c r="C20" s="137">
        <f>'Portfolio Construction'!C2518</f>
        <v>0.28058719326733245</v>
      </c>
      <c r="D20" s="132">
        <f>'Portfolio Construction'!B2511</f>
        <v>1.1855034556833719</v>
      </c>
      <c r="E20" s="138">
        <f>'Portfolio Construction'!D2518</f>
        <v>0.94556715247514722</v>
      </c>
    </row>
    <row r="21" spans="1:9">
      <c r="A21" s="68" t="s">
        <v>211</v>
      </c>
      <c r="B21" s="137">
        <f>'Portfolio Construction'!B2519</f>
        <v>0.19944617939445769</v>
      </c>
      <c r="C21" s="137">
        <f>'Portfolio Construction'!C2519</f>
        <v>0.36544013890843252</v>
      </c>
      <c r="D21" s="132">
        <f>'Portfolio Construction'!B2512</f>
        <v>1.1245596511568199</v>
      </c>
      <c r="E21" s="138">
        <f>'Portfolio Construction'!D2519</f>
        <v>0.35695635346489202</v>
      </c>
    </row>
    <row r="22" spans="1:9">
      <c r="A22" s="68" t="s">
        <v>212</v>
      </c>
      <c r="B22" s="137">
        <f>'Portfolio Construction'!B2520</f>
        <v>6.2188373298175316E-2</v>
      </c>
      <c r="C22" s="137">
        <f>'Portfolio Construction'!C2520</f>
        <v>0.21534412625175575</v>
      </c>
      <c r="D22" s="132">
        <f>'Portfolio Construction'!B2513</f>
        <v>0.5289974531558439</v>
      </c>
      <c r="E22" s="139">
        <f>'Portfolio Construction'!D2520</f>
        <v>-3.1631355915699849E-2</v>
      </c>
    </row>
    <row r="23" spans="1:9">
      <c r="A23" s="68" t="s">
        <v>213</v>
      </c>
      <c r="B23" s="137">
        <f>'Portfolio Construction'!B2521</f>
        <v>7.5148419960360771E-2</v>
      </c>
      <c r="C23" s="137">
        <f>'Portfolio Construction'!C2521</f>
        <v>0.20317896248471662</v>
      </c>
      <c r="D23" s="132">
        <f>'Portfolio Construction'!B2514</f>
        <v>0.50853000879572485</v>
      </c>
      <c r="E23" s="139">
        <f>'Portfolio Construction'!D2521</f>
        <v>3.0261105210748665E-2</v>
      </c>
    </row>
    <row r="25" spans="1:9" ht="18" customHeight="1">
      <c r="A25" s="56" t="s">
        <v>336</v>
      </c>
      <c r="B25" s="55"/>
      <c r="C25" s="55"/>
      <c r="D25" s="55"/>
      <c r="E25" s="55"/>
      <c r="F25" s="55"/>
      <c r="G25" s="55"/>
      <c r="H25" s="55"/>
      <c r="I25" s="55"/>
    </row>
    <row r="26" spans="1:9">
      <c r="A26" s="57" t="s">
        <v>217</v>
      </c>
      <c r="B26" s="57" t="s">
        <v>210</v>
      </c>
      <c r="C26" s="57" t="s">
        <v>211</v>
      </c>
      <c r="D26" s="57" t="s">
        <v>212</v>
      </c>
      <c r="E26" s="57" t="s">
        <v>213</v>
      </c>
    </row>
    <row r="27" spans="1:9" ht="26.45" customHeight="1">
      <c r="A27" s="68" t="s">
        <v>337</v>
      </c>
      <c r="B27" s="134">
        <f>'Portfolio Construction'!B2525</f>
        <v>0.4</v>
      </c>
      <c r="C27" s="134">
        <f>'Portfolio Construction'!C2525</f>
        <v>0.27839848040663623</v>
      </c>
      <c r="D27" s="134">
        <f>'Portfolio Construction'!D2525</f>
        <v>9.1437014870120362E-2</v>
      </c>
      <c r="E27" s="134">
        <f>'Portfolio Construction'!E2525</f>
        <v>0.23016450065725455</v>
      </c>
    </row>
    <row r="28" spans="1:9">
      <c r="A28" s="60" t="s">
        <v>236</v>
      </c>
      <c r="B28" s="140">
        <f>'Portfolio Construction'!B2526</f>
        <v>0.99999999593401123</v>
      </c>
      <c r="C28" s="73"/>
      <c r="D28" s="73"/>
      <c r="E28" s="74"/>
    </row>
    <row r="30" spans="1:9" ht="26.45" customHeight="1">
      <c r="A30" s="68" t="s">
        <v>338</v>
      </c>
      <c r="B30" s="141">
        <f>'Portfolio Construction'!B2528</f>
        <v>0.21223394437921247</v>
      </c>
      <c r="C30" s="73"/>
      <c r="D30" s="73"/>
      <c r="E30" s="74"/>
    </row>
    <row r="31" spans="1:9" ht="26.45" customHeight="1">
      <c r="A31" s="68" t="s">
        <v>240</v>
      </c>
      <c r="B31" s="141">
        <f>'Portfolio Construction'!B2530</f>
        <v>0.18897994369795651</v>
      </c>
      <c r="C31" s="73"/>
      <c r="D31" s="73"/>
      <c r="E31" s="74"/>
    </row>
    <row r="32" spans="1:9">
      <c r="A32" s="68" t="s">
        <v>241</v>
      </c>
      <c r="B32" s="141">
        <f>'Portfolio Construction'!B2531</f>
        <v>6.9000000000000006E-2</v>
      </c>
      <c r="C32" s="73"/>
      <c r="D32" s="73"/>
      <c r="E32" s="74"/>
    </row>
    <row r="33" spans="1:9">
      <c r="A33" s="68" t="s">
        <v>339</v>
      </c>
      <c r="B33" s="142">
        <f>'Portfolio Construction'!B2532</f>
        <v>0.75793198778882531</v>
      </c>
      <c r="C33" s="73"/>
      <c r="D33" s="73"/>
      <c r="E33" s="74"/>
    </row>
    <row r="34" spans="1:9" ht="26.45" customHeight="1">
      <c r="A34" s="68" t="s">
        <v>340</v>
      </c>
      <c r="B34" s="142">
        <f>'Portfolio Construction'!B2533</f>
        <v>0.95269258381618838</v>
      </c>
      <c r="C34" s="73"/>
      <c r="D34" s="73"/>
      <c r="E34" s="74"/>
    </row>
    <row r="35" spans="1:9" ht="26.45" customHeight="1">
      <c r="A35" s="68" t="s">
        <v>244</v>
      </c>
      <c r="B35" s="141">
        <f>'Portfolio Construction'!B2534</f>
        <v>7.9467212044447372E-2</v>
      </c>
      <c r="C35" s="73"/>
      <c r="D35" s="73"/>
      <c r="E35" s="74"/>
    </row>
    <row r="36" spans="1:9">
      <c r="A36" s="68" t="s">
        <v>341</v>
      </c>
      <c r="B36" s="142">
        <f>'Portfolio Construction'!B2535</f>
        <v>0.15034644628539262</v>
      </c>
      <c r="C36" s="73"/>
      <c r="D36" s="73"/>
      <c r="E36" s="74"/>
    </row>
    <row r="37" spans="1:9">
      <c r="A37" s="68" t="s">
        <v>342</v>
      </c>
      <c r="B37" s="141">
        <f>'Portfolio Construction'!B2536</f>
        <v>0.13326190909123597</v>
      </c>
      <c r="C37" s="73"/>
      <c r="D37" s="73"/>
      <c r="E37" s="74"/>
    </row>
    <row r="39" spans="1:9" ht="18" customHeight="1">
      <c r="A39" s="56" t="s">
        <v>343</v>
      </c>
      <c r="B39" s="55"/>
      <c r="C39" s="55"/>
      <c r="D39" s="55"/>
      <c r="E39" s="55"/>
      <c r="F39" s="55"/>
      <c r="G39" s="55"/>
      <c r="H39" s="55"/>
      <c r="I39" s="55"/>
    </row>
    <row r="40" spans="1:9">
      <c r="A40" s="57" t="s">
        <v>225</v>
      </c>
      <c r="B40" s="57" t="s">
        <v>344</v>
      </c>
    </row>
    <row r="41" spans="1:9">
      <c r="A41" s="68" t="s">
        <v>210</v>
      </c>
      <c r="B41" s="143">
        <v>0.4</v>
      </c>
    </row>
    <row r="42" spans="1:9">
      <c r="A42" s="68" t="s">
        <v>211</v>
      </c>
      <c r="B42" s="143">
        <v>0.25</v>
      </c>
    </row>
    <row r="43" spans="1:9">
      <c r="A43" s="68" t="s">
        <v>274</v>
      </c>
      <c r="B43" s="143">
        <v>0.1</v>
      </c>
    </row>
    <row r="44" spans="1:9">
      <c r="A44" s="68" t="s">
        <v>213</v>
      </c>
      <c r="B44" s="143">
        <v>0.25</v>
      </c>
    </row>
    <row r="46" spans="1:9" ht="31.15" customHeight="1">
      <c r="A46" s="54" t="s">
        <v>345</v>
      </c>
      <c r="B46" s="54"/>
      <c r="C46" s="54"/>
      <c r="D46" s="54"/>
      <c r="E46" s="54"/>
      <c r="F46" s="54"/>
      <c r="G46" s="54"/>
      <c r="H46" s="54"/>
      <c r="I46" s="54"/>
    </row>
  </sheetData>
  <mergeCells count="16">
    <mergeCell ref="A39:I39"/>
    <mergeCell ref="A46:I46"/>
    <mergeCell ref="A1:I1"/>
    <mergeCell ref="A18:I18"/>
    <mergeCell ref="B33:E33"/>
    <mergeCell ref="A3:I3"/>
    <mergeCell ref="B37:E37"/>
    <mergeCell ref="B28:E28"/>
    <mergeCell ref="B36:E36"/>
    <mergeCell ref="B32:E32"/>
    <mergeCell ref="B31:E31"/>
    <mergeCell ref="A25:I25"/>
    <mergeCell ref="B35:E35"/>
    <mergeCell ref="A10:I10"/>
    <mergeCell ref="B34:E34"/>
    <mergeCell ref="B30:E3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Bhavisha Parekh</dc:creator>
  <cp:keywords/>
  <dc:description/>
  <cp:lastModifiedBy/>
  <cp:revision/>
  <dcterms:created xsi:type="dcterms:W3CDTF">2026-09-01T16:46:18Z</dcterms:created>
  <dcterms:modified xsi:type="dcterms:W3CDTF">2026-10-15T18:39:42Z</dcterms:modified>
  <cp:category/>
  <cp:contentStatus/>
</cp:coreProperties>
</file>