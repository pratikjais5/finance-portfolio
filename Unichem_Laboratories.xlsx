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xr:revisionPtr revIDLastSave="0" documentId="8_{B0107F62-F592-428D-B835-BD7BCB5E642E}" xr6:coauthVersionLast="47" xr6:coauthVersionMax="47" xr10:uidLastSave="{00000000-0000-0000-0000-000000000000}"/>
  <bookViews>
    <workbookView xWindow="0" yWindow="0" windowWidth="16384" windowHeight="8192" tabRatio="850" firstSheet="8" activeTab="8" xr2:uid="{00000000-000D-0000-FFFF-FFFF00000000}"/>
  </bookViews>
  <sheets>
    <sheet name="Relative Valuation" sheetId="1" r:id="rId1"/>
    <sheet name="WACC" sheetId="2" r:id="rId2"/>
    <sheet name="Raw BS" sheetId="3" r:id="rId3"/>
    <sheet name="Raw IS" sheetId="4" r:id="rId4"/>
    <sheet name="Raw CFS" sheetId="5" r:id="rId5"/>
    <sheet name="Reform Stat, Ratio, GROWTH" sheetId="6" r:id="rId6"/>
    <sheet name="Projected FCF" sheetId="7" r:id="rId7"/>
    <sheet name="Perpetual growth Vs EVEBITDA" sheetId="8" r:id="rId8"/>
    <sheet name="Football field" sheetId="9" r:id="rId9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9" i="8" l="1"/>
  <c r="B29" i="8"/>
  <c r="J38" i="7"/>
  <c r="I38" i="7"/>
  <c r="H38" i="7"/>
  <c r="G38" i="7"/>
  <c r="F38" i="7"/>
  <c r="J37" i="7"/>
  <c r="I37" i="7"/>
  <c r="H37" i="7"/>
  <c r="G37" i="7"/>
  <c r="F37" i="7"/>
  <c r="J24" i="7"/>
  <c r="I24" i="7"/>
  <c r="H24" i="7"/>
  <c r="G24" i="7"/>
  <c r="F24" i="7"/>
  <c r="L123" i="6"/>
  <c r="K123" i="6"/>
  <c r="J123" i="6"/>
  <c r="I123" i="6"/>
  <c r="H123" i="6"/>
  <c r="G123" i="6"/>
  <c r="F123" i="6"/>
  <c r="E123" i="6"/>
  <c r="D123" i="6"/>
  <c r="C123" i="6"/>
  <c r="L122" i="6"/>
  <c r="K122" i="6"/>
  <c r="J122" i="6"/>
  <c r="I122" i="6"/>
  <c r="H122" i="6"/>
  <c r="G122" i="6"/>
  <c r="F122" i="6"/>
  <c r="E122" i="6"/>
  <c r="D122" i="6"/>
  <c r="C122" i="6"/>
  <c r="L121" i="6"/>
  <c r="K121" i="6"/>
  <c r="J121" i="6"/>
  <c r="I121" i="6"/>
  <c r="H121" i="6"/>
  <c r="G121" i="6"/>
  <c r="F121" i="6"/>
  <c r="E121" i="6"/>
  <c r="D121" i="6"/>
  <c r="C121" i="6"/>
  <c r="L120" i="6"/>
  <c r="K120" i="6"/>
  <c r="J120" i="6"/>
  <c r="I120" i="6"/>
  <c r="H120" i="6"/>
  <c r="G120" i="6"/>
  <c r="F120" i="6"/>
  <c r="E120" i="6"/>
  <c r="D120" i="6"/>
  <c r="C120" i="6"/>
  <c r="L119" i="6"/>
  <c r="K119" i="6"/>
  <c r="J119" i="6"/>
  <c r="I119" i="6"/>
  <c r="H119" i="6"/>
  <c r="G119" i="6"/>
  <c r="F119" i="6"/>
  <c r="E119" i="6"/>
  <c r="D119" i="6"/>
  <c r="C119" i="6"/>
  <c r="L118" i="6"/>
  <c r="K118" i="6"/>
  <c r="J118" i="6"/>
  <c r="I118" i="6"/>
  <c r="H118" i="6"/>
  <c r="G118" i="6"/>
  <c r="F118" i="6"/>
  <c r="E118" i="6"/>
  <c r="D118" i="6"/>
  <c r="C118" i="6"/>
  <c r="L117" i="6"/>
  <c r="K117" i="6"/>
  <c r="J117" i="6"/>
  <c r="I117" i="6"/>
  <c r="H117" i="6"/>
  <c r="G117" i="6"/>
  <c r="F117" i="6"/>
  <c r="E117" i="6"/>
  <c r="D117" i="6"/>
  <c r="C117" i="6"/>
  <c r="L116" i="6"/>
  <c r="K116" i="6"/>
  <c r="J116" i="6"/>
  <c r="I116" i="6"/>
  <c r="H116" i="6"/>
  <c r="G116" i="6"/>
  <c r="F116" i="6"/>
  <c r="E116" i="6"/>
  <c r="D116" i="6"/>
  <c r="C116" i="6"/>
  <c r="L115" i="6"/>
  <c r="K115" i="6"/>
  <c r="J115" i="6"/>
  <c r="I115" i="6"/>
  <c r="H115" i="6"/>
  <c r="G115" i="6"/>
  <c r="F115" i="6"/>
  <c r="E115" i="6"/>
  <c r="D115" i="6"/>
  <c r="C115" i="6"/>
  <c r="L114" i="6"/>
  <c r="K114" i="6"/>
  <c r="J114" i="6"/>
  <c r="I114" i="6"/>
  <c r="H114" i="6"/>
  <c r="G114" i="6"/>
  <c r="F114" i="6"/>
  <c r="E114" i="6"/>
  <c r="D114" i="6"/>
  <c r="C114" i="6"/>
  <c r="L113" i="6"/>
  <c r="K113" i="6"/>
  <c r="J113" i="6"/>
  <c r="I113" i="6"/>
  <c r="H113" i="6"/>
  <c r="G113" i="6"/>
  <c r="F113" i="6"/>
  <c r="E113" i="6"/>
  <c r="D113" i="6"/>
  <c r="C113" i="6"/>
  <c r="L112" i="6"/>
  <c r="K112" i="6"/>
  <c r="J112" i="6"/>
  <c r="I112" i="6"/>
  <c r="H112" i="6"/>
  <c r="G112" i="6"/>
  <c r="F112" i="6"/>
  <c r="E112" i="6"/>
  <c r="D112" i="6"/>
  <c r="C112" i="6"/>
  <c r="L111" i="6"/>
  <c r="K111" i="6"/>
  <c r="J111" i="6"/>
  <c r="I111" i="6"/>
  <c r="H111" i="6"/>
  <c r="G111" i="6"/>
  <c r="F111" i="6"/>
  <c r="E111" i="6"/>
  <c r="D111" i="6"/>
  <c r="C111" i="6"/>
  <c r="L110" i="6"/>
  <c r="K110" i="6"/>
  <c r="J110" i="6"/>
  <c r="I110" i="6"/>
  <c r="H110" i="6"/>
  <c r="G110" i="6"/>
  <c r="F110" i="6"/>
  <c r="E110" i="6"/>
  <c r="D110" i="6"/>
  <c r="C110" i="6"/>
  <c r="L109" i="6"/>
  <c r="K109" i="6"/>
  <c r="J109" i="6"/>
  <c r="I109" i="6"/>
  <c r="H109" i="6"/>
  <c r="G109" i="6"/>
  <c r="F109" i="6"/>
  <c r="E109" i="6"/>
  <c r="D109" i="6"/>
  <c r="C109" i="6"/>
  <c r="L108" i="6"/>
  <c r="K108" i="6"/>
  <c r="J108" i="6"/>
  <c r="I108" i="6"/>
  <c r="H108" i="6"/>
  <c r="G108" i="6"/>
  <c r="F108" i="6"/>
  <c r="E108" i="6"/>
  <c r="D108" i="6"/>
  <c r="C108" i="6"/>
  <c r="L107" i="6"/>
  <c r="K107" i="6"/>
  <c r="J107" i="6"/>
  <c r="I107" i="6"/>
  <c r="H107" i="6"/>
  <c r="G107" i="6"/>
  <c r="F107" i="6"/>
  <c r="E107" i="6"/>
  <c r="D107" i="6"/>
  <c r="C107" i="6"/>
  <c r="L106" i="6"/>
  <c r="K106" i="6"/>
  <c r="J106" i="6"/>
  <c r="I106" i="6"/>
  <c r="H106" i="6"/>
  <c r="G106" i="6"/>
  <c r="F106" i="6"/>
  <c r="E106" i="6"/>
  <c r="D106" i="6"/>
  <c r="C106" i="6"/>
  <c r="L105" i="6"/>
  <c r="K105" i="6"/>
  <c r="J105" i="6"/>
  <c r="I105" i="6"/>
  <c r="H105" i="6"/>
  <c r="G105" i="6"/>
  <c r="F105" i="6"/>
  <c r="E105" i="6"/>
  <c r="D105" i="6"/>
  <c r="C105" i="6"/>
  <c r="L104" i="6"/>
  <c r="K104" i="6"/>
  <c r="J104" i="6"/>
  <c r="I104" i="6"/>
  <c r="H104" i="6"/>
  <c r="G104" i="6"/>
  <c r="F104" i="6"/>
  <c r="E104" i="6"/>
  <c r="D104" i="6"/>
  <c r="C104" i="6"/>
  <c r="L103" i="6"/>
  <c r="K103" i="6"/>
  <c r="J103" i="6"/>
  <c r="I103" i="6"/>
  <c r="H103" i="6"/>
  <c r="G103" i="6"/>
  <c r="F103" i="6"/>
  <c r="E103" i="6"/>
  <c r="D103" i="6"/>
  <c r="C103" i="6"/>
  <c r="L102" i="6"/>
  <c r="K102" i="6"/>
  <c r="J102" i="6"/>
  <c r="I102" i="6"/>
  <c r="H102" i="6"/>
  <c r="G102" i="6"/>
  <c r="F102" i="6"/>
  <c r="E102" i="6"/>
  <c r="D102" i="6"/>
  <c r="C102" i="6"/>
  <c r="L101" i="6"/>
  <c r="K101" i="6"/>
  <c r="J101" i="6"/>
  <c r="I101" i="6"/>
  <c r="H101" i="6"/>
  <c r="G101" i="6"/>
  <c r="F101" i="6"/>
  <c r="E101" i="6"/>
  <c r="D101" i="6"/>
  <c r="C101" i="6"/>
  <c r="L100" i="6"/>
  <c r="K100" i="6"/>
  <c r="J100" i="6"/>
  <c r="I100" i="6"/>
  <c r="H100" i="6"/>
  <c r="G100" i="6"/>
  <c r="F100" i="6"/>
  <c r="E100" i="6"/>
  <c r="D100" i="6"/>
  <c r="C100" i="6"/>
  <c r="L99" i="6"/>
  <c r="K99" i="6"/>
  <c r="J99" i="6"/>
  <c r="I99" i="6"/>
  <c r="H99" i="6"/>
  <c r="G99" i="6"/>
  <c r="F99" i="6"/>
  <c r="E99" i="6"/>
  <c r="D99" i="6"/>
  <c r="C99" i="6"/>
  <c r="L98" i="6"/>
  <c r="K98" i="6"/>
  <c r="J98" i="6"/>
  <c r="I98" i="6"/>
  <c r="H98" i="6"/>
  <c r="G98" i="6"/>
  <c r="F98" i="6"/>
  <c r="E98" i="6"/>
  <c r="D98" i="6"/>
  <c r="C98" i="6"/>
  <c r="L97" i="6"/>
  <c r="K97" i="6"/>
  <c r="J97" i="6"/>
  <c r="I97" i="6"/>
  <c r="H97" i="6"/>
  <c r="G97" i="6"/>
  <c r="F97" i="6"/>
  <c r="E97" i="6"/>
  <c r="D97" i="6"/>
  <c r="C97" i="6"/>
  <c r="L96" i="6"/>
  <c r="K96" i="6"/>
  <c r="J96" i="6"/>
  <c r="I96" i="6"/>
  <c r="H96" i="6"/>
  <c r="G96" i="6"/>
  <c r="F96" i="6"/>
  <c r="E96" i="6"/>
  <c r="D96" i="6"/>
  <c r="C96" i="6"/>
  <c r="L95" i="6"/>
  <c r="K95" i="6"/>
  <c r="J95" i="6"/>
  <c r="I95" i="6"/>
  <c r="H95" i="6"/>
  <c r="G95" i="6"/>
  <c r="F95" i="6"/>
  <c r="E95" i="6"/>
  <c r="D95" i="6"/>
  <c r="C95" i="6"/>
  <c r="L94" i="6"/>
  <c r="K94" i="6"/>
  <c r="J94" i="6"/>
  <c r="I94" i="6"/>
  <c r="H94" i="6"/>
  <c r="G94" i="6"/>
  <c r="F94" i="6"/>
  <c r="E94" i="6"/>
  <c r="D94" i="6"/>
  <c r="C94" i="6"/>
  <c r="L93" i="6"/>
  <c r="K93" i="6"/>
  <c r="J93" i="6"/>
  <c r="I93" i="6"/>
  <c r="H93" i="6"/>
  <c r="G93" i="6"/>
  <c r="F93" i="6"/>
  <c r="E93" i="6"/>
  <c r="D93" i="6"/>
  <c r="C93" i="6"/>
  <c r="L92" i="6"/>
  <c r="K92" i="6"/>
  <c r="J92" i="6"/>
  <c r="I92" i="6"/>
  <c r="H92" i="6"/>
  <c r="G92" i="6"/>
  <c r="F92" i="6"/>
  <c r="E92" i="6"/>
  <c r="D92" i="6"/>
  <c r="C92" i="6"/>
  <c r="L91" i="6"/>
  <c r="K91" i="6"/>
  <c r="J91" i="6"/>
  <c r="I91" i="6"/>
  <c r="H91" i="6"/>
  <c r="G91" i="6"/>
  <c r="F91" i="6"/>
  <c r="E91" i="6"/>
  <c r="D91" i="6"/>
  <c r="C91" i="6"/>
  <c r="L90" i="6"/>
  <c r="K90" i="6"/>
  <c r="J90" i="6"/>
  <c r="I90" i="6"/>
  <c r="H90" i="6"/>
  <c r="G90" i="6"/>
  <c r="F90" i="6"/>
  <c r="E90" i="6"/>
  <c r="D90" i="6"/>
  <c r="C90" i="6"/>
  <c r="L89" i="6"/>
  <c r="K89" i="6"/>
  <c r="J89" i="6"/>
  <c r="I89" i="6"/>
  <c r="H89" i="6"/>
  <c r="G89" i="6"/>
  <c r="F89" i="6"/>
  <c r="E89" i="6"/>
  <c r="D89" i="6"/>
  <c r="C89" i="6"/>
  <c r="L88" i="6"/>
  <c r="K88" i="6"/>
  <c r="J88" i="6"/>
  <c r="I88" i="6"/>
  <c r="H88" i="6"/>
  <c r="G88" i="6"/>
  <c r="F88" i="6"/>
  <c r="E88" i="6"/>
  <c r="D88" i="6"/>
  <c r="C88" i="6"/>
  <c r="L87" i="6"/>
  <c r="K87" i="6"/>
  <c r="J87" i="6"/>
  <c r="I87" i="6"/>
  <c r="H87" i="6"/>
  <c r="G87" i="6"/>
  <c r="F87" i="6"/>
  <c r="E87" i="6"/>
  <c r="D87" i="6"/>
  <c r="C87" i="6"/>
  <c r="L86" i="6"/>
  <c r="K86" i="6"/>
  <c r="J86" i="6"/>
  <c r="I86" i="6"/>
  <c r="H86" i="6"/>
  <c r="G86" i="6"/>
  <c r="F86" i="6"/>
  <c r="E86" i="6"/>
  <c r="D86" i="6"/>
  <c r="C86" i="6"/>
  <c r="L85" i="6"/>
  <c r="K85" i="6"/>
  <c r="J85" i="6"/>
  <c r="I85" i="6"/>
  <c r="H85" i="6"/>
  <c r="G85" i="6"/>
  <c r="F85" i="6"/>
  <c r="E85" i="6"/>
  <c r="D85" i="6"/>
  <c r="C85" i="6"/>
  <c r="L84" i="6"/>
  <c r="K84" i="6"/>
  <c r="J84" i="6"/>
  <c r="I84" i="6"/>
  <c r="H84" i="6"/>
  <c r="G84" i="6"/>
  <c r="F84" i="6"/>
  <c r="E84" i="6"/>
  <c r="D84" i="6"/>
  <c r="C84" i="6"/>
  <c r="L83" i="6"/>
  <c r="K83" i="6"/>
  <c r="J83" i="6"/>
  <c r="I83" i="6"/>
  <c r="H83" i="6"/>
  <c r="G83" i="6"/>
  <c r="F83" i="6"/>
  <c r="E83" i="6"/>
  <c r="D83" i="6"/>
  <c r="C83" i="6"/>
  <c r="L82" i="6"/>
  <c r="K82" i="6"/>
  <c r="J82" i="6"/>
  <c r="I82" i="6"/>
  <c r="H82" i="6"/>
  <c r="G82" i="6"/>
  <c r="F82" i="6"/>
  <c r="E82" i="6"/>
  <c r="D82" i="6"/>
  <c r="C82" i="6"/>
  <c r="L81" i="6"/>
  <c r="K81" i="6"/>
  <c r="J81" i="6"/>
  <c r="I81" i="6"/>
  <c r="H81" i="6"/>
  <c r="G81" i="6"/>
  <c r="F81" i="6"/>
  <c r="E81" i="6"/>
  <c r="D81" i="6"/>
  <c r="C81" i="6"/>
  <c r="L80" i="6"/>
  <c r="K80" i="6"/>
  <c r="J80" i="6"/>
  <c r="I80" i="6"/>
  <c r="H80" i="6"/>
  <c r="G80" i="6"/>
  <c r="F80" i="6"/>
  <c r="E80" i="6"/>
  <c r="D80" i="6"/>
  <c r="C80" i="6"/>
  <c r="L79" i="6"/>
  <c r="K79" i="6"/>
  <c r="J79" i="6"/>
  <c r="I79" i="6"/>
  <c r="H79" i="6"/>
  <c r="G79" i="6"/>
  <c r="F79" i="6"/>
  <c r="E79" i="6"/>
  <c r="D79" i="6"/>
  <c r="C79" i="6"/>
  <c r="L78" i="6"/>
  <c r="K78" i="6"/>
  <c r="J78" i="6"/>
  <c r="I78" i="6"/>
  <c r="H78" i="6"/>
  <c r="G78" i="6"/>
  <c r="F78" i="6"/>
  <c r="E78" i="6"/>
  <c r="D78" i="6"/>
  <c r="C78" i="6"/>
  <c r="L77" i="6"/>
  <c r="K77" i="6"/>
  <c r="J77" i="6"/>
  <c r="I77" i="6"/>
  <c r="H77" i="6"/>
  <c r="G77" i="6"/>
  <c r="F77" i="6"/>
  <c r="E77" i="6"/>
  <c r="D77" i="6"/>
  <c r="C77" i="6"/>
  <c r="L76" i="6"/>
  <c r="K76" i="6"/>
  <c r="J76" i="6"/>
  <c r="I76" i="6"/>
  <c r="H76" i="6"/>
  <c r="G76" i="6"/>
  <c r="F76" i="6"/>
  <c r="E76" i="6"/>
  <c r="D76" i="6"/>
  <c r="C76" i="6"/>
  <c r="L75" i="6"/>
  <c r="K75" i="6"/>
  <c r="J75" i="6"/>
  <c r="I75" i="6"/>
  <c r="H75" i="6"/>
  <c r="G75" i="6"/>
  <c r="F75" i="6"/>
  <c r="E75" i="6"/>
  <c r="D75" i="6"/>
  <c r="C75" i="6"/>
  <c r="L74" i="6"/>
  <c r="K74" i="6"/>
  <c r="J74" i="6"/>
  <c r="I74" i="6"/>
  <c r="H74" i="6"/>
  <c r="G74" i="6"/>
  <c r="F74" i="6"/>
  <c r="E74" i="6"/>
  <c r="D74" i="6"/>
  <c r="C74" i="6"/>
  <c r="L73" i="6"/>
  <c r="K73" i="6"/>
  <c r="J73" i="6"/>
  <c r="I73" i="6"/>
  <c r="H73" i="6"/>
  <c r="G73" i="6"/>
  <c r="F73" i="6"/>
  <c r="E73" i="6"/>
  <c r="D73" i="6"/>
  <c r="C73" i="6"/>
  <c r="L72" i="6"/>
  <c r="K72" i="6"/>
  <c r="J72" i="6"/>
  <c r="I72" i="6"/>
  <c r="H72" i="6"/>
  <c r="G72" i="6"/>
  <c r="F72" i="6"/>
  <c r="E72" i="6"/>
  <c r="D72" i="6"/>
  <c r="C72" i="6"/>
  <c r="AM71" i="6"/>
  <c r="L71" i="6"/>
  <c r="K71" i="6"/>
  <c r="J71" i="6"/>
  <c r="I71" i="6"/>
  <c r="H71" i="6"/>
  <c r="G71" i="6"/>
  <c r="F71" i="6"/>
  <c r="E71" i="6"/>
  <c r="D71" i="6"/>
  <c r="C71" i="6"/>
  <c r="AM70" i="6"/>
  <c r="L70" i="6"/>
  <c r="K70" i="6"/>
  <c r="J70" i="6"/>
  <c r="I70" i="6"/>
  <c r="H70" i="6"/>
  <c r="G70" i="6"/>
  <c r="F70" i="6"/>
  <c r="E70" i="6"/>
  <c r="D70" i="6"/>
  <c r="C70" i="6"/>
  <c r="AM69" i="6"/>
  <c r="L69" i="6"/>
  <c r="K69" i="6"/>
  <c r="J69" i="6"/>
  <c r="I69" i="6"/>
  <c r="H69" i="6"/>
  <c r="G69" i="6"/>
  <c r="F69" i="6"/>
  <c r="E69" i="6"/>
  <c r="D69" i="6"/>
  <c r="C69" i="6"/>
  <c r="AM68" i="6"/>
  <c r="L68" i="6"/>
  <c r="K68" i="6"/>
  <c r="J68" i="6"/>
  <c r="I68" i="6"/>
  <c r="H68" i="6"/>
  <c r="G68" i="6"/>
  <c r="F68" i="6"/>
  <c r="E68" i="6"/>
  <c r="D68" i="6"/>
  <c r="C68" i="6"/>
  <c r="AM67" i="6"/>
  <c r="L67" i="6"/>
  <c r="K67" i="6"/>
  <c r="J67" i="6"/>
  <c r="I67" i="6"/>
  <c r="H67" i="6"/>
  <c r="G67" i="6"/>
  <c r="F67" i="6"/>
  <c r="E67" i="6"/>
  <c r="D67" i="6"/>
  <c r="C67" i="6"/>
  <c r="AM66" i="6"/>
  <c r="L66" i="6"/>
  <c r="K66" i="6"/>
  <c r="J66" i="6"/>
  <c r="I66" i="6"/>
  <c r="H66" i="6"/>
  <c r="G66" i="6"/>
  <c r="F66" i="6"/>
  <c r="E66" i="6"/>
  <c r="D66" i="6"/>
  <c r="C66" i="6"/>
  <c r="AM65" i="6"/>
  <c r="L65" i="6"/>
  <c r="K65" i="6"/>
  <c r="J65" i="6"/>
  <c r="I65" i="6"/>
  <c r="H65" i="6"/>
  <c r="G65" i="6"/>
  <c r="F65" i="6"/>
  <c r="E65" i="6"/>
  <c r="D65" i="6"/>
  <c r="C65" i="6"/>
  <c r="AM64" i="6"/>
  <c r="L64" i="6"/>
  <c r="K64" i="6"/>
  <c r="J64" i="6"/>
  <c r="I64" i="6"/>
  <c r="H64" i="6"/>
  <c r="G64" i="6"/>
  <c r="F64" i="6"/>
  <c r="E64" i="6"/>
  <c r="D64" i="6"/>
  <c r="C64" i="6"/>
  <c r="AM63" i="6"/>
  <c r="L63" i="6"/>
  <c r="K63" i="6"/>
  <c r="J63" i="6"/>
  <c r="I63" i="6"/>
  <c r="H63" i="6"/>
  <c r="G63" i="6"/>
  <c r="F63" i="6"/>
  <c r="E63" i="6"/>
  <c r="D63" i="6"/>
  <c r="C63" i="6"/>
  <c r="AM62" i="6"/>
  <c r="L62" i="6"/>
  <c r="K62" i="6"/>
  <c r="J62" i="6"/>
  <c r="I62" i="6"/>
  <c r="H62" i="6"/>
  <c r="G62" i="6"/>
  <c r="F62" i="6"/>
  <c r="E62" i="6"/>
  <c r="D62" i="6"/>
  <c r="C62" i="6"/>
  <c r="L61" i="6"/>
  <c r="K61" i="6"/>
  <c r="J61" i="6"/>
  <c r="I61" i="6"/>
  <c r="H61" i="6"/>
  <c r="G61" i="6"/>
  <c r="F61" i="6"/>
  <c r="E61" i="6"/>
  <c r="D61" i="6"/>
  <c r="C61" i="6"/>
  <c r="X60" i="6"/>
  <c r="W60" i="6"/>
  <c r="V60" i="6"/>
  <c r="U60" i="6"/>
  <c r="T60" i="6"/>
  <c r="S60" i="6"/>
  <c r="R60" i="6"/>
  <c r="Q60" i="6"/>
  <c r="P60" i="6"/>
  <c r="O60" i="6"/>
  <c r="L60" i="6"/>
  <c r="K60" i="6"/>
  <c r="J60" i="6"/>
  <c r="I60" i="6"/>
  <c r="H60" i="6"/>
  <c r="G60" i="6"/>
  <c r="F60" i="6"/>
  <c r="E60" i="6"/>
  <c r="D60" i="6"/>
  <c r="C60" i="6"/>
  <c r="AJ59" i="6"/>
  <c r="AI59" i="6"/>
  <c r="AH59" i="6"/>
  <c r="AG59" i="6"/>
  <c r="AF59" i="6"/>
  <c r="AE59" i="6"/>
  <c r="AD59" i="6"/>
  <c r="AC59" i="6"/>
  <c r="AB59" i="6"/>
  <c r="AA59" i="6"/>
  <c r="X59" i="6"/>
  <c r="AJ66" i="6" s="1"/>
  <c r="W59" i="6"/>
  <c r="AI66" i="6" s="1"/>
  <c r="V59" i="6"/>
  <c r="AH66" i="6" s="1"/>
  <c r="U59" i="6"/>
  <c r="AG66" i="6" s="1"/>
  <c r="T59" i="6"/>
  <c r="AF66" i="6" s="1"/>
  <c r="S59" i="6"/>
  <c r="AE66" i="6" s="1"/>
  <c r="R59" i="6"/>
  <c r="AD66" i="6" s="1"/>
  <c r="Q59" i="6"/>
  <c r="AC66" i="6" s="1"/>
  <c r="P59" i="6"/>
  <c r="AB66" i="6" s="1"/>
  <c r="O59" i="6"/>
  <c r="AA66" i="6" s="1"/>
  <c r="L59" i="6"/>
  <c r="K59" i="6"/>
  <c r="J59" i="6"/>
  <c r="I59" i="6"/>
  <c r="H59" i="6"/>
  <c r="G59" i="6"/>
  <c r="F59" i="6"/>
  <c r="E59" i="6"/>
  <c r="D59" i="6"/>
  <c r="C59" i="6"/>
  <c r="AM58" i="6"/>
  <c r="X58" i="6"/>
  <c r="AJ65" i="6" s="1"/>
  <c r="W58" i="6"/>
  <c r="AI65" i="6" s="1"/>
  <c r="V58" i="6"/>
  <c r="AH65" i="6" s="1"/>
  <c r="U58" i="6"/>
  <c r="AG65" i="6" s="1"/>
  <c r="T58" i="6"/>
  <c r="AF65" i="6" s="1"/>
  <c r="S58" i="6"/>
  <c r="AE65" i="6" s="1"/>
  <c r="R58" i="6"/>
  <c r="AD65" i="6" s="1"/>
  <c r="Q58" i="6"/>
  <c r="AC65" i="6" s="1"/>
  <c r="P58" i="6"/>
  <c r="AB65" i="6" s="1"/>
  <c r="O58" i="6"/>
  <c r="AA65" i="6" s="1"/>
  <c r="L58" i="6"/>
  <c r="K58" i="6"/>
  <c r="J58" i="6"/>
  <c r="I58" i="6"/>
  <c r="H58" i="6"/>
  <c r="G58" i="6"/>
  <c r="F58" i="6"/>
  <c r="E58" i="6"/>
  <c r="D58" i="6"/>
  <c r="C58" i="6"/>
  <c r="AM57" i="6"/>
  <c r="X57" i="6"/>
  <c r="AJ58" i="6" s="1"/>
  <c r="W57" i="6"/>
  <c r="AI58" i="6" s="1"/>
  <c r="V57" i="6"/>
  <c r="AH58" i="6" s="1"/>
  <c r="U57" i="6"/>
  <c r="AG58" i="6" s="1"/>
  <c r="T57" i="6"/>
  <c r="AF58" i="6" s="1"/>
  <c r="S57" i="6"/>
  <c r="AE58" i="6" s="1"/>
  <c r="R57" i="6"/>
  <c r="AD58" i="6" s="1"/>
  <c r="Q57" i="6"/>
  <c r="AC58" i="6" s="1"/>
  <c r="P57" i="6"/>
  <c r="AB58" i="6" s="1"/>
  <c r="O57" i="6"/>
  <c r="AA58" i="6" s="1"/>
  <c r="L57" i="6"/>
  <c r="K57" i="6"/>
  <c r="J57" i="6"/>
  <c r="I57" i="6"/>
  <c r="H57" i="6"/>
  <c r="G57" i="6"/>
  <c r="F57" i="6"/>
  <c r="E57" i="6"/>
  <c r="D57" i="6"/>
  <c r="C57" i="6"/>
  <c r="AM56" i="6"/>
  <c r="X56" i="6"/>
  <c r="AJ57" i="6" s="1"/>
  <c r="AJ60" i="6" s="1"/>
  <c r="W56" i="6"/>
  <c r="AI57" i="6" s="1"/>
  <c r="AI60" i="6" s="1"/>
  <c r="V56" i="6"/>
  <c r="AH57" i="6" s="1"/>
  <c r="AH60" i="6" s="1"/>
  <c r="U56" i="6"/>
  <c r="AG57" i="6" s="1"/>
  <c r="AG60" i="6" s="1"/>
  <c r="T56" i="6"/>
  <c r="AF57" i="6" s="1"/>
  <c r="AF60" i="6" s="1"/>
  <c r="S56" i="6"/>
  <c r="AE57" i="6" s="1"/>
  <c r="AE60" i="6" s="1"/>
  <c r="R56" i="6"/>
  <c r="AD57" i="6" s="1"/>
  <c r="AD60" i="6" s="1"/>
  <c r="Q56" i="6"/>
  <c r="AC57" i="6" s="1"/>
  <c r="AC60" i="6" s="1"/>
  <c r="P56" i="6"/>
  <c r="AB57" i="6" s="1"/>
  <c r="AB60" i="6" s="1"/>
  <c r="O56" i="6"/>
  <c r="AA57" i="6" s="1"/>
  <c r="AA60" i="6" s="1"/>
  <c r="L56" i="6"/>
  <c r="K56" i="6"/>
  <c r="J56" i="6"/>
  <c r="I56" i="6"/>
  <c r="H56" i="6"/>
  <c r="G56" i="6"/>
  <c r="F56" i="6"/>
  <c r="E56" i="6"/>
  <c r="D56" i="6"/>
  <c r="C56" i="6"/>
  <c r="AM55" i="6"/>
  <c r="X55" i="6"/>
  <c r="AJ64" i="6" s="1"/>
  <c r="W55" i="6"/>
  <c r="AI64" i="6" s="1"/>
  <c r="V55" i="6"/>
  <c r="AH64" i="6" s="1"/>
  <c r="U55" i="6"/>
  <c r="AG64" i="6" s="1"/>
  <c r="T55" i="6"/>
  <c r="AF64" i="6" s="1"/>
  <c r="S55" i="6"/>
  <c r="AE64" i="6" s="1"/>
  <c r="R55" i="6"/>
  <c r="AD64" i="6" s="1"/>
  <c r="Q55" i="6"/>
  <c r="AC64" i="6" s="1"/>
  <c r="P55" i="6"/>
  <c r="AB64" i="6" s="1"/>
  <c r="O55" i="6"/>
  <c r="AA64" i="6" s="1"/>
  <c r="L55" i="6"/>
  <c r="K55" i="6"/>
  <c r="J55" i="6"/>
  <c r="I55" i="6"/>
  <c r="H55" i="6"/>
  <c r="G55" i="6"/>
  <c r="F55" i="6"/>
  <c r="E55" i="6"/>
  <c r="D55" i="6"/>
  <c r="C55" i="6"/>
  <c r="AM54" i="6"/>
  <c r="X54" i="6"/>
  <c r="W54" i="6"/>
  <c r="V54" i="6"/>
  <c r="U54" i="6"/>
  <c r="T54" i="6"/>
  <c r="S54" i="6"/>
  <c r="R54" i="6"/>
  <c r="Q54" i="6"/>
  <c r="P54" i="6"/>
  <c r="O54" i="6"/>
  <c r="AA63" i="6" s="1"/>
  <c r="AA67" i="6" s="1"/>
  <c r="L54" i="6"/>
  <c r="K54" i="6"/>
  <c r="J54" i="6"/>
  <c r="I54" i="6"/>
  <c r="H54" i="6"/>
  <c r="G54" i="6"/>
  <c r="F54" i="6"/>
  <c r="E54" i="6"/>
  <c r="D54" i="6"/>
  <c r="C54" i="6"/>
  <c r="X53" i="6"/>
  <c r="AJ72" i="6" s="1"/>
  <c r="W53" i="6"/>
  <c r="AI72" i="6" s="1"/>
  <c r="V53" i="6"/>
  <c r="AH72" i="6" s="1"/>
  <c r="U53" i="6"/>
  <c r="AG72" i="6" s="1"/>
  <c r="T53" i="6"/>
  <c r="AF72" i="6" s="1"/>
  <c r="S53" i="6"/>
  <c r="AE72" i="6" s="1"/>
  <c r="R53" i="6"/>
  <c r="AD72" i="6" s="1"/>
  <c r="Q53" i="6"/>
  <c r="AC72" i="6" s="1"/>
  <c r="P53" i="6"/>
  <c r="AB72" i="6" s="1"/>
  <c r="O53" i="6"/>
  <c r="AA72" i="6" s="1"/>
  <c r="L53" i="6"/>
  <c r="K53" i="6"/>
  <c r="J53" i="6"/>
  <c r="I53" i="6"/>
  <c r="H53" i="6"/>
  <c r="G53" i="6"/>
  <c r="F53" i="6"/>
  <c r="E53" i="6"/>
  <c r="D53" i="6"/>
  <c r="C53" i="6"/>
  <c r="X52" i="6"/>
  <c r="AJ71" i="6" s="1"/>
  <c r="W52" i="6"/>
  <c r="AI71" i="6" s="1"/>
  <c r="V52" i="6"/>
  <c r="AH71" i="6" s="1"/>
  <c r="U52" i="6"/>
  <c r="AG71" i="6" s="1"/>
  <c r="T52" i="6"/>
  <c r="AF71" i="6" s="1"/>
  <c r="S52" i="6"/>
  <c r="AE71" i="6" s="1"/>
  <c r="R52" i="6"/>
  <c r="AD71" i="6" s="1"/>
  <c r="Q52" i="6"/>
  <c r="AC71" i="6" s="1"/>
  <c r="P52" i="6"/>
  <c r="AB71" i="6" s="1"/>
  <c r="O52" i="6"/>
  <c r="AA71" i="6" s="1"/>
  <c r="L52" i="6"/>
  <c r="K52" i="6"/>
  <c r="J52" i="6"/>
  <c r="I52" i="6"/>
  <c r="H52" i="6"/>
  <c r="G52" i="6"/>
  <c r="F52" i="6"/>
  <c r="E52" i="6"/>
  <c r="D52" i="6"/>
  <c r="C52" i="6"/>
  <c r="X51" i="6"/>
  <c r="W51" i="6"/>
  <c r="V51" i="6"/>
  <c r="U51" i="6"/>
  <c r="T51" i="6"/>
  <c r="S51" i="6"/>
  <c r="R51" i="6"/>
  <c r="Q51" i="6"/>
  <c r="P51" i="6"/>
  <c r="O51" i="6"/>
  <c r="L51" i="6"/>
  <c r="K51" i="6"/>
  <c r="J51" i="6"/>
  <c r="I51" i="6"/>
  <c r="H51" i="6"/>
  <c r="G51" i="6"/>
  <c r="F51" i="6"/>
  <c r="E51" i="6"/>
  <c r="D51" i="6"/>
  <c r="C51" i="6"/>
  <c r="L50" i="6"/>
  <c r="K50" i="6"/>
  <c r="J50" i="6"/>
  <c r="I50" i="6"/>
  <c r="H50" i="6"/>
  <c r="G50" i="6"/>
  <c r="F50" i="6"/>
  <c r="E50" i="6"/>
  <c r="D50" i="6"/>
  <c r="C50" i="6"/>
  <c r="L49" i="6"/>
  <c r="K49" i="6"/>
  <c r="J49" i="6"/>
  <c r="I49" i="6"/>
  <c r="H49" i="6"/>
  <c r="G49" i="6"/>
  <c r="F49" i="6"/>
  <c r="E49" i="6"/>
  <c r="D49" i="6"/>
  <c r="C49" i="6"/>
  <c r="AV48" i="6"/>
  <c r="AU48" i="6"/>
  <c r="AT48" i="6"/>
  <c r="AS48" i="6"/>
  <c r="AR48" i="6"/>
  <c r="AQ48" i="6"/>
  <c r="AP48" i="6"/>
  <c r="AO48" i="6"/>
  <c r="AN48" i="6"/>
  <c r="AM48" i="6"/>
  <c r="X48" i="6"/>
  <c r="W48" i="6"/>
  <c r="V48" i="6"/>
  <c r="U48" i="6"/>
  <c r="T48" i="6"/>
  <c r="S48" i="6"/>
  <c r="R48" i="6"/>
  <c r="Q48" i="6"/>
  <c r="P48" i="6"/>
  <c r="O48" i="6"/>
  <c r="L48" i="6"/>
  <c r="K48" i="6"/>
  <c r="J48" i="6"/>
  <c r="I48" i="6"/>
  <c r="H48" i="6"/>
  <c r="G48" i="6"/>
  <c r="F48" i="6"/>
  <c r="E48" i="6"/>
  <c r="D48" i="6"/>
  <c r="C48" i="6"/>
  <c r="AV47" i="6"/>
  <c r="AU47" i="6"/>
  <c r="AT47" i="6"/>
  <c r="AS47" i="6"/>
  <c r="AR47" i="6"/>
  <c r="AQ47" i="6"/>
  <c r="AP47" i="6"/>
  <c r="AO47" i="6"/>
  <c r="AN47" i="6"/>
  <c r="AM47" i="6"/>
  <c r="X47" i="6"/>
  <c r="AJ52" i="6" s="1"/>
  <c r="W47" i="6"/>
  <c r="AI52" i="6" s="1"/>
  <c r="V47" i="6"/>
  <c r="AH52" i="6" s="1"/>
  <c r="U47" i="6"/>
  <c r="AG52" i="6" s="1"/>
  <c r="T47" i="6"/>
  <c r="AF52" i="6" s="1"/>
  <c r="S47" i="6"/>
  <c r="AE52" i="6" s="1"/>
  <c r="R47" i="6"/>
  <c r="AD52" i="6" s="1"/>
  <c r="Q47" i="6"/>
  <c r="AC52" i="6" s="1"/>
  <c r="P47" i="6"/>
  <c r="AB52" i="6" s="1"/>
  <c r="O47" i="6"/>
  <c r="AA52" i="6" s="1"/>
  <c r="L47" i="6"/>
  <c r="K47" i="6"/>
  <c r="J47" i="6"/>
  <c r="I47" i="6"/>
  <c r="H47" i="6"/>
  <c r="G47" i="6"/>
  <c r="F47" i="6"/>
  <c r="E47" i="6"/>
  <c r="D47" i="6"/>
  <c r="C47" i="6"/>
  <c r="AJ46" i="6"/>
  <c r="AI46" i="6"/>
  <c r="AH46" i="6"/>
  <c r="AG46" i="6"/>
  <c r="AF46" i="6"/>
  <c r="AE46" i="6"/>
  <c r="AD46" i="6"/>
  <c r="AC46" i="6"/>
  <c r="AB46" i="6"/>
  <c r="AA46" i="6"/>
  <c r="X46" i="6"/>
  <c r="W46" i="6"/>
  <c r="V46" i="6"/>
  <c r="U46" i="6"/>
  <c r="T46" i="6"/>
  <c r="S46" i="6"/>
  <c r="R46" i="6"/>
  <c r="Q46" i="6"/>
  <c r="P46" i="6"/>
  <c r="O46" i="6"/>
  <c r="L46" i="6"/>
  <c r="K46" i="6"/>
  <c r="J46" i="6"/>
  <c r="I46" i="6"/>
  <c r="H46" i="6"/>
  <c r="G46" i="6"/>
  <c r="F46" i="6"/>
  <c r="E46" i="6"/>
  <c r="D46" i="6"/>
  <c r="C46" i="6"/>
  <c r="X45" i="6"/>
  <c r="AJ45" i="6" s="1"/>
  <c r="W45" i="6"/>
  <c r="AI45" i="6" s="1"/>
  <c r="V45" i="6"/>
  <c r="AH45" i="6" s="1"/>
  <c r="U45" i="6"/>
  <c r="AG45" i="6" s="1"/>
  <c r="T45" i="6"/>
  <c r="AF45" i="6" s="1"/>
  <c r="S45" i="6"/>
  <c r="AE45" i="6" s="1"/>
  <c r="R45" i="6"/>
  <c r="AD45" i="6" s="1"/>
  <c r="Q45" i="6"/>
  <c r="AC45" i="6" s="1"/>
  <c r="P45" i="6"/>
  <c r="AB45" i="6" s="1"/>
  <c r="O45" i="6"/>
  <c r="AA45" i="6" s="1"/>
  <c r="L45" i="6"/>
  <c r="K45" i="6"/>
  <c r="J45" i="6"/>
  <c r="I45" i="6"/>
  <c r="H45" i="6"/>
  <c r="G45" i="6"/>
  <c r="F45" i="6"/>
  <c r="E45" i="6"/>
  <c r="D45" i="6"/>
  <c r="C45" i="6"/>
  <c r="AV44" i="6"/>
  <c r="AU44" i="6"/>
  <c r="AT44" i="6"/>
  <c r="AS44" i="6"/>
  <c r="AR44" i="6"/>
  <c r="AQ44" i="6"/>
  <c r="AP44" i="6"/>
  <c r="AO44" i="6"/>
  <c r="AN44" i="6"/>
  <c r="AM44" i="6"/>
  <c r="X44" i="6"/>
  <c r="W44" i="6"/>
  <c r="V44" i="6"/>
  <c r="U44" i="6"/>
  <c r="T44" i="6"/>
  <c r="S44" i="6"/>
  <c r="R44" i="6"/>
  <c r="Q44" i="6"/>
  <c r="P44" i="6"/>
  <c r="O44" i="6"/>
  <c r="L44" i="6"/>
  <c r="K44" i="6"/>
  <c r="J44" i="6"/>
  <c r="I44" i="6"/>
  <c r="H44" i="6"/>
  <c r="G44" i="6"/>
  <c r="F44" i="6"/>
  <c r="E44" i="6"/>
  <c r="D44" i="6"/>
  <c r="C44" i="6"/>
  <c r="AV43" i="6"/>
  <c r="AU43" i="6"/>
  <c r="AT43" i="6"/>
  <c r="AS43" i="6"/>
  <c r="AR43" i="6"/>
  <c r="AQ43" i="6"/>
  <c r="AP43" i="6"/>
  <c r="AO43" i="6"/>
  <c r="AN43" i="6"/>
  <c r="AM43" i="6"/>
  <c r="X43" i="6"/>
  <c r="AJ43" i="6" s="1"/>
  <c r="W43" i="6"/>
  <c r="AI43" i="6" s="1"/>
  <c r="V43" i="6"/>
  <c r="AH43" i="6" s="1"/>
  <c r="U43" i="6"/>
  <c r="AG43" i="6" s="1"/>
  <c r="T43" i="6"/>
  <c r="AF43" i="6" s="1"/>
  <c r="S43" i="6"/>
  <c r="AE43" i="6" s="1"/>
  <c r="R43" i="6"/>
  <c r="AD43" i="6" s="1"/>
  <c r="Q43" i="6"/>
  <c r="AC43" i="6" s="1"/>
  <c r="P43" i="6"/>
  <c r="AB43" i="6" s="1"/>
  <c r="O43" i="6"/>
  <c r="AA43" i="6" s="1"/>
  <c r="L43" i="6"/>
  <c r="K43" i="6"/>
  <c r="J43" i="6"/>
  <c r="I43" i="6"/>
  <c r="H43" i="6"/>
  <c r="G43" i="6"/>
  <c r="F43" i="6"/>
  <c r="E43" i="6"/>
  <c r="D43" i="6"/>
  <c r="C43" i="6"/>
  <c r="AV42" i="6"/>
  <c r="AU42" i="6"/>
  <c r="AT42" i="6"/>
  <c r="AS42" i="6"/>
  <c r="AR42" i="6"/>
  <c r="AQ42" i="6"/>
  <c r="AP42" i="6"/>
  <c r="AO42" i="6"/>
  <c r="AN42" i="6"/>
  <c r="AM42" i="6"/>
  <c r="X42" i="6"/>
  <c r="AJ50" i="6" s="1"/>
  <c r="W42" i="6"/>
  <c r="AI50" i="6" s="1"/>
  <c r="V42" i="6"/>
  <c r="AH50" i="6" s="1"/>
  <c r="U42" i="6"/>
  <c r="AG50" i="6" s="1"/>
  <c r="T42" i="6"/>
  <c r="AF50" i="6" s="1"/>
  <c r="S42" i="6"/>
  <c r="AE50" i="6" s="1"/>
  <c r="R42" i="6"/>
  <c r="AD50" i="6" s="1"/>
  <c r="Q42" i="6"/>
  <c r="AC50" i="6" s="1"/>
  <c r="P42" i="6"/>
  <c r="AB50" i="6" s="1"/>
  <c r="O42" i="6"/>
  <c r="AA50" i="6" s="1"/>
  <c r="L42" i="6"/>
  <c r="K42" i="6"/>
  <c r="J42" i="6"/>
  <c r="I42" i="6"/>
  <c r="H42" i="6"/>
  <c r="G42" i="6"/>
  <c r="F42" i="6"/>
  <c r="E42" i="6"/>
  <c r="D42" i="6"/>
  <c r="C42" i="6"/>
  <c r="AM41" i="6"/>
  <c r="X41" i="6"/>
  <c r="W41" i="6"/>
  <c r="V41" i="6"/>
  <c r="U41" i="6"/>
  <c r="T41" i="6"/>
  <c r="S41" i="6"/>
  <c r="R41" i="6"/>
  <c r="Q41" i="6"/>
  <c r="P41" i="6"/>
  <c r="O41" i="6"/>
  <c r="L41" i="6"/>
  <c r="K41" i="6"/>
  <c r="J41" i="6"/>
  <c r="I41" i="6"/>
  <c r="H41" i="6"/>
  <c r="G41" i="6"/>
  <c r="F41" i="6"/>
  <c r="E41" i="6"/>
  <c r="D41" i="6"/>
  <c r="C41" i="6"/>
  <c r="AM40" i="6"/>
  <c r="AM39" i="6"/>
  <c r="AM38" i="6"/>
  <c r="AZ37" i="6"/>
  <c r="AM37" i="6"/>
  <c r="L36" i="6"/>
  <c r="K36" i="6"/>
  <c r="J36" i="6"/>
  <c r="I36" i="6"/>
  <c r="H36" i="6"/>
  <c r="G36" i="6"/>
  <c r="F36" i="6"/>
  <c r="E36" i="6"/>
  <c r="D36" i="6"/>
  <c r="C36" i="6"/>
  <c r="L35" i="6"/>
  <c r="K35" i="6"/>
  <c r="J35" i="6"/>
  <c r="I35" i="6"/>
  <c r="H35" i="6"/>
  <c r="G35" i="6"/>
  <c r="F35" i="6"/>
  <c r="E35" i="6"/>
  <c r="D35" i="6"/>
  <c r="C35" i="6"/>
  <c r="AM34" i="6"/>
  <c r="L34" i="6"/>
  <c r="K34" i="6"/>
  <c r="J34" i="6"/>
  <c r="I34" i="6"/>
  <c r="H34" i="6"/>
  <c r="G34" i="6"/>
  <c r="F34" i="6"/>
  <c r="E34" i="6"/>
  <c r="D34" i="6"/>
  <c r="C34" i="6"/>
  <c r="AZ33" i="6"/>
  <c r="AM33" i="6"/>
  <c r="L33" i="6"/>
  <c r="K33" i="6"/>
  <c r="J33" i="6"/>
  <c r="I33" i="6"/>
  <c r="H33" i="6"/>
  <c r="G33" i="6"/>
  <c r="F33" i="6"/>
  <c r="E33" i="6"/>
  <c r="D33" i="6"/>
  <c r="C33" i="6"/>
  <c r="AM32" i="6"/>
  <c r="L32" i="6"/>
  <c r="K32" i="6"/>
  <c r="J32" i="6"/>
  <c r="I32" i="6"/>
  <c r="H32" i="6"/>
  <c r="G32" i="6"/>
  <c r="F32" i="6"/>
  <c r="E32" i="6"/>
  <c r="D32" i="6"/>
  <c r="C32" i="6"/>
  <c r="L31" i="6"/>
  <c r="K31" i="6"/>
  <c r="J31" i="6"/>
  <c r="I31" i="6"/>
  <c r="H31" i="6"/>
  <c r="G31" i="6"/>
  <c r="F31" i="6"/>
  <c r="E31" i="6"/>
  <c r="D31" i="6"/>
  <c r="C31" i="6"/>
  <c r="L30" i="6"/>
  <c r="K30" i="6"/>
  <c r="J30" i="6"/>
  <c r="I30" i="6"/>
  <c r="H30" i="6"/>
  <c r="G30" i="6"/>
  <c r="F30" i="6"/>
  <c r="E30" i="6"/>
  <c r="D30" i="6"/>
  <c r="C30" i="6"/>
  <c r="AZ29" i="6"/>
  <c r="L29" i="6"/>
  <c r="K29" i="6"/>
  <c r="J29" i="6"/>
  <c r="I29" i="6"/>
  <c r="H29" i="6"/>
  <c r="G29" i="6"/>
  <c r="F29" i="6"/>
  <c r="E29" i="6"/>
  <c r="D29" i="6"/>
  <c r="C29" i="6"/>
  <c r="AM28" i="6"/>
  <c r="L28" i="6"/>
  <c r="K28" i="6"/>
  <c r="J28" i="6"/>
  <c r="I28" i="6"/>
  <c r="H28" i="6"/>
  <c r="G28" i="6"/>
  <c r="F28" i="6"/>
  <c r="E28" i="6"/>
  <c r="D28" i="6"/>
  <c r="C28" i="6"/>
  <c r="AM27" i="6"/>
  <c r="L27" i="6"/>
  <c r="K27" i="6"/>
  <c r="J27" i="6"/>
  <c r="I27" i="6"/>
  <c r="H27" i="6"/>
  <c r="G27" i="6"/>
  <c r="F27" i="6"/>
  <c r="E27" i="6"/>
  <c r="D27" i="6"/>
  <c r="C27" i="6"/>
  <c r="BI26" i="6"/>
  <c r="BH26" i="6"/>
  <c r="BG26" i="6"/>
  <c r="BF26" i="6"/>
  <c r="BE26" i="6"/>
  <c r="BD26" i="6"/>
  <c r="BC26" i="6"/>
  <c r="BB26" i="6"/>
  <c r="BA26" i="6"/>
  <c r="AZ26" i="6"/>
  <c r="BJ26" i="6" s="1"/>
  <c r="AM26" i="6"/>
  <c r="L26" i="6"/>
  <c r="K26" i="6"/>
  <c r="J26" i="6"/>
  <c r="I26" i="6"/>
  <c r="H26" i="6"/>
  <c r="G26" i="6"/>
  <c r="F26" i="6"/>
  <c r="E26" i="6"/>
  <c r="D26" i="6"/>
  <c r="C26" i="6"/>
  <c r="AZ25" i="6"/>
  <c r="AM25" i="6"/>
  <c r="L25" i="6"/>
  <c r="K25" i="6"/>
  <c r="J25" i="6"/>
  <c r="I25" i="6"/>
  <c r="H25" i="6"/>
  <c r="G25" i="6"/>
  <c r="F25" i="6"/>
  <c r="E25" i="6"/>
  <c r="D25" i="6"/>
  <c r="C25" i="6"/>
  <c r="L24" i="6"/>
  <c r="K24" i="6"/>
  <c r="J24" i="6"/>
  <c r="I24" i="6"/>
  <c r="H24" i="6"/>
  <c r="G24" i="6"/>
  <c r="F24" i="6"/>
  <c r="E24" i="6"/>
  <c r="D24" i="6"/>
  <c r="C24" i="6"/>
  <c r="L23" i="6"/>
  <c r="K23" i="6"/>
  <c r="J23" i="6"/>
  <c r="I23" i="6"/>
  <c r="H23" i="6"/>
  <c r="G23" i="6"/>
  <c r="F23" i="6"/>
  <c r="E23" i="6"/>
  <c r="D23" i="6"/>
  <c r="C23" i="6"/>
  <c r="AZ22" i="6"/>
  <c r="L22" i="6"/>
  <c r="K22" i="6"/>
  <c r="J22" i="6"/>
  <c r="I22" i="6"/>
  <c r="H22" i="6"/>
  <c r="G22" i="6"/>
  <c r="F22" i="6"/>
  <c r="E22" i="6"/>
  <c r="D22" i="6"/>
  <c r="C22" i="6"/>
  <c r="AZ21" i="6"/>
  <c r="AZ35" i="6" s="1"/>
  <c r="L21" i="6"/>
  <c r="K21" i="6"/>
  <c r="J21" i="6"/>
  <c r="I21" i="6"/>
  <c r="H21" i="6"/>
  <c r="G21" i="6"/>
  <c r="F21" i="6"/>
  <c r="E21" i="6"/>
  <c r="D21" i="6"/>
  <c r="C21" i="6"/>
  <c r="L20" i="6"/>
  <c r="K20" i="6"/>
  <c r="J20" i="6"/>
  <c r="I20" i="6"/>
  <c r="H20" i="6"/>
  <c r="G20" i="6"/>
  <c r="F20" i="6"/>
  <c r="E20" i="6"/>
  <c r="D20" i="6"/>
  <c r="C20" i="6"/>
  <c r="L19" i="6"/>
  <c r="K19" i="6"/>
  <c r="J19" i="6"/>
  <c r="I19" i="6"/>
  <c r="H19" i="6"/>
  <c r="G19" i="6"/>
  <c r="F19" i="6"/>
  <c r="E19" i="6"/>
  <c r="D19" i="6"/>
  <c r="C19" i="6"/>
  <c r="L18" i="6"/>
  <c r="K18" i="6"/>
  <c r="J18" i="6"/>
  <c r="I18" i="6"/>
  <c r="H18" i="6"/>
  <c r="G18" i="6"/>
  <c r="F18" i="6"/>
  <c r="E18" i="6"/>
  <c r="D18" i="6"/>
  <c r="C18" i="6"/>
  <c r="BI17" i="6"/>
  <c r="BH17" i="6"/>
  <c r="BG17" i="6"/>
  <c r="BF17" i="6"/>
  <c r="BE17" i="6"/>
  <c r="BD17" i="6"/>
  <c r="BC17" i="6"/>
  <c r="BB17" i="6"/>
  <c r="BA17" i="6"/>
  <c r="AZ17" i="6"/>
  <c r="L17" i="6"/>
  <c r="K17" i="6"/>
  <c r="J17" i="6"/>
  <c r="I17" i="6"/>
  <c r="H17" i="6"/>
  <c r="G17" i="6"/>
  <c r="F17" i="6"/>
  <c r="E17" i="6"/>
  <c r="D17" i="6"/>
  <c r="C17" i="6"/>
  <c r="BI16" i="6"/>
  <c r="BI18" i="6" s="1"/>
  <c r="BH16" i="6"/>
  <c r="BH18" i="6" s="1"/>
  <c r="BG16" i="6"/>
  <c r="BG18" i="6" s="1"/>
  <c r="BF16" i="6"/>
  <c r="BF18" i="6" s="1"/>
  <c r="BE16" i="6"/>
  <c r="BE18" i="6" s="1"/>
  <c r="BD16" i="6"/>
  <c r="BD18" i="6" s="1"/>
  <c r="BC16" i="6"/>
  <c r="BC18" i="6" s="1"/>
  <c r="BB16" i="6"/>
  <c r="BB18" i="6" s="1"/>
  <c r="BA16" i="6"/>
  <c r="BA18" i="6" s="1"/>
  <c r="AZ16" i="6"/>
  <c r="AZ18" i="6" s="1"/>
  <c r="BJ18" i="6" s="1"/>
  <c r="X16" i="6"/>
  <c r="W16" i="6"/>
  <c r="V16" i="6"/>
  <c r="U16" i="6"/>
  <c r="T16" i="6"/>
  <c r="S16" i="6"/>
  <c r="R16" i="6"/>
  <c r="Q16" i="6"/>
  <c r="P16" i="6"/>
  <c r="O16" i="6"/>
  <c r="L16" i="6"/>
  <c r="K16" i="6"/>
  <c r="J16" i="6"/>
  <c r="I16" i="6"/>
  <c r="H16" i="6"/>
  <c r="G16" i="6"/>
  <c r="F16" i="6"/>
  <c r="E16" i="6"/>
  <c r="D16" i="6"/>
  <c r="C16" i="6"/>
  <c r="L15" i="6"/>
  <c r="K15" i="6"/>
  <c r="J15" i="6"/>
  <c r="I15" i="6"/>
  <c r="H15" i="6"/>
  <c r="G15" i="6"/>
  <c r="F15" i="6"/>
  <c r="E15" i="6"/>
  <c r="D15" i="6"/>
  <c r="C15" i="6"/>
  <c r="X14" i="6"/>
  <c r="W14" i="6"/>
  <c r="V14" i="6"/>
  <c r="U14" i="6"/>
  <c r="T14" i="6"/>
  <c r="S14" i="6"/>
  <c r="R14" i="6"/>
  <c r="Q14" i="6"/>
  <c r="P14" i="6"/>
  <c r="O14" i="6"/>
  <c r="L14" i="6"/>
  <c r="K14" i="6"/>
  <c r="J14" i="6"/>
  <c r="I14" i="6"/>
  <c r="H14" i="6"/>
  <c r="G14" i="6"/>
  <c r="F14" i="6"/>
  <c r="E14" i="6"/>
  <c r="D14" i="6"/>
  <c r="C14" i="6"/>
  <c r="AJ13" i="6"/>
  <c r="AI13" i="6"/>
  <c r="AH13" i="6"/>
  <c r="AG13" i="6"/>
  <c r="AF13" i="6"/>
  <c r="AE13" i="6"/>
  <c r="AD13" i="6"/>
  <c r="AC13" i="6"/>
  <c r="AB13" i="6"/>
  <c r="AA13" i="6"/>
  <c r="X13" i="6"/>
  <c r="W13" i="6"/>
  <c r="V13" i="6"/>
  <c r="U13" i="6"/>
  <c r="T13" i="6"/>
  <c r="S13" i="6"/>
  <c r="R13" i="6"/>
  <c r="Q13" i="6"/>
  <c r="P13" i="6"/>
  <c r="O13" i="6"/>
  <c r="L13" i="6"/>
  <c r="K13" i="6"/>
  <c r="J13" i="6"/>
  <c r="I13" i="6"/>
  <c r="H13" i="6"/>
  <c r="G13" i="6"/>
  <c r="F13" i="6"/>
  <c r="E13" i="6"/>
  <c r="D13" i="6"/>
  <c r="C13" i="6"/>
  <c r="BI12" i="6"/>
  <c r="BH12" i="6"/>
  <c r="BG12" i="6"/>
  <c r="BF12" i="6"/>
  <c r="BE12" i="6"/>
  <c r="BD12" i="6"/>
  <c r="BC12" i="6"/>
  <c r="BB12" i="6"/>
  <c r="BA12" i="6"/>
  <c r="AZ12" i="6"/>
  <c r="AJ12" i="6"/>
  <c r="AI12" i="6"/>
  <c r="AH12" i="6"/>
  <c r="AG12" i="6"/>
  <c r="AF12" i="6"/>
  <c r="AE12" i="6"/>
  <c r="AD12" i="6"/>
  <c r="AC12" i="6"/>
  <c r="AB12" i="6"/>
  <c r="AA12" i="6"/>
  <c r="X12" i="6"/>
  <c r="W12" i="6"/>
  <c r="V12" i="6"/>
  <c r="U12" i="6"/>
  <c r="T12" i="6"/>
  <c r="S12" i="6"/>
  <c r="R12" i="6"/>
  <c r="Q12" i="6"/>
  <c r="P12" i="6"/>
  <c r="O12" i="6"/>
  <c r="L12" i="6"/>
  <c r="K12" i="6"/>
  <c r="J12" i="6"/>
  <c r="I12" i="6"/>
  <c r="H12" i="6"/>
  <c r="G12" i="6"/>
  <c r="F12" i="6"/>
  <c r="E12" i="6"/>
  <c r="D12" i="6"/>
  <c r="C12" i="6"/>
  <c r="BI11" i="6"/>
  <c r="BH11" i="6"/>
  <c r="BG11" i="6"/>
  <c r="BF11" i="6"/>
  <c r="BE11" i="6"/>
  <c r="BD11" i="6"/>
  <c r="BC11" i="6"/>
  <c r="BB11" i="6"/>
  <c r="BA11" i="6"/>
  <c r="AZ11" i="6"/>
  <c r="L11" i="6"/>
  <c r="K11" i="6"/>
  <c r="J11" i="6"/>
  <c r="I11" i="6"/>
  <c r="H11" i="6"/>
  <c r="G11" i="6"/>
  <c r="F11" i="6"/>
  <c r="E11" i="6"/>
  <c r="D11" i="6"/>
  <c r="C11" i="6"/>
  <c r="BI10" i="6"/>
  <c r="BH10" i="6"/>
  <c r="BG10" i="6"/>
  <c r="BF10" i="6"/>
  <c r="BE10" i="6"/>
  <c r="BD10" i="6"/>
  <c r="BC10" i="6"/>
  <c r="BB10" i="6"/>
  <c r="BA10" i="6"/>
  <c r="AZ10" i="6"/>
  <c r="X10" i="6"/>
  <c r="W10" i="6"/>
  <c r="V10" i="6"/>
  <c r="U10" i="6"/>
  <c r="T10" i="6"/>
  <c r="S10" i="6"/>
  <c r="R10" i="6"/>
  <c r="Q10" i="6"/>
  <c r="P10" i="6"/>
  <c r="O10" i="6"/>
  <c r="L10" i="6"/>
  <c r="K10" i="6"/>
  <c r="J10" i="6"/>
  <c r="I10" i="6"/>
  <c r="H10" i="6"/>
  <c r="G10" i="6"/>
  <c r="F10" i="6"/>
  <c r="E10" i="6"/>
  <c r="D10" i="6"/>
  <c r="C10" i="6"/>
  <c r="BI9" i="6"/>
  <c r="BI13" i="6" s="1"/>
  <c r="BI20" i="6" s="1"/>
  <c r="BH9" i="6"/>
  <c r="BH13" i="6" s="1"/>
  <c r="BH20" i="6" s="1"/>
  <c r="BG9" i="6"/>
  <c r="BG13" i="6" s="1"/>
  <c r="BG20" i="6" s="1"/>
  <c r="BF9" i="6"/>
  <c r="BF13" i="6" s="1"/>
  <c r="BF20" i="6" s="1"/>
  <c r="BE9" i="6"/>
  <c r="BE13" i="6" s="1"/>
  <c r="BE20" i="6" s="1"/>
  <c r="BD9" i="6"/>
  <c r="BD13" i="6" s="1"/>
  <c r="BD20" i="6" s="1"/>
  <c r="BC9" i="6"/>
  <c r="BC13" i="6" s="1"/>
  <c r="BC20" i="6" s="1"/>
  <c r="BB9" i="6"/>
  <c r="BB13" i="6" s="1"/>
  <c r="BB20" i="6" s="1"/>
  <c r="BA9" i="6"/>
  <c r="BA13" i="6" s="1"/>
  <c r="BA20" i="6" s="1"/>
  <c r="AZ9" i="6"/>
  <c r="AZ13" i="6" s="1"/>
  <c r="AJ9" i="6"/>
  <c r="AI9" i="6"/>
  <c r="AH9" i="6"/>
  <c r="AG9" i="6"/>
  <c r="AF9" i="6"/>
  <c r="AE9" i="6"/>
  <c r="AD9" i="6"/>
  <c r="AC9" i="6"/>
  <c r="AB9" i="6"/>
  <c r="AA9" i="6"/>
  <c r="L9" i="6"/>
  <c r="K9" i="6"/>
  <c r="J9" i="6"/>
  <c r="I9" i="6"/>
  <c r="H9" i="6"/>
  <c r="G9" i="6"/>
  <c r="F9" i="6"/>
  <c r="E9" i="6"/>
  <c r="D9" i="6"/>
  <c r="C9" i="6"/>
  <c r="X8" i="6"/>
  <c r="W8" i="6"/>
  <c r="V8" i="6"/>
  <c r="U8" i="6"/>
  <c r="T8" i="6"/>
  <c r="S8" i="6"/>
  <c r="R8" i="6"/>
  <c r="Q8" i="6"/>
  <c r="P8" i="6"/>
  <c r="O8" i="6"/>
  <c r="L8" i="6"/>
  <c r="K8" i="6"/>
  <c r="J8" i="6"/>
  <c r="I8" i="6"/>
  <c r="H8" i="6"/>
  <c r="G8" i="6"/>
  <c r="F8" i="6"/>
  <c r="E8" i="6"/>
  <c r="D8" i="6"/>
  <c r="C8" i="6"/>
  <c r="AM7" i="6"/>
  <c r="AJ7" i="6"/>
  <c r="E13" i="7" s="1"/>
  <c r="AI7" i="6"/>
  <c r="D13" i="7" s="1"/>
  <c r="AH7" i="6"/>
  <c r="C13" i="7" s="1"/>
  <c r="AG7" i="6"/>
  <c r="AF7" i="6"/>
  <c r="AE7" i="6"/>
  <c r="AD7" i="6"/>
  <c r="AC7" i="6"/>
  <c r="AB7" i="6"/>
  <c r="AA7" i="6"/>
  <c r="X7" i="6"/>
  <c r="W7" i="6"/>
  <c r="V7" i="6"/>
  <c r="U7" i="6"/>
  <c r="T7" i="6"/>
  <c r="S7" i="6"/>
  <c r="R7" i="6"/>
  <c r="Q7" i="6"/>
  <c r="P7" i="6"/>
  <c r="O7" i="6"/>
  <c r="L7" i="6"/>
  <c r="K7" i="6"/>
  <c r="J7" i="6"/>
  <c r="I7" i="6"/>
  <c r="H7" i="6"/>
  <c r="G7" i="6"/>
  <c r="F7" i="6"/>
  <c r="E7" i="6"/>
  <c r="D7" i="6"/>
  <c r="C7" i="6"/>
  <c r="AM6" i="6"/>
  <c r="X6" i="6"/>
  <c r="W6" i="6"/>
  <c r="V6" i="6"/>
  <c r="U6" i="6"/>
  <c r="T6" i="6"/>
  <c r="S6" i="6"/>
  <c r="R6" i="6"/>
  <c r="Q6" i="6"/>
  <c r="P6" i="6"/>
  <c r="O6" i="6"/>
  <c r="L6" i="6"/>
  <c r="K6" i="6"/>
  <c r="J6" i="6"/>
  <c r="I6" i="6"/>
  <c r="H6" i="6"/>
  <c r="G6" i="6"/>
  <c r="F6" i="6"/>
  <c r="E6" i="6"/>
  <c r="D6" i="6"/>
  <c r="C6" i="6"/>
  <c r="BI5" i="6"/>
  <c r="BH5" i="6"/>
  <c r="BG5" i="6"/>
  <c r="BF5" i="6"/>
  <c r="BE5" i="6"/>
  <c r="BD5" i="6"/>
  <c r="BC5" i="6"/>
  <c r="BB5" i="6"/>
  <c r="BA5" i="6"/>
  <c r="AZ5" i="6"/>
  <c r="BJ5" i="6" s="1"/>
  <c r="AM5" i="6"/>
  <c r="AJ5" i="6"/>
  <c r="E9" i="7" s="1"/>
  <c r="AI5" i="6"/>
  <c r="D9" i="7" s="1"/>
  <c r="AH5" i="6"/>
  <c r="C9" i="7" s="1"/>
  <c r="AG5" i="6"/>
  <c r="AF5" i="6"/>
  <c r="AE5" i="6"/>
  <c r="AD5" i="6"/>
  <c r="AC5" i="6"/>
  <c r="AB5" i="6"/>
  <c r="AA5" i="6"/>
  <c r="L5" i="6"/>
  <c r="K5" i="6"/>
  <c r="J5" i="6"/>
  <c r="I5" i="6"/>
  <c r="H5" i="6"/>
  <c r="G5" i="6"/>
  <c r="F5" i="6"/>
  <c r="E5" i="6"/>
  <c r="D5" i="6"/>
  <c r="C5" i="6"/>
  <c r="BI4" i="6"/>
  <c r="BH4" i="6"/>
  <c r="BG4" i="6"/>
  <c r="BF4" i="6"/>
  <c r="BF6" i="6" s="1"/>
  <c r="BE4" i="6"/>
  <c r="BE6" i="6" s="1"/>
  <c r="BD4" i="6"/>
  <c r="BD6" i="6" s="1"/>
  <c r="BC4" i="6"/>
  <c r="BC6" i="6" s="1"/>
  <c r="BB4" i="6"/>
  <c r="BB6" i="6" s="1"/>
  <c r="BA4" i="6"/>
  <c r="BA6" i="6" s="1"/>
  <c r="AZ4" i="6"/>
  <c r="AM4" i="6"/>
  <c r="AJ4" i="6"/>
  <c r="E6" i="7" s="1"/>
  <c r="AI4" i="6"/>
  <c r="D6" i="7" s="1"/>
  <c r="AH4" i="6"/>
  <c r="C6" i="7" s="1"/>
  <c r="AG4" i="6"/>
  <c r="AF4" i="6"/>
  <c r="AE4" i="6"/>
  <c r="AD4" i="6"/>
  <c r="AC4" i="6"/>
  <c r="AB4" i="6"/>
  <c r="AA4" i="6"/>
  <c r="X4" i="6"/>
  <c r="AJ11" i="6" s="1"/>
  <c r="W4" i="6"/>
  <c r="AI11" i="6" s="1"/>
  <c r="V4" i="6"/>
  <c r="AH11" i="6" s="1"/>
  <c r="U4" i="6"/>
  <c r="AG11" i="6" s="1"/>
  <c r="T4" i="6"/>
  <c r="AF11" i="6" s="1"/>
  <c r="S4" i="6"/>
  <c r="AE11" i="6" s="1"/>
  <c r="R4" i="6"/>
  <c r="AD11" i="6" s="1"/>
  <c r="Q4" i="6"/>
  <c r="AC11" i="6" s="1"/>
  <c r="P4" i="6"/>
  <c r="AB11" i="6" s="1"/>
  <c r="O4" i="6"/>
  <c r="AA11" i="6" s="1"/>
  <c r="L4" i="6"/>
  <c r="K4" i="6"/>
  <c r="J4" i="6"/>
  <c r="I4" i="6"/>
  <c r="H4" i="6"/>
  <c r="G4" i="6"/>
  <c r="F4" i="6"/>
  <c r="E4" i="6"/>
  <c r="D4" i="6"/>
  <c r="C4" i="6"/>
  <c r="X3" i="6"/>
  <c r="W3" i="6"/>
  <c r="V3" i="6"/>
  <c r="U3" i="6"/>
  <c r="T3" i="6"/>
  <c r="S3" i="6"/>
  <c r="R3" i="6"/>
  <c r="Q3" i="6"/>
  <c r="P3" i="6"/>
  <c r="O3" i="6"/>
  <c r="L3" i="6"/>
  <c r="BI32" i="6" s="1"/>
  <c r="K3" i="6"/>
  <c r="BH32" i="6" s="1"/>
  <c r="J3" i="6"/>
  <c r="BG32" i="6" s="1"/>
  <c r="I3" i="6"/>
  <c r="BF32" i="6" s="1"/>
  <c r="H3" i="6"/>
  <c r="BE32" i="6" s="1"/>
  <c r="G3" i="6"/>
  <c r="BD32" i="6" s="1"/>
  <c r="F3" i="6"/>
  <c r="BC32" i="6" s="1"/>
  <c r="E3" i="6"/>
  <c r="BB32" i="6" s="1"/>
  <c r="D3" i="6"/>
  <c r="BA32" i="6" s="1"/>
  <c r="C3" i="6"/>
  <c r="AZ32" i="6" s="1"/>
  <c r="BJ32" i="6" s="1"/>
  <c r="BI2" i="6"/>
  <c r="BH2" i="6"/>
  <c r="BG2" i="6"/>
  <c r="BF2" i="6"/>
  <c r="BE2" i="6"/>
  <c r="BD2" i="6"/>
  <c r="BC2" i="6"/>
  <c r="BB2" i="6"/>
  <c r="BA2" i="6"/>
  <c r="AZ2" i="6"/>
  <c r="AV2" i="6"/>
  <c r="AM93" i="6" s="1"/>
  <c r="AU2" i="6"/>
  <c r="AT2" i="6"/>
  <c r="AS2" i="6"/>
  <c r="AR2" i="6"/>
  <c r="AQ2" i="6"/>
  <c r="AP2" i="6"/>
  <c r="AO2" i="6"/>
  <c r="AN2" i="6"/>
  <c r="AM2" i="6"/>
  <c r="E263" i="2"/>
  <c r="C263" i="2"/>
  <c r="E262" i="2"/>
  <c r="C262" i="2"/>
  <c r="E261" i="2"/>
  <c r="C261" i="2"/>
  <c r="E260" i="2"/>
  <c r="C260" i="2"/>
  <c r="E259" i="2"/>
  <c r="C259" i="2"/>
  <c r="E258" i="2"/>
  <c r="C258" i="2"/>
  <c r="E257" i="2"/>
  <c r="C257" i="2"/>
  <c r="E256" i="2"/>
  <c r="C256" i="2"/>
  <c r="E255" i="2"/>
  <c r="C255" i="2"/>
  <c r="E254" i="2"/>
  <c r="C254" i="2"/>
  <c r="E253" i="2"/>
  <c r="C253" i="2"/>
  <c r="E252" i="2"/>
  <c r="C252" i="2"/>
  <c r="E251" i="2"/>
  <c r="C251" i="2"/>
  <c r="E250" i="2"/>
  <c r="C250" i="2"/>
  <c r="E249" i="2"/>
  <c r="C249" i="2"/>
  <c r="E248" i="2"/>
  <c r="C248" i="2"/>
  <c r="E247" i="2"/>
  <c r="C247" i="2"/>
  <c r="E246" i="2"/>
  <c r="C246" i="2"/>
  <c r="E245" i="2"/>
  <c r="C245" i="2"/>
  <c r="E244" i="2"/>
  <c r="C244" i="2"/>
  <c r="E243" i="2"/>
  <c r="C243" i="2"/>
  <c r="E242" i="2"/>
  <c r="C242" i="2"/>
  <c r="E241" i="2"/>
  <c r="C241" i="2"/>
  <c r="E240" i="2"/>
  <c r="C240" i="2"/>
  <c r="E239" i="2"/>
  <c r="C239" i="2"/>
  <c r="E238" i="2"/>
  <c r="C238" i="2"/>
  <c r="E237" i="2"/>
  <c r="C237" i="2"/>
  <c r="E236" i="2"/>
  <c r="C236" i="2"/>
  <c r="E235" i="2"/>
  <c r="C235" i="2"/>
  <c r="E234" i="2"/>
  <c r="C234" i="2"/>
  <c r="E233" i="2"/>
  <c r="C233" i="2"/>
  <c r="E232" i="2"/>
  <c r="C232" i="2"/>
  <c r="E231" i="2"/>
  <c r="C231" i="2"/>
  <c r="E230" i="2"/>
  <c r="C230" i="2"/>
  <c r="E229" i="2"/>
  <c r="C229" i="2"/>
  <c r="E228" i="2"/>
  <c r="C228" i="2"/>
  <c r="E227" i="2"/>
  <c r="C227" i="2"/>
  <c r="E226" i="2"/>
  <c r="C226" i="2"/>
  <c r="E225" i="2"/>
  <c r="C225" i="2"/>
  <c r="E224" i="2"/>
  <c r="C224" i="2"/>
  <c r="E223" i="2"/>
  <c r="C223" i="2"/>
  <c r="E222" i="2"/>
  <c r="C222" i="2"/>
  <c r="E221" i="2"/>
  <c r="C221" i="2"/>
  <c r="E220" i="2"/>
  <c r="C220" i="2"/>
  <c r="E219" i="2"/>
  <c r="C219" i="2"/>
  <c r="E218" i="2"/>
  <c r="C218" i="2"/>
  <c r="E217" i="2"/>
  <c r="C217" i="2"/>
  <c r="E216" i="2"/>
  <c r="C216" i="2"/>
  <c r="E215" i="2"/>
  <c r="C215" i="2"/>
  <c r="E214" i="2"/>
  <c r="C214" i="2"/>
  <c r="E213" i="2"/>
  <c r="C213" i="2"/>
  <c r="E212" i="2"/>
  <c r="C212" i="2"/>
  <c r="E211" i="2"/>
  <c r="C211" i="2"/>
  <c r="E210" i="2"/>
  <c r="C210" i="2"/>
  <c r="E209" i="2"/>
  <c r="C209" i="2"/>
  <c r="E208" i="2"/>
  <c r="C208" i="2"/>
  <c r="E207" i="2"/>
  <c r="C207" i="2"/>
  <c r="E206" i="2"/>
  <c r="C206" i="2"/>
  <c r="E205" i="2"/>
  <c r="C205" i="2"/>
  <c r="E204" i="2"/>
  <c r="C204" i="2"/>
  <c r="E203" i="2"/>
  <c r="C203" i="2"/>
  <c r="E202" i="2"/>
  <c r="C202" i="2"/>
  <c r="E201" i="2"/>
  <c r="C201" i="2"/>
  <c r="E200" i="2"/>
  <c r="C200" i="2"/>
  <c r="E199" i="2"/>
  <c r="C199" i="2"/>
  <c r="E198" i="2"/>
  <c r="C198" i="2"/>
  <c r="E197" i="2"/>
  <c r="C197" i="2"/>
  <c r="E196" i="2"/>
  <c r="C196" i="2"/>
  <c r="E195" i="2"/>
  <c r="C195" i="2"/>
  <c r="E194" i="2"/>
  <c r="C194" i="2"/>
  <c r="E193" i="2"/>
  <c r="C193" i="2"/>
  <c r="E192" i="2"/>
  <c r="C192" i="2"/>
  <c r="E191" i="2"/>
  <c r="C191" i="2"/>
  <c r="E190" i="2"/>
  <c r="C190" i="2"/>
  <c r="E189" i="2"/>
  <c r="C189" i="2"/>
  <c r="E188" i="2"/>
  <c r="C188" i="2"/>
  <c r="E187" i="2"/>
  <c r="C187" i="2"/>
  <c r="E186" i="2"/>
  <c r="C186" i="2"/>
  <c r="E185" i="2"/>
  <c r="C185" i="2"/>
  <c r="E184" i="2"/>
  <c r="C184" i="2"/>
  <c r="E183" i="2"/>
  <c r="C183" i="2"/>
  <c r="E182" i="2"/>
  <c r="C182" i="2"/>
  <c r="E181" i="2"/>
  <c r="C181" i="2"/>
  <c r="E180" i="2"/>
  <c r="C180" i="2"/>
  <c r="E179" i="2"/>
  <c r="C179" i="2"/>
  <c r="E178" i="2"/>
  <c r="C178" i="2"/>
  <c r="E177" i="2"/>
  <c r="C177" i="2"/>
  <c r="E176" i="2"/>
  <c r="C176" i="2"/>
  <c r="E175" i="2"/>
  <c r="C175" i="2"/>
  <c r="E174" i="2"/>
  <c r="C174" i="2"/>
  <c r="E173" i="2"/>
  <c r="C173" i="2"/>
  <c r="E172" i="2"/>
  <c r="C172" i="2"/>
  <c r="E171" i="2"/>
  <c r="C171" i="2"/>
  <c r="E170" i="2"/>
  <c r="C170" i="2"/>
  <c r="E169" i="2"/>
  <c r="C169" i="2"/>
  <c r="E168" i="2"/>
  <c r="C168" i="2"/>
  <c r="E167" i="2"/>
  <c r="C167" i="2"/>
  <c r="E166" i="2"/>
  <c r="C166" i="2"/>
  <c r="E165" i="2"/>
  <c r="C165" i="2"/>
  <c r="E164" i="2"/>
  <c r="C164" i="2"/>
  <c r="E163" i="2"/>
  <c r="C163" i="2"/>
  <c r="E162" i="2"/>
  <c r="C162" i="2"/>
  <c r="E161" i="2"/>
  <c r="C161" i="2"/>
  <c r="E160" i="2"/>
  <c r="C160" i="2"/>
  <c r="E159" i="2"/>
  <c r="C159" i="2"/>
  <c r="E158" i="2"/>
  <c r="C158" i="2"/>
  <c r="E157" i="2"/>
  <c r="C157" i="2"/>
  <c r="E156" i="2"/>
  <c r="C156" i="2"/>
  <c r="E155" i="2"/>
  <c r="C155" i="2"/>
  <c r="E154" i="2"/>
  <c r="C154" i="2"/>
  <c r="E153" i="2"/>
  <c r="C153" i="2"/>
  <c r="E152" i="2"/>
  <c r="C152" i="2"/>
  <c r="E151" i="2"/>
  <c r="C151" i="2"/>
  <c r="E150" i="2"/>
  <c r="C150" i="2"/>
  <c r="E149" i="2"/>
  <c r="C149" i="2"/>
  <c r="E148" i="2"/>
  <c r="C148" i="2"/>
  <c r="E147" i="2"/>
  <c r="C147" i="2"/>
  <c r="E146" i="2"/>
  <c r="C146" i="2"/>
  <c r="E145" i="2"/>
  <c r="C145" i="2"/>
  <c r="E144" i="2"/>
  <c r="C144" i="2"/>
  <c r="E143" i="2"/>
  <c r="C143" i="2"/>
  <c r="E142" i="2"/>
  <c r="C142" i="2"/>
  <c r="E141" i="2"/>
  <c r="C141" i="2"/>
  <c r="E140" i="2"/>
  <c r="C140" i="2"/>
  <c r="E139" i="2"/>
  <c r="C139" i="2"/>
  <c r="E138" i="2"/>
  <c r="C138" i="2"/>
  <c r="E137" i="2"/>
  <c r="C137" i="2"/>
  <c r="E136" i="2"/>
  <c r="C136" i="2"/>
  <c r="E135" i="2"/>
  <c r="C135" i="2"/>
  <c r="E134" i="2"/>
  <c r="C134" i="2"/>
  <c r="E133" i="2"/>
  <c r="C133" i="2"/>
  <c r="E132" i="2"/>
  <c r="C132" i="2"/>
  <c r="E131" i="2"/>
  <c r="C131" i="2"/>
  <c r="E130" i="2"/>
  <c r="C130" i="2"/>
  <c r="E129" i="2"/>
  <c r="C129" i="2"/>
  <c r="E128" i="2"/>
  <c r="C128" i="2"/>
  <c r="E127" i="2"/>
  <c r="C127" i="2"/>
  <c r="E126" i="2"/>
  <c r="C126" i="2"/>
  <c r="E125" i="2"/>
  <c r="C125" i="2"/>
  <c r="E124" i="2"/>
  <c r="C124" i="2"/>
  <c r="E123" i="2"/>
  <c r="C123" i="2"/>
  <c r="E122" i="2"/>
  <c r="C122" i="2"/>
  <c r="E121" i="2"/>
  <c r="C121" i="2"/>
  <c r="E120" i="2"/>
  <c r="C120" i="2"/>
  <c r="E119" i="2"/>
  <c r="C119" i="2"/>
  <c r="E118" i="2"/>
  <c r="C118" i="2"/>
  <c r="E117" i="2"/>
  <c r="C117" i="2"/>
  <c r="E116" i="2"/>
  <c r="C116" i="2"/>
  <c r="E115" i="2"/>
  <c r="C115" i="2"/>
  <c r="E114" i="2"/>
  <c r="C114" i="2"/>
  <c r="E113" i="2"/>
  <c r="C113" i="2"/>
  <c r="E112" i="2"/>
  <c r="C112" i="2"/>
  <c r="E111" i="2"/>
  <c r="C111" i="2"/>
  <c r="E110" i="2"/>
  <c r="C110" i="2"/>
  <c r="E109" i="2"/>
  <c r="C109" i="2"/>
  <c r="E108" i="2"/>
  <c r="C108" i="2"/>
  <c r="E107" i="2"/>
  <c r="C107" i="2"/>
  <c r="E106" i="2"/>
  <c r="C106" i="2"/>
  <c r="E105" i="2"/>
  <c r="C105" i="2"/>
  <c r="E104" i="2"/>
  <c r="C104" i="2"/>
  <c r="E103" i="2"/>
  <c r="C103" i="2"/>
  <c r="E102" i="2"/>
  <c r="C102" i="2"/>
  <c r="E101" i="2"/>
  <c r="C101" i="2"/>
  <c r="E100" i="2"/>
  <c r="C100" i="2"/>
  <c r="E99" i="2"/>
  <c r="C99" i="2"/>
  <c r="E98" i="2"/>
  <c r="C98" i="2"/>
  <c r="E97" i="2"/>
  <c r="C97" i="2"/>
  <c r="E96" i="2"/>
  <c r="C96" i="2"/>
  <c r="E95" i="2"/>
  <c r="C95" i="2"/>
  <c r="E94" i="2"/>
  <c r="C94" i="2"/>
  <c r="E93" i="2"/>
  <c r="C93" i="2"/>
  <c r="E92" i="2"/>
  <c r="C92" i="2"/>
  <c r="E91" i="2"/>
  <c r="C91" i="2"/>
  <c r="E90" i="2"/>
  <c r="C90" i="2"/>
  <c r="E89" i="2"/>
  <c r="C89" i="2"/>
  <c r="E88" i="2"/>
  <c r="C88" i="2"/>
  <c r="E87" i="2"/>
  <c r="C87" i="2"/>
  <c r="E86" i="2"/>
  <c r="C86" i="2"/>
  <c r="E85" i="2"/>
  <c r="C85" i="2"/>
  <c r="E84" i="2"/>
  <c r="C84" i="2"/>
  <c r="E83" i="2"/>
  <c r="C83" i="2"/>
  <c r="E82" i="2"/>
  <c r="C82" i="2"/>
  <c r="E81" i="2"/>
  <c r="C81" i="2"/>
  <c r="E80" i="2"/>
  <c r="C80" i="2"/>
  <c r="E79" i="2"/>
  <c r="C79" i="2"/>
  <c r="E78" i="2"/>
  <c r="C78" i="2"/>
  <c r="E77" i="2"/>
  <c r="C77" i="2"/>
  <c r="E76" i="2"/>
  <c r="C76" i="2"/>
  <c r="E75" i="2"/>
  <c r="C75" i="2"/>
  <c r="E74" i="2"/>
  <c r="C74" i="2"/>
  <c r="E73" i="2"/>
  <c r="C73" i="2"/>
  <c r="E72" i="2"/>
  <c r="C72" i="2"/>
  <c r="E71" i="2"/>
  <c r="C71" i="2"/>
  <c r="E70" i="2"/>
  <c r="C70" i="2"/>
  <c r="E69" i="2"/>
  <c r="C69" i="2"/>
  <c r="E68" i="2"/>
  <c r="C68" i="2"/>
  <c r="E67" i="2"/>
  <c r="C67" i="2"/>
  <c r="E66" i="2"/>
  <c r="C66" i="2"/>
  <c r="E65" i="2"/>
  <c r="C65" i="2"/>
  <c r="E64" i="2"/>
  <c r="C64" i="2"/>
  <c r="E63" i="2"/>
  <c r="C63" i="2"/>
  <c r="E62" i="2"/>
  <c r="C62" i="2"/>
  <c r="E61" i="2"/>
  <c r="C61" i="2"/>
  <c r="E60" i="2"/>
  <c r="C60" i="2"/>
  <c r="E59" i="2"/>
  <c r="C59" i="2"/>
  <c r="E58" i="2"/>
  <c r="C58" i="2"/>
  <c r="E57" i="2"/>
  <c r="C57" i="2"/>
  <c r="E56" i="2"/>
  <c r="C56" i="2"/>
  <c r="E55" i="2"/>
  <c r="C55" i="2"/>
  <c r="E54" i="2"/>
  <c r="C54" i="2"/>
  <c r="E53" i="2"/>
  <c r="C53" i="2"/>
  <c r="E52" i="2"/>
  <c r="C52" i="2"/>
  <c r="E51" i="2"/>
  <c r="C51" i="2"/>
  <c r="E50" i="2"/>
  <c r="C50" i="2"/>
  <c r="E49" i="2"/>
  <c r="C49" i="2"/>
  <c r="E48" i="2"/>
  <c r="C48" i="2"/>
  <c r="E47" i="2"/>
  <c r="C47" i="2"/>
  <c r="E46" i="2"/>
  <c r="C46" i="2"/>
  <c r="E45" i="2"/>
  <c r="C45" i="2"/>
  <c r="E44" i="2"/>
  <c r="C44" i="2"/>
  <c r="E43" i="2"/>
  <c r="C43" i="2"/>
  <c r="E42" i="2"/>
  <c r="C42" i="2"/>
  <c r="E41" i="2"/>
  <c r="C41" i="2"/>
  <c r="E40" i="2"/>
  <c r="C40" i="2"/>
  <c r="E39" i="2"/>
  <c r="C39" i="2"/>
  <c r="E38" i="2"/>
  <c r="C38" i="2"/>
  <c r="E37" i="2"/>
  <c r="C37" i="2"/>
  <c r="E36" i="2"/>
  <c r="C36" i="2"/>
  <c r="E35" i="2"/>
  <c r="C35" i="2"/>
  <c r="E34" i="2"/>
  <c r="C34" i="2"/>
  <c r="E33" i="2"/>
  <c r="C33" i="2"/>
  <c r="E32" i="2"/>
  <c r="C32" i="2"/>
  <c r="E31" i="2"/>
  <c r="C31" i="2"/>
  <c r="E30" i="2"/>
  <c r="C30" i="2"/>
  <c r="E29" i="2"/>
  <c r="C29" i="2"/>
  <c r="E28" i="2"/>
  <c r="C28" i="2"/>
  <c r="E27" i="2"/>
  <c r="C27" i="2"/>
  <c r="E26" i="2"/>
  <c r="C26" i="2"/>
  <c r="E25" i="2"/>
  <c r="C25" i="2"/>
  <c r="E24" i="2"/>
  <c r="C24" i="2"/>
  <c r="E23" i="2"/>
  <c r="C23" i="2"/>
  <c r="E22" i="2"/>
  <c r="C22" i="2"/>
  <c r="E21" i="2"/>
  <c r="C21" i="2"/>
  <c r="E20" i="2"/>
  <c r="C20" i="2"/>
  <c r="E19" i="2"/>
  <c r="C19" i="2"/>
  <c r="E18" i="2"/>
  <c r="C18" i="2"/>
  <c r="E17" i="2"/>
  <c r="C17" i="2"/>
  <c r="J16" i="2"/>
  <c r="H16" i="2"/>
  <c r="G16" i="2"/>
  <c r="E16" i="2"/>
  <c r="C16" i="2"/>
  <c r="J15" i="2"/>
  <c r="H15" i="2"/>
  <c r="G15" i="2"/>
  <c r="E15" i="2"/>
  <c r="C15" i="2"/>
  <c r="S14" i="2"/>
  <c r="J14" i="2"/>
  <c r="H14" i="2"/>
  <c r="G14" i="2"/>
  <c r="E14" i="2"/>
  <c r="C14" i="2"/>
  <c r="J13" i="2"/>
  <c r="H13" i="2"/>
  <c r="G13" i="2"/>
  <c r="E13" i="2"/>
  <c r="C13" i="2"/>
  <c r="N12" i="2"/>
  <c r="J12" i="2"/>
  <c r="H12" i="2"/>
  <c r="G12" i="2"/>
  <c r="E12" i="2"/>
  <c r="C12" i="2"/>
  <c r="J11" i="2"/>
  <c r="H11" i="2"/>
  <c r="G11" i="2"/>
  <c r="E11" i="2"/>
  <c r="C11" i="2"/>
  <c r="E10" i="2"/>
  <c r="C10" i="2"/>
  <c r="E9" i="2"/>
  <c r="C9" i="2"/>
  <c r="E8" i="2"/>
  <c r="C8" i="2"/>
  <c r="E7" i="2"/>
  <c r="C7" i="2"/>
  <c r="T6" i="2"/>
  <c r="E6" i="2"/>
  <c r="C6" i="2"/>
  <c r="T5" i="2"/>
  <c r="V5" i="2" s="1"/>
  <c r="E5" i="2"/>
  <c r="C5" i="2"/>
  <c r="T4" i="2"/>
  <c r="H4" i="2"/>
  <c r="H6" i="2" s="1"/>
  <c r="E4" i="2"/>
  <c r="C4" i="2"/>
  <c r="I4" i="2" s="1"/>
  <c r="I6" i="2" s="1"/>
  <c r="T3" i="2"/>
  <c r="X26" i="1"/>
  <c r="T13" i="1"/>
  <c r="U13" i="1" s="1"/>
  <c r="P13" i="1"/>
  <c r="S13" i="1" s="1"/>
  <c r="J3" i="8" s="1"/>
  <c r="J20" i="8" s="1"/>
  <c r="AB7" i="1"/>
  <c r="AA7" i="1"/>
  <c r="T7" i="1"/>
  <c r="U7" i="1" s="1"/>
  <c r="P7" i="1"/>
  <c r="AB6" i="1"/>
  <c r="AA6" i="1"/>
  <c r="T6" i="1"/>
  <c r="U6" i="1" s="1"/>
  <c r="P6" i="1"/>
  <c r="AB5" i="1"/>
  <c r="AA5" i="1"/>
  <c r="T5" i="1"/>
  <c r="U5" i="1" s="1"/>
  <c r="P5" i="1"/>
  <c r="AB4" i="1"/>
  <c r="AA4" i="1"/>
  <c r="T4" i="1"/>
  <c r="U4" i="1" s="1"/>
  <c r="P4" i="1"/>
  <c r="AB3" i="1"/>
  <c r="AA3" i="1"/>
  <c r="T3" i="1"/>
  <c r="U3" i="1" s="1"/>
  <c r="P3" i="1"/>
  <c r="AB2" i="1"/>
  <c r="AA2" i="1"/>
  <c r="T2" i="1"/>
  <c r="U2" i="1" s="1"/>
  <c r="P2" i="1"/>
  <c r="C13" i="9"/>
  <c r="G10" i="9"/>
  <c r="F9" i="9"/>
  <c r="H9" i="9" s="1"/>
  <c r="E9" i="9"/>
  <c r="C9" i="9"/>
  <c r="D9" i="9" s="1"/>
  <c r="I11" i="2" l="1"/>
  <c r="S2" i="1"/>
  <c r="AA12" i="1"/>
  <c r="AA24" i="1" s="1"/>
  <c r="E5" i="9" s="1"/>
  <c r="AA11" i="1"/>
  <c r="AA23" i="1" s="1"/>
  <c r="C5" i="9" s="1"/>
  <c r="AA10" i="1"/>
  <c r="AA22" i="1" s="1"/>
  <c r="F5" i="9" s="1"/>
  <c r="H5" i="9" s="1"/>
  <c r="AA9" i="1"/>
  <c r="AB12" i="1"/>
  <c r="AB24" i="1" s="1"/>
  <c r="E6" i="9" s="1"/>
  <c r="AB11" i="1"/>
  <c r="AB23" i="1" s="1"/>
  <c r="C6" i="9" s="1"/>
  <c r="AB10" i="1"/>
  <c r="AB22" i="1" s="1"/>
  <c r="F6" i="9" s="1"/>
  <c r="H6" i="9" s="1"/>
  <c r="AB9" i="1"/>
  <c r="I12" i="2"/>
  <c r="S3" i="1"/>
  <c r="I13" i="2"/>
  <c r="S4" i="1"/>
  <c r="I14" i="2"/>
  <c r="S5" i="1"/>
  <c r="I15" i="2"/>
  <c r="S6" i="1"/>
  <c r="I16" i="2"/>
  <c r="S7" i="1"/>
  <c r="K11" i="2"/>
  <c r="K12" i="2"/>
  <c r="K13" i="2"/>
  <c r="K14" i="2"/>
  <c r="K15" i="2"/>
  <c r="K16" i="2"/>
  <c r="BA33" i="6"/>
  <c r="BB33" i="6"/>
  <c r="BC33" i="6"/>
  <c r="BD33" i="6"/>
  <c r="BE33" i="6"/>
  <c r="BF33" i="6"/>
  <c r="BG33" i="6"/>
  <c r="BH33" i="6"/>
  <c r="BI33" i="6"/>
  <c r="AM10" i="6"/>
  <c r="O5" i="6"/>
  <c r="O9" i="6" s="1"/>
  <c r="AA3" i="6"/>
  <c r="AA6" i="6" s="1"/>
  <c r="AN57" i="6"/>
  <c r="AN55" i="6"/>
  <c r="AN54" i="6"/>
  <c r="AN37" i="6"/>
  <c r="AN10" i="6"/>
  <c r="P5" i="6"/>
  <c r="P9" i="6" s="1"/>
  <c r="AN4" i="6"/>
  <c r="AB3" i="6"/>
  <c r="AB6" i="6" s="1"/>
  <c r="AO57" i="6"/>
  <c r="AO55" i="6"/>
  <c r="AO54" i="6"/>
  <c r="AO37" i="6"/>
  <c r="AO10" i="6"/>
  <c r="Q5" i="6"/>
  <c r="Q9" i="6" s="1"/>
  <c r="AO4" i="6"/>
  <c r="AC3" i="6"/>
  <c r="AC6" i="6" s="1"/>
  <c r="AP57" i="6"/>
  <c r="AP55" i="6"/>
  <c r="AP54" i="6"/>
  <c r="AP37" i="6"/>
  <c r="AP10" i="6"/>
  <c r="R5" i="6"/>
  <c r="R9" i="6" s="1"/>
  <c r="AP4" i="6"/>
  <c r="AD3" i="6"/>
  <c r="AD6" i="6" s="1"/>
  <c r="AQ57" i="6"/>
  <c r="AQ55" i="6"/>
  <c r="AQ54" i="6"/>
  <c r="AQ37" i="6"/>
  <c r="AQ10" i="6"/>
  <c r="S5" i="6"/>
  <c r="S9" i="6" s="1"/>
  <c r="AQ4" i="6"/>
  <c r="AE3" i="6"/>
  <c r="AE6" i="6" s="1"/>
  <c r="AR57" i="6"/>
  <c r="AR55" i="6"/>
  <c r="AR54" i="6"/>
  <c r="AR37" i="6"/>
  <c r="AR10" i="6"/>
  <c r="T5" i="6"/>
  <c r="T9" i="6" s="1"/>
  <c r="AR4" i="6"/>
  <c r="AF3" i="6"/>
  <c r="AF6" i="6" s="1"/>
  <c r="AS57" i="6"/>
  <c r="AS55" i="6"/>
  <c r="AS54" i="6"/>
  <c r="AS37" i="6"/>
  <c r="AS10" i="6"/>
  <c r="U5" i="6"/>
  <c r="U9" i="6" s="1"/>
  <c r="AS4" i="6"/>
  <c r="AG3" i="6"/>
  <c r="AG6" i="6" s="1"/>
  <c r="AT57" i="6"/>
  <c r="AT55" i="6"/>
  <c r="AT54" i="6"/>
  <c r="AT37" i="6"/>
  <c r="AT10" i="6"/>
  <c r="V5" i="6"/>
  <c r="V9" i="6" s="1"/>
  <c r="AT4" i="6"/>
  <c r="AH3" i="6"/>
  <c r="AU57" i="6"/>
  <c r="AU55" i="6"/>
  <c r="AU54" i="6"/>
  <c r="AU37" i="6"/>
  <c r="AU10" i="6"/>
  <c r="W5" i="6"/>
  <c r="W9" i="6" s="1"/>
  <c r="AU4" i="6"/>
  <c r="AI3" i="6"/>
  <c r="AV57" i="6"/>
  <c r="AV55" i="6"/>
  <c r="AV54" i="6"/>
  <c r="AV37" i="6"/>
  <c r="AV10" i="6"/>
  <c r="X5" i="6"/>
  <c r="X9" i="6" s="1"/>
  <c r="AV4" i="6"/>
  <c r="AM94" i="6" s="1"/>
  <c r="AJ3" i="6"/>
  <c r="AZ6" i="6"/>
  <c r="BJ4" i="6"/>
  <c r="C19" i="7"/>
  <c r="BG6" i="6"/>
  <c r="D19" i="7"/>
  <c r="BH6" i="6"/>
  <c r="E19" i="7"/>
  <c r="BI6" i="6"/>
  <c r="AM17" i="6"/>
  <c r="AN58" i="6"/>
  <c r="AN56" i="6"/>
  <c r="AN39" i="6"/>
  <c r="AN38" i="6"/>
  <c r="AN17" i="6"/>
  <c r="AO58" i="6"/>
  <c r="AO56" i="6"/>
  <c r="AO39" i="6"/>
  <c r="AO38" i="6"/>
  <c r="AO17" i="6"/>
  <c r="AP58" i="6"/>
  <c r="AP56" i="6"/>
  <c r="AP39" i="6"/>
  <c r="AP38" i="6"/>
  <c r="AP17" i="6"/>
  <c r="AQ58" i="6"/>
  <c r="AQ56" i="6"/>
  <c r="AQ39" i="6"/>
  <c r="AQ38" i="6"/>
  <c r="AQ17" i="6"/>
  <c r="AR58" i="6"/>
  <c r="AR56" i="6"/>
  <c r="AR39" i="6"/>
  <c r="AR38" i="6"/>
  <c r="AR17" i="6"/>
  <c r="AS58" i="6"/>
  <c r="AS56" i="6"/>
  <c r="AS39" i="6"/>
  <c r="AS38" i="6"/>
  <c r="AS17" i="6"/>
  <c r="AT58" i="6"/>
  <c r="AT56" i="6"/>
  <c r="AT39" i="6"/>
  <c r="AT38" i="6"/>
  <c r="AT17" i="6"/>
  <c r="AU58" i="6"/>
  <c r="AU56" i="6"/>
  <c r="AU39" i="6"/>
  <c r="AU38" i="6"/>
  <c r="AU17" i="6"/>
  <c r="AV58" i="6"/>
  <c r="AV56" i="6"/>
  <c r="AV39" i="6"/>
  <c r="AV38" i="6"/>
  <c r="AV17" i="6"/>
  <c r="AM18" i="6"/>
  <c r="AN18" i="6"/>
  <c r="AO18" i="6"/>
  <c r="AP18" i="6"/>
  <c r="AQ18" i="6"/>
  <c r="AR18" i="6"/>
  <c r="AS18" i="6"/>
  <c r="AT18" i="6"/>
  <c r="AU18" i="6"/>
  <c r="AV18" i="6"/>
  <c r="C30" i="7"/>
  <c r="C18" i="7"/>
  <c r="D30" i="7"/>
  <c r="D18" i="7"/>
  <c r="E30" i="7"/>
  <c r="E18" i="7"/>
  <c r="AM19" i="6"/>
  <c r="AN19" i="6"/>
  <c r="AO19" i="6"/>
  <c r="AP19" i="6"/>
  <c r="AQ19" i="6"/>
  <c r="AR19" i="6"/>
  <c r="AS19" i="6"/>
  <c r="AT19" i="6"/>
  <c r="AU19" i="6"/>
  <c r="AV19" i="6"/>
  <c r="AZ20" i="6"/>
  <c r="BJ13" i="6"/>
  <c r="BA34" i="6"/>
  <c r="BA36" i="6" s="1"/>
  <c r="BA21" i="6"/>
  <c r="BB34" i="6"/>
  <c r="BB36" i="6" s="1"/>
  <c r="BB21" i="6"/>
  <c r="BC34" i="6"/>
  <c r="BC36" i="6" s="1"/>
  <c r="BC21" i="6"/>
  <c r="BD34" i="6"/>
  <c r="BD36" i="6" s="1"/>
  <c r="BD21" i="6"/>
  <c r="BE34" i="6"/>
  <c r="BE36" i="6" s="1"/>
  <c r="BE21" i="6"/>
  <c r="BF34" i="6"/>
  <c r="BF36" i="6" s="1"/>
  <c r="BF21" i="6"/>
  <c r="BG34" i="6"/>
  <c r="BG36" i="6" s="1"/>
  <c r="BG21" i="6"/>
  <c r="BH34" i="6"/>
  <c r="BH36" i="6" s="1"/>
  <c r="BH21" i="6"/>
  <c r="BI34" i="6"/>
  <c r="BI36" i="6" s="1"/>
  <c r="BI21" i="6"/>
  <c r="AM20" i="6"/>
  <c r="AN20" i="6"/>
  <c r="AO20" i="6"/>
  <c r="AP20" i="6"/>
  <c r="AQ20" i="6"/>
  <c r="AR20" i="6"/>
  <c r="AS20" i="6"/>
  <c r="AT20" i="6"/>
  <c r="AU20" i="6"/>
  <c r="AV20" i="6"/>
  <c r="AM21" i="6"/>
  <c r="AA14" i="6"/>
  <c r="AN21" i="6"/>
  <c r="AB14" i="6"/>
  <c r="AO21" i="6"/>
  <c r="AC14" i="6"/>
  <c r="AP21" i="6"/>
  <c r="AD14" i="6"/>
  <c r="AQ21" i="6"/>
  <c r="AE14" i="6"/>
  <c r="AR21" i="6"/>
  <c r="AF14" i="6"/>
  <c r="AS21" i="6"/>
  <c r="AG14" i="6"/>
  <c r="AT21" i="6"/>
  <c r="AH14" i="6"/>
  <c r="AU21" i="6"/>
  <c r="AI14" i="6"/>
  <c r="AV21" i="6"/>
  <c r="AJ14" i="6"/>
  <c r="AM22" i="6"/>
  <c r="AN22" i="6"/>
  <c r="AO22" i="6"/>
  <c r="AP22" i="6"/>
  <c r="AQ22" i="6"/>
  <c r="AR22" i="6"/>
  <c r="AS22" i="6"/>
  <c r="AT22" i="6"/>
  <c r="AU22" i="6"/>
  <c r="AV22" i="6"/>
  <c r="O49" i="6"/>
  <c r="AA42" i="6"/>
  <c r="AN63" i="6"/>
  <c r="AN70" i="6" s="1"/>
  <c r="P49" i="6"/>
  <c r="AB42" i="6"/>
  <c r="AO63" i="6"/>
  <c r="AO70" i="6" s="1"/>
  <c r="Q49" i="6"/>
  <c r="AC42" i="6"/>
  <c r="AP63" i="6"/>
  <c r="AP70" i="6" s="1"/>
  <c r="R49" i="6"/>
  <c r="AD42" i="6"/>
  <c r="AQ63" i="6"/>
  <c r="AQ70" i="6" s="1"/>
  <c r="S49" i="6"/>
  <c r="AE42" i="6"/>
  <c r="AR63" i="6"/>
  <c r="AR70" i="6" s="1"/>
  <c r="T49" i="6"/>
  <c r="AF42" i="6"/>
  <c r="AS63" i="6"/>
  <c r="AS70" i="6" s="1"/>
  <c r="U49" i="6"/>
  <c r="AG42" i="6"/>
  <c r="AT63" i="6"/>
  <c r="AT70" i="6" s="1"/>
  <c r="V49" i="6"/>
  <c r="AH42" i="6"/>
  <c r="AU63" i="6"/>
  <c r="AU70" i="6" s="1"/>
  <c r="W49" i="6"/>
  <c r="AI42" i="6"/>
  <c r="AV63" i="6"/>
  <c r="AV70" i="6" s="1"/>
  <c r="X49" i="6"/>
  <c r="AJ42" i="6"/>
  <c r="AM61" i="6"/>
  <c r="AA44" i="6"/>
  <c r="AN62" i="6"/>
  <c r="AN61" i="6"/>
  <c r="AB44" i="6"/>
  <c r="AO62" i="6"/>
  <c r="AO61" i="6"/>
  <c r="AC44" i="6"/>
  <c r="AP62" i="6"/>
  <c r="AP61" i="6"/>
  <c r="AD44" i="6"/>
  <c r="AQ62" i="6"/>
  <c r="AQ61" i="6"/>
  <c r="AE44" i="6"/>
  <c r="AR62" i="6"/>
  <c r="AR61" i="6"/>
  <c r="AF44" i="6"/>
  <c r="AS62" i="6"/>
  <c r="AS61" i="6"/>
  <c r="AG44" i="6"/>
  <c r="AT62" i="6"/>
  <c r="AT61" i="6"/>
  <c r="AH44" i="6"/>
  <c r="AU62" i="6"/>
  <c r="AU61" i="6"/>
  <c r="AI44" i="6"/>
  <c r="AV62" i="6"/>
  <c r="AV61" i="6"/>
  <c r="AJ44" i="6"/>
  <c r="AA51" i="6"/>
  <c r="AA53" i="6" s="1"/>
  <c r="AA78" i="6" s="1"/>
  <c r="AM50" i="6"/>
  <c r="AB51" i="6"/>
  <c r="AB53" i="6" s="1"/>
  <c r="AN50" i="6"/>
  <c r="AC51" i="6"/>
  <c r="AC53" i="6" s="1"/>
  <c r="AO50" i="6"/>
  <c r="AD51" i="6"/>
  <c r="AD53" i="6" s="1"/>
  <c r="AP50" i="6"/>
  <c r="AE51" i="6"/>
  <c r="AE53" i="6" s="1"/>
  <c r="AQ50" i="6"/>
  <c r="AF51" i="6"/>
  <c r="AF53" i="6" s="1"/>
  <c r="AR50" i="6"/>
  <c r="AG51" i="6"/>
  <c r="AG53" i="6" s="1"/>
  <c r="AS50" i="6"/>
  <c r="AH51" i="6"/>
  <c r="AH53" i="6" s="1"/>
  <c r="AT50" i="6"/>
  <c r="AI51" i="6"/>
  <c r="AI53" i="6" s="1"/>
  <c r="AU50" i="6"/>
  <c r="AJ51" i="6"/>
  <c r="AJ53" i="6" s="1"/>
  <c r="AV50" i="6"/>
  <c r="AM76" i="6"/>
  <c r="AM86" i="6" s="1"/>
  <c r="AM74" i="6"/>
  <c r="AA70" i="6"/>
  <c r="AA73" i="6" s="1"/>
  <c r="O61" i="6"/>
  <c r="AN76" i="6"/>
  <c r="AN86" i="6" s="1"/>
  <c r="AN74" i="6"/>
  <c r="AB70" i="6"/>
  <c r="AB73" i="6" s="1"/>
  <c r="P61" i="6"/>
  <c r="AO76" i="6"/>
  <c r="AO86" i="6" s="1"/>
  <c r="AO74" i="6"/>
  <c r="AC70" i="6"/>
  <c r="AC73" i="6" s="1"/>
  <c r="Q61" i="6"/>
  <c r="AP76" i="6"/>
  <c r="AP86" i="6" s="1"/>
  <c r="AP74" i="6"/>
  <c r="AD70" i="6"/>
  <c r="AD73" i="6" s="1"/>
  <c r="R61" i="6"/>
  <c r="AQ76" i="6"/>
  <c r="AQ86" i="6" s="1"/>
  <c r="AQ74" i="6"/>
  <c r="AE70" i="6"/>
  <c r="AE73" i="6" s="1"/>
  <c r="S61" i="6"/>
  <c r="AR76" i="6"/>
  <c r="AR86" i="6" s="1"/>
  <c r="AR74" i="6"/>
  <c r="AF70" i="6"/>
  <c r="AF73" i="6" s="1"/>
  <c r="T61" i="6"/>
  <c r="AS76" i="6"/>
  <c r="AS86" i="6" s="1"/>
  <c r="AS74" i="6"/>
  <c r="AG70" i="6"/>
  <c r="AG73" i="6" s="1"/>
  <c r="U61" i="6"/>
  <c r="AT76" i="6"/>
  <c r="AT86" i="6" s="1"/>
  <c r="AT74" i="6"/>
  <c r="AH70" i="6"/>
  <c r="AH73" i="6" s="1"/>
  <c r="V61" i="6"/>
  <c r="AU76" i="6"/>
  <c r="AU86" i="6" s="1"/>
  <c r="AU74" i="6"/>
  <c r="AI70" i="6"/>
  <c r="AI73" i="6" s="1"/>
  <c r="W61" i="6"/>
  <c r="AV76" i="6"/>
  <c r="AV86" i="6" s="1"/>
  <c r="AV74" i="6"/>
  <c r="AJ70" i="6"/>
  <c r="AJ73" i="6" s="1"/>
  <c r="X61" i="6"/>
  <c r="J27" i="8"/>
  <c r="B27" i="8"/>
  <c r="AN66" i="6"/>
  <c r="AB63" i="6"/>
  <c r="AB67" i="6" s="1"/>
  <c r="AO66" i="6"/>
  <c r="AC63" i="6"/>
  <c r="AC67" i="6" s="1"/>
  <c r="AP66" i="6"/>
  <c r="AD63" i="6"/>
  <c r="AD67" i="6" s="1"/>
  <c r="AQ66" i="6"/>
  <c r="AE63" i="6"/>
  <c r="AE67" i="6" s="1"/>
  <c r="AR66" i="6"/>
  <c r="AF63" i="6"/>
  <c r="AF67" i="6" s="1"/>
  <c r="AS66" i="6"/>
  <c r="AG63" i="6"/>
  <c r="AG67" i="6" s="1"/>
  <c r="AT66" i="6"/>
  <c r="AH63" i="6"/>
  <c r="AH67" i="6" s="1"/>
  <c r="AU66" i="6"/>
  <c r="AI63" i="6"/>
  <c r="AI67" i="6" s="1"/>
  <c r="AV66" i="6"/>
  <c r="AJ63" i="6"/>
  <c r="AJ67" i="6" s="1"/>
  <c r="AA74" i="6"/>
  <c r="AB74" i="6"/>
  <c r="AC74" i="6"/>
  <c r="AD74" i="6"/>
  <c r="AE74" i="6"/>
  <c r="AF74" i="6"/>
  <c r="AG74" i="6"/>
  <c r="AH74" i="6"/>
  <c r="AI74" i="6"/>
  <c r="AJ74" i="6"/>
  <c r="J26" i="8" l="1"/>
  <c r="B26" i="8"/>
  <c r="AV88" i="6"/>
  <c r="AM102" i="6" s="1"/>
  <c r="AV87" i="6"/>
  <c r="AV84" i="6"/>
  <c r="AV83" i="6"/>
  <c r="AU88" i="6"/>
  <c r="AU87" i="6"/>
  <c r="AU84" i="6"/>
  <c r="AU83" i="6"/>
  <c r="AT88" i="6"/>
  <c r="AT87" i="6"/>
  <c r="AT84" i="6"/>
  <c r="AT83" i="6"/>
  <c r="AS88" i="6"/>
  <c r="AS87" i="6"/>
  <c r="AS84" i="6"/>
  <c r="AS83" i="6"/>
  <c r="AR88" i="6"/>
  <c r="AR87" i="6"/>
  <c r="AR84" i="6"/>
  <c r="AR83" i="6"/>
  <c r="AQ88" i="6"/>
  <c r="AQ87" i="6"/>
  <c r="AQ84" i="6"/>
  <c r="AQ83" i="6"/>
  <c r="AP88" i="6"/>
  <c r="AP87" i="6"/>
  <c r="AP84" i="6"/>
  <c r="AP83" i="6"/>
  <c r="AO88" i="6"/>
  <c r="AO87" i="6"/>
  <c r="AO84" i="6"/>
  <c r="AO83" i="6"/>
  <c r="AN88" i="6"/>
  <c r="AN87" i="6"/>
  <c r="AN84" i="6"/>
  <c r="AN83" i="6"/>
  <c r="AM90" i="6"/>
  <c r="AM88" i="6"/>
  <c r="AM87" i="6"/>
  <c r="AM84" i="6"/>
  <c r="AM83" i="6"/>
  <c r="J25" i="8"/>
  <c r="B25" i="8"/>
  <c r="AJ78" i="6"/>
  <c r="AI78" i="6"/>
  <c r="AH78" i="6"/>
  <c r="AG78" i="6"/>
  <c r="AF78" i="6"/>
  <c r="AE78" i="6"/>
  <c r="AD78" i="6"/>
  <c r="AC78" i="6"/>
  <c r="AB78" i="6"/>
  <c r="AJ47" i="6"/>
  <c r="X62" i="6"/>
  <c r="AV33" i="6"/>
  <c r="AV32" i="6"/>
  <c r="AI47" i="6"/>
  <c r="W62" i="6"/>
  <c r="AU33" i="6"/>
  <c r="AU32" i="6"/>
  <c r="AH47" i="6"/>
  <c r="V62" i="6"/>
  <c r="AT33" i="6"/>
  <c r="AT32" i="6"/>
  <c r="AG47" i="6"/>
  <c r="U62" i="6"/>
  <c r="AS33" i="6"/>
  <c r="AS32" i="6"/>
  <c r="AF47" i="6"/>
  <c r="T62" i="6"/>
  <c r="AR33" i="6"/>
  <c r="AR32" i="6"/>
  <c r="AE47" i="6"/>
  <c r="S62" i="6"/>
  <c r="AQ33" i="6"/>
  <c r="AQ32" i="6"/>
  <c r="AD47" i="6"/>
  <c r="R62" i="6"/>
  <c r="AP33" i="6"/>
  <c r="AP32" i="6"/>
  <c r="AC47" i="6"/>
  <c r="Q62" i="6"/>
  <c r="AO33" i="6"/>
  <c r="AO32" i="6"/>
  <c r="AB47" i="6"/>
  <c r="P62" i="6"/>
  <c r="AN33" i="6"/>
  <c r="AN32" i="6"/>
  <c r="AA47" i="6"/>
  <c r="O62" i="6"/>
  <c r="S15" i="2"/>
  <c r="U4" i="2" s="1"/>
  <c r="V4" i="2" s="1"/>
  <c r="E20" i="7"/>
  <c r="BI35" i="6"/>
  <c r="BI37" i="6" s="1"/>
  <c r="D20" i="7"/>
  <c r="BH35" i="6"/>
  <c r="BH37" i="6" s="1"/>
  <c r="C20" i="7"/>
  <c r="BG35" i="6"/>
  <c r="BG37" i="6" s="1"/>
  <c r="BF35" i="6"/>
  <c r="BF37" i="6" s="1"/>
  <c r="BF22" i="6"/>
  <c r="BE35" i="6"/>
  <c r="BE37" i="6" s="1"/>
  <c r="BE22" i="6"/>
  <c r="BD35" i="6"/>
  <c r="BD37" i="6" s="1"/>
  <c r="BD22" i="6"/>
  <c r="BC35" i="6"/>
  <c r="BC37" i="6" s="1"/>
  <c r="BC22" i="6"/>
  <c r="BB35" i="6"/>
  <c r="BB37" i="6" s="1"/>
  <c r="BB22" i="6"/>
  <c r="BA35" i="6"/>
  <c r="BJ21" i="6"/>
  <c r="BA22" i="6"/>
  <c r="AZ34" i="6"/>
  <c r="BJ20" i="6"/>
  <c r="F30" i="7"/>
  <c r="G30" i="7" s="1"/>
  <c r="H30" i="7" s="1"/>
  <c r="I30" i="7" s="1"/>
  <c r="J30" i="7" s="1"/>
  <c r="BI22" i="6"/>
  <c r="BH22" i="6"/>
  <c r="BG22" i="6"/>
  <c r="BJ6" i="6"/>
  <c r="E5" i="7"/>
  <c r="AJ6" i="6"/>
  <c r="AV49" i="6"/>
  <c r="X11" i="6"/>
  <c r="AV5" i="6"/>
  <c r="AV40" i="6"/>
  <c r="AV41" i="6" s="1"/>
  <c r="AM98" i="6" s="1"/>
  <c r="D5" i="7"/>
  <c r="AI6" i="6"/>
  <c r="AU49" i="6"/>
  <c r="W11" i="6"/>
  <c r="AU5" i="6"/>
  <c r="AU40" i="6"/>
  <c r="AU41" i="6" s="1"/>
  <c r="C5" i="7"/>
  <c r="AH6" i="6"/>
  <c r="AT49" i="6"/>
  <c r="V11" i="6"/>
  <c r="AT5" i="6"/>
  <c r="AT40" i="6"/>
  <c r="AT41" i="6" s="1"/>
  <c r="AS11" i="6"/>
  <c r="AG8" i="6"/>
  <c r="AS49" i="6"/>
  <c r="U11" i="6"/>
  <c r="AS5" i="6"/>
  <c r="AS40" i="6"/>
  <c r="AS41" i="6" s="1"/>
  <c r="AR11" i="6"/>
  <c r="AF8" i="6"/>
  <c r="AR49" i="6"/>
  <c r="T11" i="6"/>
  <c r="AR5" i="6"/>
  <c r="AR40" i="6"/>
  <c r="AR41" i="6" s="1"/>
  <c r="AQ11" i="6"/>
  <c r="AE8" i="6"/>
  <c r="AQ49" i="6"/>
  <c r="S11" i="6"/>
  <c r="AQ5" i="6"/>
  <c r="AQ40" i="6"/>
  <c r="AQ41" i="6" s="1"/>
  <c r="AP11" i="6"/>
  <c r="AD8" i="6"/>
  <c r="AP49" i="6"/>
  <c r="R11" i="6"/>
  <c r="AP5" i="6"/>
  <c r="AP40" i="6"/>
  <c r="AP41" i="6" s="1"/>
  <c r="AO11" i="6"/>
  <c r="AC8" i="6"/>
  <c r="AO49" i="6"/>
  <c r="Q11" i="6"/>
  <c r="AO5" i="6"/>
  <c r="AO40" i="6"/>
  <c r="AO41" i="6" s="1"/>
  <c r="AN11" i="6"/>
  <c r="AB8" i="6"/>
  <c r="AN49" i="6"/>
  <c r="P11" i="6"/>
  <c r="AN5" i="6"/>
  <c r="AN40" i="6"/>
  <c r="AN41" i="6" s="1"/>
  <c r="AM11" i="6"/>
  <c r="AA8" i="6"/>
  <c r="AM49" i="6"/>
  <c r="O11" i="6"/>
  <c r="BJ33" i="6"/>
  <c r="K17" i="2"/>
  <c r="K20" i="2" s="1"/>
  <c r="U3" i="2" s="1"/>
  <c r="Z7" i="1"/>
  <c r="Y7" i="1"/>
  <c r="X7" i="1"/>
  <c r="Z6" i="1"/>
  <c r="Y6" i="1"/>
  <c r="X6" i="1"/>
  <c r="Z5" i="1"/>
  <c r="Y5" i="1"/>
  <c r="X5" i="1"/>
  <c r="Z4" i="1"/>
  <c r="Y4" i="1"/>
  <c r="X4" i="1"/>
  <c r="Z3" i="1"/>
  <c r="Y3" i="1"/>
  <c r="X3" i="1"/>
  <c r="D6" i="9"/>
  <c r="D5" i="9"/>
  <c r="Z2" i="1"/>
  <c r="Y2" i="1"/>
  <c r="X2" i="1"/>
  <c r="X12" i="1" l="1"/>
  <c r="X16" i="1" s="1"/>
  <c r="X20" i="1" s="1"/>
  <c r="X24" i="1" s="1"/>
  <c r="E2" i="9" s="1"/>
  <c r="X11" i="1"/>
  <c r="X15" i="1" s="1"/>
  <c r="X19" i="1" s="1"/>
  <c r="X23" i="1" s="1"/>
  <c r="C2" i="9" s="1"/>
  <c r="X10" i="1"/>
  <c r="X14" i="1" s="1"/>
  <c r="X18" i="1" s="1"/>
  <c r="X22" i="1" s="1"/>
  <c r="F2" i="9" s="1"/>
  <c r="H2" i="9" s="1"/>
  <c r="X9" i="1"/>
  <c r="Y12" i="1"/>
  <c r="Y16" i="1" s="1"/>
  <c r="Y20" i="1" s="1"/>
  <c r="Y24" i="1" s="1"/>
  <c r="E4" i="9" s="1"/>
  <c r="Y11" i="1"/>
  <c r="Y15" i="1" s="1"/>
  <c r="Y19" i="1" s="1"/>
  <c r="Y23" i="1" s="1"/>
  <c r="C4" i="9" s="1"/>
  <c r="Y10" i="1"/>
  <c r="Y14" i="1" s="1"/>
  <c r="Y18" i="1" s="1"/>
  <c r="Y22" i="1" s="1"/>
  <c r="F4" i="9" s="1"/>
  <c r="H4" i="9" s="1"/>
  <c r="Y9" i="1"/>
  <c r="Z12" i="1"/>
  <c r="Z16" i="1" s="1"/>
  <c r="Z20" i="1" s="1"/>
  <c r="Z24" i="1" s="1"/>
  <c r="E3" i="9" s="1"/>
  <c r="Z11" i="1"/>
  <c r="Z15" i="1" s="1"/>
  <c r="Z19" i="1" s="1"/>
  <c r="Z23" i="1" s="1"/>
  <c r="C3" i="9" s="1"/>
  <c r="Z10" i="1"/>
  <c r="Z14" i="1" s="1"/>
  <c r="Z18" i="1" s="1"/>
  <c r="Z22" i="1" s="1"/>
  <c r="F3" i="9" s="1"/>
  <c r="H3" i="9" s="1"/>
  <c r="Z9" i="1"/>
  <c r="U6" i="2"/>
  <c r="V6" i="2" s="1"/>
  <c r="V3" i="2"/>
  <c r="V8" i="2" s="1"/>
  <c r="AM51" i="6"/>
  <c r="AZ24" i="6"/>
  <c r="O15" i="6"/>
  <c r="AM89" i="6"/>
  <c r="AM12" i="6"/>
  <c r="AA10" i="6"/>
  <c r="AA15" i="6" s="1"/>
  <c r="AN51" i="6"/>
  <c r="BA24" i="6"/>
  <c r="BA27" i="6" s="1"/>
  <c r="P15" i="6"/>
  <c r="AN6" i="6"/>
  <c r="AN89" i="6"/>
  <c r="AN25" i="6"/>
  <c r="AN12" i="6"/>
  <c r="AB10" i="6"/>
  <c r="AO51" i="6"/>
  <c r="BB24" i="6"/>
  <c r="BB27" i="6" s="1"/>
  <c r="Q15" i="6"/>
  <c r="AO6" i="6"/>
  <c r="AO89" i="6"/>
  <c r="AO25" i="6"/>
  <c r="AO12" i="6"/>
  <c r="AC10" i="6"/>
  <c r="AP51" i="6"/>
  <c r="BC24" i="6"/>
  <c r="BC27" i="6" s="1"/>
  <c r="R15" i="6"/>
  <c r="AP6" i="6"/>
  <c r="AP89" i="6"/>
  <c r="AP25" i="6"/>
  <c r="AP12" i="6"/>
  <c r="AD10" i="6"/>
  <c r="AQ51" i="6"/>
  <c r="BD24" i="6"/>
  <c r="BD27" i="6" s="1"/>
  <c r="S15" i="6"/>
  <c r="AQ6" i="6"/>
  <c r="AQ89" i="6"/>
  <c r="AQ25" i="6"/>
  <c r="AQ12" i="6"/>
  <c r="AE10" i="6"/>
  <c r="AR51" i="6"/>
  <c r="BE24" i="6"/>
  <c r="BE27" i="6" s="1"/>
  <c r="T15" i="6"/>
  <c r="AR6" i="6"/>
  <c r="AR89" i="6"/>
  <c r="AR25" i="6"/>
  <c r="AR12" i="6"/>
  <c r="AF10" i="6"/>
  <c r="AS51" i="6"/>
  <c r="BF24" i="6"/>
  <c r="BF27" i="6" s="1"/>
  <c r="U15" i="6"/>
  <c r="AS6" i="6"/>
  <c r="AS89" i="6"/>
  <c r="AS25" i="6"/>
  <c r="AS12" i="6"/>
  <c r="AG10" i="6"/>
  <c r="AT51" i="6"/>
  <c r="BG24" i="6"/>
  <c r="BG27" i="6" s="1"/>
  <c r="V15" i="6"/>
  <c r="AT6" i="6"/>
  <c r="AT89" i="6"/>
  <c r="AT11" i="6"/>
  <c r="AH8" i="6"/>
  <c r="C7" i="7"/>
  <c r="C10" i="7" s="1"/>
  <c r="C25" i="7"/>
  <c r="C26" i="7"/>
  <c r="C29" i="7"/>
  <c r="AU51" i="6"/>
  <c r="BH24" i="6"/>
  <c r="BH27" i="6" s="1"/>
  <c r="W15" i="6"/>
  <c r="AU6" i="6"/>
  <c r="AU89" i="6"/>
  <c r="AU11" i="6"/>
  <c r="AI8" i="6"/>
  <c r="D24" i="7"/>
  <c r="D7" i="7"/>
  <c r="D10" i="7" s="1"/>
  <c r="D25" i="7"/>
  <c r="D26" i="7"/>
  <c r="D29" i="7"/>
  <c r="AV51" i="6"/>
  <c r="BI24" i="6"/>
  <c r="BI27" i="6" s="1"/>
  <c r="X15" i="6"/>
  <c r="AV6" i="6"/>
  <c r="AV89" i="6"/>
  <c r="AV11" i="6"/>
  <c r="AM95" i="6" s="1"/>
  <c r="AJ8" i="6"/>
  <c r="E24" i="7"/>
  <c r="E7" i="7"/>
  <c r="E10" i="7" s="1"/>
  <c r="F5" i="7"/>
  <c r="E25" i="7"/>
  <c r="E26" i="7"/>
  <c r="E29" i="7"/>
  <c r="F29" i="7" s="1"/>
  <c r="BG25" i="6"/>
  <c r="BG29" i="6" s="1"/>
  <c r="BH25" i="6"/>
  <c r="BH29" i="6" s="1"/>
  <c r="BI25" i="6"/>
  <c r="BI29" i="6" s="1"/>
  <c r="AZ36" i="6"/>
  <c r="BJ36" i="6" s="1"/>
  <c r="BJ34" i="6"/>
  <c r="BA25" i="6"/>
  <c r="BJ22" i="6"/>
  <c r="BA37" i="6"/>
  <c r="BJ37" i="6" s="1"/>
  <c r="F31" i="7" s="1"/>
  <c r="G31" i="7" s="1"/>
  <c r="H31" i="7" s="1"/>
  <c r="I31" i="7" s="1"/>
  <c r="J31" i="7" s="1"/>
  <c r="BJ35" i="6"/>
  <c r="BB25" i="6"/>
  <c r="BB29" i="6" s="1"/>
  <c r="BC25" i="6"/>
  <c r="BC29" i="6" s="1"/>
  <c r="BD25" i="6"/>
  <c r="BD29" i="6" s="1"/>
  <c r="BE25" i="6"/>
  <c r="BE29" i="6" s="1"/>
  <c r="BF25" i="6"/>
  <c r="BF29" i="6" s="1"/>
  <c r="C31" i="7"/>
  <c r="D31" i="7"/>
  <c r="E31" i="7"/>
  <c r="AA77" i="6"/>
  <c r="AA79" i="6" s="1"/>
  <c r="AA54" i="6"/>
  <c r="AA75" i="6" s="1"/>
  <c r="AB77" i="6"/>
  <c r="AB79" i="6" s="1"/>
  <c r="AB54" i="6"/>
  <c r="AB75" i="6" s="1"/>
  <c r="AC77" i="6"/>
  <c r="AC79" i="6" s="1"/>
  <c r="AC54" i="6"/>
  <c r="AC75" i="6" s="1"/>
  <c r="AD77" i="6"/>
  <c r="AD79" i="6" s="1"/>
  <c r="AD54" i="6"/>
  <c r="AD75" i="6" s="1"/>
  <c r="AE77" i="6"/>
  <c r="AE79" i="6" s="1"/>
  <c r="AE54" i="6"/>
  <c r="AE75" i="6" s="1"/>
  <c r="AF77" i="6"/>
  <c r="AF79" i="6" s="1"/>
  <c r="AF54" i="6"/>
  <c r="AF75" i="6" s="1"/>
  <c r="AG77" i="6"/>
  <c r="AG79" i="6" s="1"/>
  <c r="AG54" i="6"/>
  <c r="AG75" i="6" s="1"/>
  <c r="AH77" i="6"/>
  <c r="AH79" i="6" s="1"/>
  <c r="AH54" i="6"/>
  <c r="AH75" i="6" s="1"/>
  <c r="AI77" i="6"/>
  <c r="AI79" i="6" s="1"/>
  <c r="AI54" i="6"/>
  <c r="AI75" i="6" s="1"/>
  <c r="AJ77" i="6"/>
  <c r="AJ79" i="6" s="1"/>
  <c r="AJ54" i="6"/>
  <c r="AJ75" i="6" s="1"/>
  <c r="BA29" i="6" l="1"/>
  <c r="BJ29" i="6" s="1"/>
  <c r="B3" i="8" s="1"/>
  <c r="BJ25" i="6"/>
  <c r="G29" i="7"/>
  <c r="F19" i="7"/>
  <c r="F13" i="7" s="1"/>
  <c r="F18" i="7" s="1"/>
  <c r="F20" i="7"/>
  <c r="G5" i="7"/>
  <c r="E14" i="7"/>
  <c r="E11" i="7"/>
  <c r="AV25" i="6"/>
  <c r="AV12" i="6"/>
  <c r="AJ10" i="6"/>
  <c r="X17" i="6"/>
  <c r="AV13" i="6"/>
  <c r="D14" i="7"/>
  <c r="D11" i="7"/>
  <c r="AU25" i="6"/>
  <c r="AU12" i="6"/>
  <c r="AI10" i="6"/>
  <c r="W17" i="6"/>
  <c r="AU13" i="6"/>
  <c r="F26" i="7"/>
  <c r="F25" i="7"/>
  <c r="C14" i="7"/>
  <c r="C11" i="7"/>
  <c r="AT25" i="6"/>
  <c r="AT12" i="6"/>
  <c r="AH10" i="6"/>
  <c r="V17" i="6"/>
  <c r="AT13" i="6"/>
  <c r="AS65" i="6"/>
  <c r="AS28" i="6"/>
  <c r="AG15" i="6"/>
  <c r="U17" i="6"/>
  <c r="AS13" i="6"/>
  <c r="AR65" i="6"/>
  <c r="AR28" i="6"/>
  <c r="AF15" i="6"/>
  <c r="T17" i="6"/>
  <c r="AR13" i="6"/>
  <c r="AQ65" i="6"/>
  <c r="AQ28" i="6"/>
  <c r="AE15" i="6"/>
  <c r="S17" i="6"/>
  <c r="AQ13" i="6"/>
  <c r="AP65" i="6"/>
  <c r="AP28" i="6"/>
  <c r="AD15" i="6"/>
  <c r="R17" i="6"/>
  <c r="AP13" i="6"/>
  <c r="AO65" i="6"/>
  <c r="AO28" i="6"/>
  <c r="AC15" i="6"/>
  <c r="Q17" i="6"/>
  <c r="AO13" i="6"/>
  <c r="AN65" i="6"/>
  <c r="AN28" i="6"/>
  <c r="AB15" i="6"/>
  <c r="P17" i="6"/>
  <c r="AN13" i="6"/>
  <c r="O17" i="6"/>
  <c r="AM13" i="6"/>
  <c r="AZ27" i="6"/>
  <c r="BJ27" i="6" s="1"/>
  <c r="BJ24" i="6"/>
  <c r="J2" i="8"/>
  <c r="J19" i="8" s="1"/>
  <c r="B2" i="8"/>
  <c r="B19" i="8" s="1"/>
  <c r="D3" i="9"/>
  <c r="D4" i="9"/>
  <c r="D2" i="9"/>
  <c r="AM75" i="6" l="1"/>
  <c r="AM85" i="6" s="1"/>
  <c r="AM31" i="6"/>
  <c r="O18" i="6"/>
  <c r="AM14" i="6"/>
  <c r="AA16" i="6"/>
  <c r="AN75" i="6"/>
  <c r="AN85" i="6" s="1"/>
  <c r="AN64" i="6"/>
  <c r="AN31" i="6"/>
  <c r="AN34" i="6" s="1"/>
  <c r="AN27" i="6"/>
  <c r="AN26" i="6"/>
  <c r="P18" i="6"/>
  <c r="AN14" i="6"/>
  <c r="AN7" i="6"/>
  <c r="AB16" i="6"/>
  <c r="AN78" i="6"/>
  <c r="AN71" i="6"/>
  <c r="AN90" i="6"/>
  <c r="AO75" i="6"/>
  <c r="AO85" i="6" s="1"/>
  <c r="AO64" i="6"/>
  <c r="AO31" i="6"/>
  <c r="AO34" i="6" s="1"/>
  <c r="AO27" i="6"/>
  <c r="AO26" i="6"/>
  <c r="Q18" i="6"/>
  <c r="AO14" i="6"/>
  <c r="AO7" i="6"/>
  <c r="AC16" i="6"/>
  <c r="AO78" i="6"/>
  <c r="AO71" i="6"/>
  <c r="AO90" i="6"/>
  <c r="AP75" i="6"/>
  <c r="AP85" i="6" s="1"/>
  <c r="AP64" i="6"/>
  <c r="AP31" i="6"/>
  <c r="AP34" i="6" s="1"/>
  <c r="AP27" i="6"/>
  <c r="AP26" i="6"/>
  <c r="R18" i="6"/>
  <c r="AP14" i="6"/>
  <c r="AP7" i="6"/>
  <c r="AD16" i="6"/>
  <c r="AP78" i="6"/>
  <c r="AP71" i="6"/>
  <c r="AP90" i="6"/>
  <c r="AQ75" i="6"/>
  <c r="AQ85" i="6" s="1"/>
  <c r="AQ64" i="6"/>
  <c r="AQ31" i="6"/>
  <c r="AQ34" i="6" s="1"/>
  <c r="AQ27" i="6"/>
  <c r="AQ26" i="6"/>
  <c r="S18" i="6"/>
  <c r="AQ14" i="6"/>
  <c r="AQ7" i="6"/>
  <c r="AE16" i="6"/>
  <c r="AQ78" i="6"/>
  <c r="AQ71" i="6"/>
  <c r="AQ90" i="6"/>
  <c r="AR75" i="6"/>
  <c r="AR85" i="6" s="1"/>
  <c r="AR64" i="6"/>
  <c r="AR31" i="6"/>
  <c r="AR34" i="6" s="1"/>
  <c r="AR27" i="6"/>
  <c r="AR26" i="6"/>
  <c r="T18" i="6"/>
  <c r="AR14" i="6"/>
  <c r="AR7" i="6"/>
  <c r="AF16" i="6"/>
  <c r="AR78" i="6"/>
  <c r="AR71" i="6"/>
  <c r="AR90" i="6"/>
  <c r="AS75" i="6"/>
  <c r="AS85" i="6" s="1"/>
  <c r="AS64" i="6"/>
  <c r="AS31" i="6"/>
  <c r="AS34" i="6" s="1"/>
  <c r="AS27" i="6"/>
  <c r="AS26" i="6"/>
  <c r="U18" i="6"/>
  <c r="AS14" i="6"/>
  <c r="AS7" i="6"/>
  <c r="AG16" i="6"/>
  <c r="AS78" i="6"/>
  <c r="AS71" i="6"/>
  <c r="AS90" i="6"/>
  <c r="AT75" i="6"/>
  <c r="AT85" i="6" s="1"/>
  <c r="AT64" i="6"/>
  <c r="AT31" i="6"/>
  <c r="AT34" i="6" s="1"/>
  <c r="AT27" i="6"/>
  <c r="AT26" i="6"/>
  <c r="V18" i="6"/>
  <c r="AT14" i="6"/>
  <c r="AT7" i="6"/>
  <c r="AT65" i="6"/>
  <c r="AT28" i="6"/>
  <c r="AH15" i="6"/>
  <c r="AH16" i="6" s="1"/>
  <c r="C15" i="7"/>
  <c r="C16" i="7" s="1"/>
  <c r="C21" i="7" s="1"/>
  <c r="G25" i="7"/>
  <c r="H25" i="7" s="1"/>
  <c r="I25" i="7" s="1"/>
  <c r="J25" i="7" s="1"/>
  <c r="F6" i="7"/>
  <c r="F7" i="7" s="1"/>
  <c r="G26" i="7"/>
  <c r="F9" i="7"/>
  <c r="H26" i="7"/>
  <c r="AU75" i="6"/>
  <c r="AU85" i="6" s="1"/>
  <c r="AU64" i="6"/>
  <c r="AU31" i="6"/>
  <c r="AU34" i="6" s="1"/>
  <c r="AU27" i="6"/>
  <c r="AU26" i="6"/>
  <c r="W18" i="6"/>
  <c r="AU14" i="6"/>
  <c r="AU7" i="6"/>
  <c r="AU65" i="6"/>
  <c r="AU28" i="6"/>
  <c r="AI15" i="6"/>
  <c r="AI16" i="6" s="1"/>
  <c r="D15" i="7"/>
  <c r="D16" i="7" s="1"/>
  <c r="D21" i="7" s="1"/>
  <c r="AV75" i="6"/>
  <c r="AV64" i="6"/>
  <c r="AV31" i="6"/>
  <c r="AV34" i="6" s="1"/>
  <c r="AV27" i="6"/>
  <c r="AM96" i="6" s="1"/>
  <c r="AV26" i="6"/>
  <c r="X18" i="6"/>
  <c r="AV14" i="6"/>
  <c r="AV7" i="6"/>
  <c r="AV65" i="6"/>
  <c r="AV28" i="6"/>
  <c r="AM97" i="6" s="1"/>
  <c r="AJ15" i="6"/>
  <c r="AJ16" i="6" s="1"/>
  <c r="E15" i="7"/>
  <c r="E16" i="7" s="1"/>
  <c r="E21" i="7" s="1"/>
  <c r="G20" i="7"/>
  <c r="G6" i="7"/>
  <c r="G7" i="7" s="1"/>
  <c r="H5" i="7"/>
  <c r="H29" i="7"/>
  <c r="G19" i="7"/>
  <c r="G13" i="7" s="1"/>
  <c r="G18" i="7" s="1"/>
  <c r="B20" i="8"/>
  <c r="B4" i="8"/>
  <c r="I29" i="7" l="1"/>
  <c r="H19" i="7"/>
  <c r="H13" i="7" s="1"/>
  <c r="H18" i="7" s="1"/>
  <c r="H20" i="7"/>
  <c r="H6" i="7"/>
  <c r="H7" i="7" s="1"/>
  <c r="I5" i="7"/>
  <c r="AM100" i="6"/>
  <c r="AV78" i="6"/>
  <c r="AV71" i="6"/>
  <c r="AV90" i="6"/>
  <c r="AM99" i="6"/>
  <c r="AV77" i="6"/>
  <c r="AV69" i="6"/>
  <c r="AV68" i="6"/>
  <c r="AV67" i="6"/>
  <c r="AV79" i="6" s="1"/>
  <c r="AM101" i="6"/>
  <c r="AV85" i="6"/>
  <c r="AU78" i="6"/>
  <c r="AU71" i="6"/>
  <c r="AU90" i="6"/>
  <c r="AU77" i="6"/>
  <c r="AU69" i="6"/>
  <c r="AU68" i="6"/>
  <c r="AU67" i="6"/>
  <c r="AU79" i="6" s="1"/>
  <c r="H9" i="7"/>
  <c r="G9" i="7"/>
  <c r="G10" i="7" s="1"/>
  <c r="I26" i="7"/>
  <c r="F10" i="7"/>
  <c r="AT78" i="6"/>
  <c r="AT71" i="6"/>
  <c r="AT90" i="6"/>
  <c r="AT77" i="6"/>
  <c r="AT69" i="6"/>
  <c r="AT68" i="6"/>
  <c r="AT67" i="6"/>
  <c r="AT79" i="6" s="1"/>
  <c r="AS77" i="6"/>
  <c r="AS69" i="6"/>
  <c r="AS68" i="6"/>
  <c r="AS67" i="6"/>
  <c r="AS79" i="6" s="1"/>
  <c r="AR77" i="6"/>
  <c r="AR69" i="6"/>
  <c r="AR68" i="6"/>
  <c r="AR67" i="6"/>
  <c r="AR79" i="6" s="1"/>
  <c r="AQ77" i="6"/>
  <c r="AQ69" i="6"/>
  <c r="AQ68" i="6"/>
  <c r="AQ67" i="6"/>
  <c r="AQ79" i="6" s="1"/>
  <c r="AP77" i="6"/>
  <c r="AP69" i="6"/>
  <c r="AP68" i="6"/>
  <c r="AP67" i="6"/>
  <c r="AP79" i="6" s="1"/>
  <c r="AO77" i="6"/>
  <c r="AO69" i="6"/>
  <c r="AO68" i="6"/>
  <c r="AO67" i="6"/>
  <c r="AO79" i="6" s="1"/>
  <c r="AN77" i="6"/>
  <c r="AN69" i="6"/>
  <c r="AN68" i="6"/>
  <c r="AN67" i="6"/>
  <c r="AN79" i="6" s="1"/>
  <c r="F14" i="7" l="1"/>
  <c r="F11" i="7"/>
  <c r="I9" i="7"/>
  <c r="J26" i="7"/>
  <c r="G14" i="7"/>
  <c r="G11" i="7"/>
  <c r="I20" i="7"/>
  <c r="I6" i="7"/>
  <c r="I7" i="7" s="1"/>
  <c r="I10" i="7" s="1"/>
  <c r="J5" i="7"/>
  <c r="H10" i="7"/>
  <c r="J29" i="7"/>
  <c r="J19" i="7" s="1"/>
  <c r="J13" i="7" s="1"/>
  <c r="J18" i="7" s="1"/>
  <c r="I19" i="7"/>
  <c r="I13" i="7" s="1"/>
  <c r="I18" i="7" s="1"/>
  <c r="H14" i="7" l="1"/>
  <c r="H11" i="7"/>
  <c r="J20" i="7"/>
  <c r="J6" i="7"/>
  <c r="J7" i="7" s="1"/>
  <c r="I14" i="7"/>
  <c r="I11" i="7"/>
  <c r="G15" i="7"/>
  <c r="G16" i="7" s="1"/>
  <c r="G21" i="7" s="1"/>
  <c r="J9" i="7"/>
  <c r="F15" i="7"/>
  <c r="F16" i="7" s="1"/>
  <c r="F21" i="7" s="1"/>
  <c r="J8" i="8" l="1"/>
  <c r="J9" i="8" s="1"/>
  <c r="B8" i="8"/>
  <c r="B9" i="8" s="1"/>
  <c r="K8" i="8"/>
  <c r="K9" i="8" s="1"/>
  <c r="C8" i="8"/>
  <c r="C9" i="8" s="1"/>
  <c r="I15" i="7"/>
  <c r="I16" i="7" s="1"/>
  <c r="I21" i="7" s="1"/>
  <c r="J10" i="7"/>
  <c r="H15" i="7"/>
  <c r="H16" i="7" s="1"/>
  <c r="H21" i="7" s="1"/>
  <c r="L8" i="8" l="1"/>
  <c r="L9" i="8" s="1"/>
  <c r="D8" i="8"/>
  <c r="D9" i="8" s="1"/>
  <c r="B21" i="8"/>
  <c r="J4" i="8"/>
  <c r="J14" i="7"/>
  <c r="J11" i="7"/>
  <c r="M8" i="8"/>
  <c r="M9" i="8" s="1"/>
  <c r="E8" i="8"/>
  <c r="E9" i="8" s="1"/>
  <c r="J15" i="7" l="1"/>
  <c r="J16" i="7" s="1"/>
  <c r="J21" i="7" s="1"/>
  <c r="J18" i="8"/>
  <c r="J11" i="8"/>
  <c r="J12" i="8" s="1"/>
  <c r="J21" i="8" l="1"/>
  <c r="J22" i="8" s="1"/>
  <c r="B18" i="8"/>
  <c r="B22" i="8" s="1"/>
  <c r="N8" i="8"/>
  <c r="N9" i="8" s="1"/>
  <c r="J10" i="8" s="1"/>
  <c r="J14" i="8" s="1"/>
  <c r="F8" i="8"/>
  <c r="B11" i="8" l="1"/>
  <c r="B12" i="8" s="1"/>
  <c r="F9" i="8"/>
  <c r="B10" i="8" s="1"/>
  <c r="B14" i="8" s="1"/>
  <c r="B28" i="8" s="1"/>
  <c r="B30" i="8" s="1"/>
  <c r="J28" i="8"/>
  <c r="J30" i="8" s="1"/>
  <c r="J17" i="8"/>
  <c r="J35" i="8" l="1"/>
  <c r="F8" i="9"/>
  <c r="H8" i="9" s="1"/>
  <c r="B35" i="8"/>
  <c r="F7" i="9"/>
  <c r="H7" i="9" s="1"/>
  <c r="H10" i="9" s="1"/>
  <c r="C14" i="9" s="1"/>
  <c r="B17" i="8"/>
  <c r="O40" i="8"/>
  <c r="N40" i="8"/>
  <c r="M40" i="8"/>
  <c r="L40" i="8"/>
  <c r="K40" i="8"/>
  <c r="G40" i="8"/>
  <c r="F40" i="8"/>
  <c r="E40" i="8"/>
  <c r="D40" i="8"/>
  <c r="C40" i="8"/>
  <c r="O39" i="8"/>
  <c r="N39" i="8"/>
  <c r="M39" i="8"/>
  <c r="L39" i="8"/>
  <c r="K39" i="8"/>
  <c r="G39" i="8"/>
  <c r="F39" i="8"/>
  <c r="E39" i="8"/>
  <c r="D39" i="8"/>
  <c r="C39" i="8"/>
  <c r="O38" i="8"/>
  <c r="N38" i="8"/>
  <c r="M38" i="8"/>
  <c r="L38" i="8"/>
  <c r="K38" i="8"/>
  <c r="G38" i="8"/>
  <c r="F38" i="8"/>
  <c r="E38" i="8"/>
  <c r="D38" i="8"/>
  <c r="C38" i="8"/>
  <c r="O37" i="8"/>
  <c r="N37" i="8"/>
  <c r="M37" i="8"/>
  <c r="L37" i="8"/>
  <c r="K37" i="8"/>
  <c r="G37" i="8"/>
  <c r="F37" i="8"/>
  <c r="E37" i="8"/>
  <c r="D37" i="8"/>
  <c r="C37" i="8"/>
  <c r="O36" i="8"/>
  <c r="N36" i="8"/>
  <c r="M36" i="8"/>
  <c r="L36" i="8"/>
  <c r="K36" i="8"/>
  <c r="G36" i="8"/>
  <c r="F36" i="8"/>
  <c r="E36" i="8"/>
  <c r="D36" i="8"/>
  <c r="C36" i="8"/>
  <c r="E8" i="9"/>
  <c r="C8" i="9"/>
  <c r="D8" i="9"/>
  <c r="E7" i="9"/>
  <c r="C7" i="9"/>
  <c r="D7" i="9"/>
  <c r="C10" i="9"/>
  <c r="E10" i="9"/>
</calcChain>
</file>

<file path=xl/sharedStrings.xml><?xml version="1.0" encoding="utf-8"?>
<sst xmlns="http://schemas.openxmlformats.org/spreadsheetml/2006/main" count="931" uniqueCount="608">
  <si>
    <t>Peer Company</t>
  </si>
  <si>
    <t>Capitaline Code</t>
  </si>
  <si>
    <t>Company Name</t>
  </si>
  <si>
    <t>Net Sales</t>
  </si>
  <si>
    <t>Operating Profit</t>
  </si>
  <si>
    <t>Depreciation</t>
  </si>
  <si>
    <t>Extraordinary Items</t>
  </si>
  <si>
    <t>Earnings Per Share(Adj)-Unit Curr</t>
  </si>
  <si>
    <t>Book Value(Adj)-Unit Curr</t>
  </si>
  <si>
    <t>Minority Interest</t>
  </si>
  <si>
    <t>Total Debt</t>
  </si>
  <si>
    <t>Cash and Bank</t>
  </si>
  <si>
    <t>Latest No of Equity Shares</t>
  </si>
  <si>
    <t>52 Week High - Unit Curr. (BSE)</t>
  </si>
  <si>
    <t>52 Week Low - Unit Curr. (BSE)</t>
  </si>
  <si>
    <t>Market Capitalisation (BSE)</t>
  </si>
  <si>
    <t>Latest Market Price - Unit Curr. (BSE)</t>
  </si>
  <si>
    <t>BSE Sensex</t>
  </si>
  <si>
    <t>Enterprise Value</t>
  </si>
  <si>
    <t>Adjusted EBIT</t>
  </si>
  <si>
    <t>Adjusted EBITDA</t>
  </si>
  <si>
    <t>Sector Specific parameter (If any)</t>
  </si>
  <si>
    <t>EV/Sales</t>
  </si>
  <si>
    <t>EV/EBIT</t>
  </si>
  <si>
    <t>EV/EBITDA</t>
  </si>
  <si>
    <t>P/E</t>
  </si>
  <si>
    <t>P/B</t>
  </si>
  <si>
    <t>EV/Sector specific Ratio</t>
  </si>
  <si>
    <t>N/A</t>
  </si>
  <si>
    <t>Granules India</t>
  </si>
  <si>
    <t>Strides Pharma</t>
  </si>
  <si>
    <t>FDC</t>
  </si>
  <si>
    <t>Orchid Pharma</t>
  </si>
  <si>
    <t>RPG Life Sciences</t>
  </si>
  <si>
    <t>Indoco Remedies</t>
  </si>
  <si>
    <t>Average</t>
  </si>
  <si>
    <t>`</t>
  </si>
  <si>
    <t>Median</t>
  </si>
  <si>
    <t>25th percentile</t>
  </si>
  <si>
    <t>75th percentile</t>
  </si>
  <si>
    <t>Target company</t>
  </si>
  <si>
    <t>Unichem Laboratories Ltd</t>
  </si>
  <si>
    <t>Implied Enterprise value (M)</t>
  </si>
  <si>
    <t>Implied Enterprise value (25th)</t>
  </si>
  <si>
    <t>Implied Enterprise value (75th)</t>
  </si>
  <si>
    <t>Implied Eq value (M)</t>
  </si>
  <si>
    <t>Implied Eq value (25th)</t>
  </si>
  <si>
    <t>Implied Eq value (75th)</t>
  </si>
  <si>
    <t>Per share value (M)</t>
  </si>
  <si>
    <t>Per share value (25th)</t>
  </si>
  <si>
    <t>Per share value (75th)</t>
  </si>
  <si>
    <t>Current market price of Target</t>
  </si>
  <si>
    <t>Data from Capitaline</t>
  </si>
  <si>
    <t>Date</t>
  </si>
  <si>
    <t>Unichem price</t>
  </si>
  <si>
    <t>Unichem Return</t>
  </si>
  <si>
    <t>Sensex</t>
  </si>
  <si>
    <t>Sensex return</t>
  </si>
  <si>
    <t>Adjusted Regression Beta</t>
  </si>
  <si>
    <t>2 years</t>
  </si>
  <si>
    <t>5 years</t>
  </si>
  <si>
    <t>Risk-free rate</t>
  </si>
  <si>
    <t>Source</t>
  </si>
  <si>
    <t>Capital</t>
  </si>
  <si>
    <t>Weight</t>
  </si>
  <si>
    <t>Cost</t>
  </si>
  <si>
    <t>Product</t>
  </si>
  <si>
    <t>Levered Raw Beta</t>
  </si>
  <si>
    <t>10 Yr G-Bonds</t>
  </si>
  <si>
    <t>https://www.worldgovernmentbonds.com</t>
  </si>
  <si>
    <t>Equity (M Cap)</t>
  </si>
  <si>
    <t>Slope</t>
  </si>
  <si>
    <t>Debt</t>
  </si>
  <si>
    <t>Preference Share</t>
  </si>
  <si>
    <t>Adjusted regression Beta</t>
  </si>
  <si>
    <t>Non- controlling Interest</t>
  </si>
  <si>
    <t>Total</t>
  </si>
  <si>
    <t>BSE Sensex return for 10 years</t>
  </si>
  <si>
    <t>https://www.bseindices.com/Downloads/Factsheet/Factsheet_BSESENSEX_May2026.pdf</t>
  </si>
  <si>
    <t>WACC</t>
  </si>
  <si>
    <t>Bottom up Beta (fundamental beta): Data from Capitaline</t>
  </si>
  <si>
    <t>Company Name (Same business)</t>
  </si>
  <si>
    <t>Market Cap</t>
  </si>
  <si>
    <t>Sensex beta</t>
  </si>
  <si>
    <t>Unlevered beta</t>
  </si>
  <si>
    <t>Historical Risk Premiun</t>
  </si>
  <si>
    <t>Historical Risk Premium = 10Y Sensex return - risk-free rate</t>
  </si>
  <si>
    <t>The one-year LIBOR rate is currently 6.04143%</t>
  </si>
  <si>
    <t>Cost of debt = Finance cost / Total financial obligations</t>
  </si>
  <si>
    <t>Finance cost/Total Debt</t>
  </si>
  <si>
    <t>Av unlevered beta</t>
  </si>
  <si>
    <t>Relevered beta of Unichem Laboratories Ltd</t>
  </si>
  <si>
    <t>Regression beta (2-year adjusted)</t>
  </si>
  <si>
    <t>Regression beta (5-year adjusted)</t>
  </si>
  <si>
    <t>WACC selection</t>
  </si>
  <si>
    <t>Bottom-up beta, as in professor reference model</t>
  </si>
  <si>
    <t>Data note</t>
  </si>
  <si>
    <t>Capitaline weekly Unichem + Sensex data supplied; regression beta is shown, while bottom-up beta is retained as the selected WACC method to match the professor reference model.</t>
  </si>
  <si>
    <t>Finance &gt;&gt;Balance Sheet IND (Consolidated)&gt;&gt;Unichem Laboratories Ltd (Curr. in ₹ crore)</t>
  </si>
  <si>
    <t>Year</t>
  </si>
  <si>
    <t>Non-Current Assets:</t>
  </si>
  <si>
    <t>Fixed Assets</t>
  </si>
  <si>
    <t>Note:</t>
  </si>
  <si>
    <t xml:space="preserve">  Property, Plant and Equipment </t>
  </si>
  <si>
    <t>If 2026 data is not avialble on capitaline then check the financial statements available on the website of the company</t>
  </si>
  <si>
    <t xml:space="preserve">  Capital Work in Progress </t>
  </si>
  <si>
    <t xml:space="preserve">  Right-of-Use Assets </t>
  </si>
  <si>
    <t xml:space="preserve">  Intangible Assets </t>
  </si>
  <si>
    <t>Intangible Assets under Development</t>
  </si>
  <si>
    <t>Fixed Assets Held For Sale</t>
  </si>
  <si>
    <t>Lease Adjustment</t>
  </si>
  <si>
    <t xml:space="preserve"> Biological Assets other than Bearer Plants </t>
  </si>
  <si>
    <t>Non-current Investments</t>
  </si>
  <si>
    <t xml:space="preserve">  Investment Properties </t>
  </si>
  <si>
    <t xml:space="preserve">  Investments in Subsidiaries, Associates and Joint venture </t>
  </si>
  <si>
    <t>Financial Assets :</t>
  </si>
  <si>
    <t xml:space="preserve">  Investments of Life Insurance Business </t>
  </si>
  <si>
    <t xml:space="preserve">  Investments - Long-term </t>
  </si>
  <si>
    <t xml:space="preserve">  Loans - Long - Term </t>
  </si>
  <si>
    <t xml:space="preserve">  Others Financial Assets - Long-term </t>
  </si>
  <si>
    <t xml:space="preserve"> Non Current Tax Assets - Long - Term </t>
  </si>
  <si>
    <t xml:space="preserve"> Insurance Related Assets </t>
  </si>
  <si>
    <t xml:space="preserve"> Other Non-current Assets </t>
  </si>
  <si>
    <t xml:space="preserve"> Deferred Tax Assets (Net) </t>
  </si>
  <si>
    <t>Total Reported Non-current Assets</t>
  </si>
  <si>
    <t>Current Assets:</t>
  </si>
  <si>
    <t xml:space="preserve"> Inventories </t>
  </si>
  <si>
    <t xml:space="preserve">  Current Investments </t>
  </si>
  <si>
    <t xml:space="preserve">  Trade Receivables </t>
  </si>
  <si>
    <t xml:space="preserve">  Cash and Cash Equivalents </t>
  </si>
  <si>
    <t xml:space="preserve">  Bank Balances Other Than Cash and Cash Equivalents </t>
  </si>
  <si>
    <t xml:space="preserve">  Loans - Short-term </t>
  </si>
  <si>
    <t xml:space="preserve">  Others Financial Assets - Short-term </t>
  </si>
  <si>
    <t xml:space="preserve"> Current Tax Assets - Short-term </t>
  </si>
  <si>
    <t xml:space="preserve"> Other Current Assets </t>
  </si>
  <si>
    <t xml:space="preserve"> Assets Classified as Held for Sale </t>
  </si>
  <si>
    <t>Total Current Assets</t>
  </si>
  <si>
    <t>Foreign Currency Monetary Item Translation Difference Account</t>
  </si>
  <si>
    <t xml:space="preserve"> Regulatory Deferral Account - Debit Balance </t>
  </si>
  <si>
    <t xml:space="preserve"> Non-Current Assets Classified as Held for Sale </t>
  </si>
  <si>
    <t>Other Assets Excluding Non-Current and Current Assets</t>
  </si>
  <si>
    <t>Total Non-Current and Other Assets</t>
  </si>
  <si>
    <t>Total Assets</t>
  </si>
  <si>
    <t>EQUITY AND LIABILITIES</t>
  </si>
  <si>
    <t xml:space="preserve"> Share Capital </t>
  </si>
  <si>
    <t>Number of Equity Shares - Bought Back during the Current period</t>
  </si>
  <si>
    <t>Number of Total Bonus Shares Issued upto Current period</t>
  </si>
  <si>
    <t>Number of Equity Shares - Paid Up</t>
  </si>
  <si>
    <t>Paid Up Capital</t>
  </si>
  <si>
    <t>Treasury Shares</t>
  </si>
  <si>
    <t>Number of Bonus Shares Issued During the Current Period.</t>
  </si>
  <si>
    <t>Number of Shares Splitted During the Current Period.</t>
  </si>
  <si>
    <t xml:space="preserve"> Other Equity </t>
  </si>
  <si>
    <t>Money Received Against Share Warrants</t>
  </si>
  <si>
    <t xml:space="preserve"> Employee Stock Options / Others </t>
  </si>
  <si>
    <t>Share Application Money Pending Allotment</t>
  </si>
  <si>
    <t>Total Stockholders’ Equity</t>
  </si>
  <si>
    <t>Total Reported Stockholders’ Equity</t>
  </si>
  <si>
    <t>Total Equity</t>
  </si>
  <si>
    <t>Non-Current Liabilities:</t>
  </si>
  <si>
    <t xml:space="preserve">  Long Term Borrowings </t>
  </si>
  <si>
    <t>Lease Liabilities</t>
  </si>
  <si>
    <t xml:space="preserve">  Others Financial Liabilities - Long-term </t>
  </si>
  <si>
    <t xml:space="preserve"> Non Current Tax Liabilities - Long-term </t>
  </si>
  <si>
    <t xml:space="preserve"> Long-term Provisions </t>
  </si>
  <si>
    <t xml:space="preserve"> Deferred Tax Liabilities (Net) </t>
  </si>
  <si>
    <t xml:space="preserve"> Insurance Related Liabilities </t>
  </si>
  <si>
    <t xml:space="preserve"> Other Non-Current Liabilities </t>
  </si>
  <si>
    <t>Total Reported Non-current Liabilities</t>
  </si>
  <si>
    <t>Current Liabilities:</t>
  </si>
  <si>
    <t xml:space="preserve">  Short Term Borrowings </t>
  </si>
  <si>
    <t xml:space="preserve">  Trade Payables </t>
  </si>
  <si>
    <t xml:space="preserve">  Others Financial Liabilities - Short-term </t>
  </si>
  <si>
    <t xml:space="preserve"> Current Tax Liabilities - Short-term </t>
  </si>
  <si>
    <t xml:space="preserve"> Provisions </t>
  </si>
  <si>
    <t xml:space="preserve"> Other Current Liabilities </t>
  </si>
  <si>
    <t xml:space="preserve"> Liabilities Directly Associated with Assets Classified as Held for Sale </t>
  </si>
  <si>
    <t>Total Current Liabilities</t>
  </si>
  <si>
    <t>Hybrid Perpetual Securities</t>
  </si>
  <si>
    <t>Regulatory Deferral Account - Credit Balance</t>
  </si>
  <si>
    <t>Other Liabilities Excluding Equity, Non-Current and Current Liabilities</t>
  </si>
  <si>
    <t>Total Equity and Liabilities</t>
  </si>
  <si>
    <t xml:space="preserve"> Contingent Liabilities and Commitments (to the Extent Not Provided for) </t>
  </si>
  <si>
    <t>Book Value (Unit Curr)</t>
  </si>
  <si>
    <t>Finance &gt;&gt;Profit &amp; Loss IND (Consolidated)&gt;&gt;Unichem Laboratories Ltd (Curr. in ₹ crore)</t>
  </si>
  <si>
    <t xml:space="preserve"> Revenue From Operations </t>
  </si>
  <si>
    <t>Less: Excise Duty</t>
  </si>
  <si>
    <t>Revenue From Operations(Net)</t>
  </si>
  <si>
    <t xml:space="preserve"> Other Income </t>
  </si>
  <si>
    <t>Total Revenue</t>
  </si>
  <si>
    <t>EXPENSES:</t>
  </si>
  <si>
    <t xml:space="preserve"> Cost of Material Consumed </t>
  </si>
  <si>
    <t xml:space="preserve"> Internally Manufactured Intermediates or Components Consumed </t>
  </si>
  <si>
    <t xml:space="preserve"> Purchases of Stock-in-Trade </t>
  </si>
  <si>
    <t xml:space="preserve"> Changes in Inventories of Finished Goods, Work-in-Progress and Stock-in-Trade </t>
  </si>
  <si>
    <t xml:space="preserve"> Employee Benefits / Salaries &amp; other Staff Cost </t>
  </si>
  <si>
    <t xml:space="preserve"> Finance Cost </t>
  </si>
  <si>
    <t xml:space="preserve"> Depreciation and Amortization </t>
  </si>
  <si>
    <t xml:space="preserve"> Other Expenses </t>
  </si>
  <si>
    <t>Total Expenses</t>
  </si>
  <si>
    <t>Share of Profits / Loss of Associated Companies Before Tax</t>
  </si>
  <si>
    <t>Minority Interest Before Net Profit</t>
  </si>
  <si>
    <t>Profit Before Exceptional Items and Tax</t>
  </si>
  <si>
    <t xml:space="preserve"> Exceptional Items Before Tax </t>
  </si>
  <si>
    <t>Profit Before Extraordinary Items and Tax</t>
  </si>
  <si>
    <t xml:space="preserve"> Prior Year Adjustments </t>
  </si>
  <si>
    <t>Other Adjustments Before Tax</t>
  </si>
  <si>
    <t xml:space="preserve"> Extraordinary Items Before Tax </t>
  </si>
  <si>
    <t>Profit Before Tax</t>
  </si>
  <si>
    <t>Tax Expenses</t>
  </si>
  <si>
    <t>Current Tax</t>
  </si>
  <si>
    <t>Deferred Tax</t>
  </si>
  <si>
    <t>Other Tax Adjustments</t>
  </si>
  <si>
    <t>Current Tax - MAT / MAT Credit Entitlement</t>
  </si>
  <si>
    <t>Fringe Benefits Tax</t>
  </si>
  <si>
    <t>Provision for Wealth Tax</t>
  </si>
  <si>
    <t xml:space="preserve">  Adjust for Previous Year </t>
  </si>
  <si>
    <t>Others</t>
  </si>
  <si>
    <t>Profit After Tax</t>
  </si>
  <si>
    <t>Minority Interest After Net Profit</t>
  </si>
  <si>
    <t>Pre-acquisition Profit</t>
  </si>
  <si>
    <t>Share of Profits / Loss of Associated Companies</t>
  </si>
  <si>
    <t>Profit After Pre-acquisition Profit</t>
  </si>
  <si>
    <t xml:space="preserve"> Extraordinary Items After Tax </t>
  </si>
  <si>
    <t>Profit/(Loss) for the period from Continuing Operations</t>
  </si>
  <si>
    <t>Discontinued Operations</t>
  </si>
  <si>
    <t>Profit / (Loss) from Discontinuing Operations</t>
  </si>
  <si>
    <t>Tax Expense of Discontinuing Operations</t>
  </si>
  <si>
    <t>Accounting Changes</t>
  </si>
  <si>
    <t>Profit Attributable to Shareholders</t>
  </si>
  <si>
    <t>Adjustments to Net Income</t>
  </si>
  <si>
    <t>Interim Preference Dividend</t>
  </si>
  <si>
    <t>Proposed / Final Preference Dividend</t>
  </si>
  <si>
    <t>Prior Year Preference Dividend Paid</t>
  </si>
  <si>
    <t>Preference Dividend</t>
  </si>
  <si>
    <t>Preference Dividend Tax</t>
  </si>
  <si>
    <t>Profit Attributable to Ordinary Shareholders</t>
  </si>
  <si>
    <t xml:space="preserve"> Others </t>
  </si>
  <si>
    <t xml:space="preserve"> Transfer from Reserves </t>
  </si>
  <si>
    <t>Unappropriated Profits Brought Forward</t>
  </si>
  <si>
    <t>Profits Available for Appropriation</t>
  </si>
  <si>
    <t xml:space="preserve"> Dividend </t>
  </si>
  <si>
    <t xml:space="preserve"> Transfer to Reserves </t>
  </si>
  <si>
    <t>Dividend Tax</t>
  </si>
  <si>
    <t>Capitalization for Bonus Issue</t>
  </si>
  <si>
    <t>Unappropriated Profits Carried Forward</t>
  </si>
  <si>
    <t>Other Comprehensive Income :</t>
  </si>
  <si>
    <t xml:space="preserve"> Other Comprehensive Income That Will Not Be Reclassified to Profit Or Loss </t>
  </si>
  <si>
    <t>Other Comprehensive Income That Will Be Reclassified to Profit Or Loss :</t>
  </si>
  <si>
    <t>Other Comprehensive Income no Specification :</t>
  </si>
  <si>
    <t>Non-Controlling Interests</t>
  </si>
  <si>
    <t>Total Comprehensive Income for the Year</t>
  </si>
  <si>
    <t>Net Profit attributable to:</t>
  </si>
  <si>
    <t>a) Owners of the Company</t>
  </si>
  <si>
    <t>b) Non Controlling Interest</t>
  </si>
  <si>
    <t>Other Comprehensive Income attributable to:</t>
  </si>
  <si>
    <t>Total Comprehensive Income attributable to:</t>
  </si>
  <si>
    <t>Earning Per Share - Basic</t>
  </si>
  <si>
    <t>Earning Per Share - Diluted</t>
  </si>
  <si>
    <t>Dividend Per Share</t>
  </si>
  <si>
    <t>Interim 1</t>
  </si>
  <si>
    <t>Interim 2</t>
  </si>
  <si>
    <t>Interim 3</t>
  </si>
  <si>
    <t>Interim 4</t>
  </si>
  <si>
    <t>Special</t>
  </si>
  <si>
    <t>Final</t>
  </si>
  <si>
    <t>Total Dividend Per Share</t>
  </si>
  <si>
    <t>Dividend Percentage</t>
  </si>
  <si>
    <t>Total Dividend Percentage</t>
  </si>
  <si>
    <t>Total Dividend</t>
  </si>
  <si>
    <t>Weighted Average Number of Shares in Issue - Basic</t>
  </si>
  <si>
    <t>Weighted Average Number of Shares in Issue - Diluted</t>
  </si>
  <si>
    <t>Interim Dividend Amount</t>
  </si>
  <si>
    <t>Final Dividend Amount</t>
  </si>
  <si>
    <t>Special Dividend Amount</t>
  </si>
  <si>
    <t>Dividend Amount Calculated</t>
  </si>
  <si>
    <t>Other Dividend Amount</t>
  </si>
  <si>
    <t>Finance &gt;&gt;Cash Flow (Consolidated)&gt;&gt;Unichem Laboratories Ltd (Curr. in ₹ crore)</t>
  </si>
  <si>
    <t>Cash Flow Summary</t>
  </si>
  <si>
    <t>Cash and Cash Equivalents at Beginning of the year</t>
  </si>
  <si>
    <t xml:space="preserve"> Net Cash from Operating Activities </t>
  </si>
  <si>
    <t>Net Profit before Tax &amp; Extraordinary Items</t>
  </si>
  <si>
    <t>Interest (Net)</t>
  </si>
  <si>
    <t>Dividend Received</t>
  </si>
  <si>
    <t>P/L on Sales of Assets</t>
  </si>
  <si>
    <t>P/L on Sales of Invest</t>
  </si>
  <si>
    <t>Prov. &amp; W/O (Net)</t>
  </si>
  <si>
    <t>P/L in Forex</t>
  </si>
  <si>
    <t>Fin. Lease &amp; Rental Chrgs</t>
  </si>
  <si>
    <t>Total Adjustments (PBT &amp; Extraordinary Items)</t>
  </si>
  <si>
    <t>Op. Profit before Working Capital Changes</t>
  </si>
  <si>
    <t>Trade &amp; 0th receivables</t>
  </si>
  <si>
    <t>Inventories</t>
  </si>
  <si>
    <t>Trade Payables</t>
  </si>
  <si>
    <t>Loans &amp; Advances</t>
  </si>
  <si>
    <t>Investments</t>
  </si>
  <si>
    <t>Net Stock on Hire</t>
  </si>
  <si>
    <t>Leased Assets Net of Sale</t>
  </si>
  <si>
    <t>Trade Bill(s) Purchased</t>
  </si>
  <si>
    <t>Change in Borrowing</t>
  </si>
  <si>
    <t>Change in Deposits</t>
  </si>
  <si>
    <t>Total Working Capital Changes</t>
  </si>
  <si>
    <t>Cash Generated from/(used in) Operations</t>
  </si>
  <si>
    <t>Interest Paid(Net)</t>
  </si>
  <si>
    <t>Direct Taxes Paid</t>
  </si>
  <si>
    <t>Advance Tax Paid</t>
  </si>
  <si>
    <t>Total-others</t>
  </si>
  <si>
    <t>Cash Flow before Extraordinary Items</t>
  </si>
  <si>
    <t>Excess Depreciation W/b</t>
  </si>
  <si>
    <t>Premium on Lease of land</t>
  </si>
  <si>
    <t>Payment Towards VRS</t>
  </si>
  <si>
    <t>Prior Year 's Taxation</t>
  </si>
  <si>
    <t>Gain on Forex Exch. Tran</t>
  </si>
  <si>
    <t xml:space="preserve"> Net Cash Used in Investing Activities </t>
  </si>
  <si>
    <t>Purchased of Fixed Assets</t>
  </si>
  <si>
    <t>Sale of Fixed Assets</t>
  </si>
  <si>
    <t>Capital Expenditure</t>
  </si>
  <si>
    <t>capital WIP</t>
  </si>
  <si>
    <t>Capital Subsidy Recd</t>
  </si>
  <si>
    <t>Purchase of Investments</t>
  </si>
  <si>
    <t>Sale of Investments</t>
  </si>
  <si>
    <t>Investment Income</t>
  </si>
  <si>
    <t>Interest Received</t>
  </si>
  <si>
    <t>Invest.In Subsidiaires</t>
  </si>
  <si>
    <t>Loans to Subsidiaires</t>
  </si>
  <si>
    <t>Investment in Group Cos</t>
  </si>
  <si>
    <t>Issue of Sh. on Acqu. of Cos</t>
  </si>
  <si>
    <t>Canc. of Invest. in Cos Acq.</t>
  </si>
  <si>
    <t>Acquisition of Companies</t>
  </si>
  <si>
    <t>Inter Corporate Deposits</t>
  </si>
  <si>
    <t xml:space="preserve"> Net Cash Used in Financing Activities </t>
  </si>
  <si>
    <t>Proceeds from Issue of shares (incl share premium)</t>
  </si>
  <si>
    <t>Proceed from Issue of Debentures</t>
  </si>
  <si>
    <t>Proceed from 0ther Long Term Borrowings</t>
  </si>
  <si>
    <t>Proceed from Bank Borrowings</t>
  </si>
  <si>
    <t>Proceed from Short Tem Borrowings</t>
  </si>
  <si>
    <t>Proceed from Deposits</t>
  </si>
  <si>
    <t>Share Application Money</t>
  </si>
  <si>
    <t>Cash/Capital Investment Subsidy</t>
  </si>
  <si>
    <t>Loans from a Corporate Body</t>
  </si>
  <si>
    <t>Share Application Money Refund</t>
  </si>
  <si>
    <t>On Redemption of Debenture</t>
  </si>
  <si>
    <t>Of the Long Tem Borrowings</t>
  </si>
  <si>
    <t>Of the short term Borrowings</t>
  </si>
  <si>
    <t>Of financial Liabilities</t>
  </si>
  <si>
    <t>Dividend Paid</t>
  </si>
  <si>
    <t>Shelter Assistance Reserve</t>
  </si>
  <si>
    <t>Interest Paid</t>
  </si>
  <si>
    <t>Net Cash Used in Financing Activities</t>
  </si>
  <si>
    <t>Net Inc/(Dec) in Cash and Cash Equivalent</t>
  </si>
  <si>
    <t>Cash and Cash Equivalents at End of the year</t>
  </si>
  <si>
    <t>Finance &gt;&gt;Profit &amp; Loss IND (Consolidated)&gt;&gt;Unichem Laboratories Ltd(Curr. in )</t>
  </si>
  <si>
    <t>CONDENSED INCOME STATEMENT (₹ crore)</t>
  </si>
  <si>
    <t>REFORMULATED INCOME STATEMENT (₹ crore)</t>
  </si>
  <si>
    <t>RATIO ANALYSIS &amp; VALUATION DASHBOARD &gt;&gt; UNICHEM LABORATORIES LTD (₹ crore, except per-share data)</t>
  </si>
  <si>
    <t>HISTORICAL REINVESTMENT, GROWTH &amp; WORKING CAPITAL ANALYSIS &gt;&gt; UNICHEM LABORATORIES LTD</t>
  </si>
  <si>
    <t>Trend Line</t>
  </si>
  <si>
    <t>Particulars</t>
  </si>
  <si>
    <t>Historical Average</t>
  </si>
  <si>
    <t>Remarks</t>
  </si>
  <si>
    <t>Revenue from Operations (Net)</t>
  </si>
  <si>
    <t>Operating Revenue</t>
  </si>
  <si>
    <t>Growth (%)</t>
  </si>
  <si>
    <t>Capital Expenditure and Reinvestment</t>
  </si>
  <si>
    <t>Other Income</t>
  </si>
  <si>
    <t>Cost of Goods Sold (COGS)</t>
  </si>
  <si>
    <t>Sales Growth</t>
  </si>
  <si>
    <t>Total Capital Expenditure</t>
  </si>
  <si>
    <t>Total Income</t>
  </si>
  <si>
    <t>Selling, General &amp; Administrative Expenses (SG&amp;A)</t>
  </si>
  <si>
    <t>EBITDA Growth</t>
  </si>
  <si>
    <t>Depreciation Expenditure</t>
  </si>
  <si>
    <t>Cost of Goods Sold</t>
  </si>
  <si>
    <t>EBITDA from Operations</t>
  </si>
  <si>
    <t>EBIT Growth</t>
  </si>
  <si>
    <t>Net Capital Expenditure</t>
  </si>
  <si>
    <t>Employee Benefits Expense</t>
  </si>
  <si>
    <t>Depreciation &amp; Amortization</t>
  </si>
  <si>
    <t>Net Profit Growth</t>
  </si>
  <si>
    <t>Other Operating Expenses</t>
  </si>
  <si>
    <t>Operating Profit (EBIT)</t>
  </si>
  <si>
    <t>Current Assets</t>
  </si>
  <si>
    <t>EBITDA</t>
  </si>
  <si>
    <t>Less: Tax Expense</t>
  </si>
  <si>
    <t>Margins (%)</t>
  </si>
  <si>
    <t>Net Operating Profit After Tax (NOPAT)</t>
  </si>
  <si>
    <t>Gross Margin</t>
  </si>
  <si>
    <t>Trade Receivables</t>
  </si>
  <si>
    <t>EBIT</t>
  </si>
  <si>
    <t>Other / Non-operating Income</t>
  </si>
  <si>
    <t>EBITDA Margin</t>
  </si>
  <si>
    <t>Short-Term Loans and Advances</t>
  </si>
  <si>
    <t>Finance Cost</t>
  </si>
  <si>
    <t>Share of Profit/(Loss) of Associates</t>
  </si>
  <si>
    <t>EBIT Margin</t>
  </si>
  <si>
    <t>Other Current Assets</t>
  </si>
  <si>
    <t>Exceptional &amp; Other Adjustments</t>
  </si>
  <si>
    <t>EBT Margin</t>
  </si>
  <si>
    <t>Total Current Operating Assets</t>
  </si>
  <si>
    <t>Less: Net Finance Cost</t>
  </si>
  <si>
    <t>Net Profit Margin</t>
  </si>
  <si>
    <t>Net Profit</t>
  </si>
  <si>
    <t>Current Liabilities</t>
  </si>
  <si>
    <t>Tax Expense</t>
  </si>
  <si>
    <t>Net Profit Reconciliation Check</t>
  </si>
  <si>
    <t>Expense Ratios (%)</t>
  </si>
  <si>
    <t>COGS / Sales</t>
  </si>
  <si>
    <t>Other Current Liabilities</t>
  </si>
  <si>
    <t>Employee Expenses / Sales</t>
  </si>
  <si>
    <t>Total Current Operating Liabilities</t>
  </si>
  <si>
    <t>Other Expenses / Sales</t>
  </si>
  <si>
    <t>Depreciation / Sales</t>
  </si>
  <si>
    <t>Net Working Capital</t>
  </si>
  <si>
    <t>Finance Cost / Sales</t>
  </si>
  <si>
    <t>Change in Working Capital</t>
  </si>
  <si>
    <t>Tax / Sales</t>
  </si>
  <si>
    <t>Total Reinvestment (Net Capex + Change in WC)</t>
  </si>
  <si>
    <t>Return Ratios (%)</t>
  </si>
  <si>
    <t>Return on Capital Employed (ROCE)</t>
  </si>
  <si>
    <t>Reinvestment Rate</t>
  </si>
  <si>
    <t>Average reinvestment rate</t>
  </si>
  <si>
    <t>Return on Assets (ROA)</t>
  </si>
  <si>
    <t>Total Capital Employed</t>
  </si>
  <si>
    <t>Return on Equity (ROE)</t>
  </si>
  <si>
    <t>Return on Capital Employed</t>
  </si>
  <si>
    <t>Return on Invested Capital (ROIC)</t>
  </si>
  <si>
    <t>Expected Growth</t>
  </si>
  <si>
    <t>Average expected growth</t>
  </si>
  <si>
    <t>DuPont Analysis</t>
  </si>
  <si>
    <t>PAT Margin (%)</t>
  </si>
  <si>
    <t>Working Capital as a Percentage of Sales</t>
  </si>
  <si>
    <t>Asset Turnover (x)</t>
  </si>
  <si>
    <t>Sales</t>
  </si>
  <si>
    <t>Financial Leverage (x)</t>
  </si>
  <si>
    <t>Change in Sales</t>
  </si>
  <si>
    <t>ROE (%)</t>
  </si>
  <si>
    <t>Working Capital</t>
  </si>
  <si>
    <t>Liquidity &amp; Working Capital</t>
  </si>
  <si>
    <t>Working Capital as % of Sales</t>
  </si>
  <si>
    <t>Receivable Days</t>
  </si>
  <si>
    <t>Change in Working Capital as % of Change in Sales</t>
  </si>
  <si>
    <t>Historical average</t>
  </si>
  <si>
    <t>Inventory Days</t>
  </si>
  <si>
    <t>Finance &gt;&gt;Balance Sheet IND (Consolidated)&gt;&gt;Unichem Laboratories Ltd(Curr. in )</t>
  </si>
  <si>
    <t>CONDENSED BALANCE SHEET (₹ crore)</t>
  </si>
  <si>
    <t>REFORMULATED BALANCE SHEET (₹ crore)</t>
  </si>
  <si>
    <t>Payable Days</t>
  </si>
  <si>
    <t>Operating Cycle</t>
  </si>
  <si>
    <t>OPERATING ASSETS</t>
  </si>
  <si>
    <t>Cash Conversion Cycle</t>
  </si>
  <si>
    <t>Long term investments</t>
  </si>
  <si>
    <t>Current Ratio</t>
  </si>
  <si>
    <t>Other non-current assets</t>
  </si>
  <si>
    <t>Other Non-current Operating Assets</t>
  </si>
  <si>
    <t>Quick Ratio</t>
  </si>
  <si>
    <t>Cash Ratio</t>
  </si>
  <si>
    <t>Short term investments</t>
  </si>
  <si>
    <t>Other Current Operating Assets</t>
  </si>
  <si>
    <t>Solvency Ratios</t>
  </si>
  <si>
    <t>Cash and Cash Equivalents</t>
  </si>
  <si>
    <t>Total Operating Assets</t>
  </si>
  <si>
    <t>Debt / Equity</t>
  </si>
  <si>
    <t>Other current assets</t>
  </si>
  <si>
    <t>Debt / Capital</t>
  </si>
  <si>
    <t>Total assets</t>
  </si>
  <si>
    <t>FINANCIAL ASSETS</t>
  </si>
  <si>
    <t>Debt / EBITDA</t>
  </si>
  <si>
    <t>Long-term Investments</t>
  </si>
  <si>
    <t>Net Debt / EBITDA</t>
  </si>
  <si>
    <t>Common Share Capital</t>
  </si>
  <si>
    <t>Short-term Investments</t>
  </si>
  <si>
    <t>Interest Coverage</t>
  </si>
  <si>
    <t>Other Equity</t>
  </si>
  <si>
    <t>Cash &amp; Cash Equivalents</t>
  </si>
  <si>
    <t>Total Financial Assets</t>
  </si>
  <si>
    <t>Turnover &amp; Efficiency Ratios</t>
  </si>
  <si>
    <t>Long Term Borrowings</t>
  </si>
  <si>
    <t>Working Capital Turnover</t>
  </si>
  <si>
    <t>Fixed Asset Turnover</t>
  </si>
  <si>
    <t>Other non-current liabilities</t>
  </si>
  <si>
    <t>OPERATING LIABILITIES</t>
  </si>
  <si>
    <t>Inventory Turnover</t>
  </si>
  <si>
    <t>Other Non-current Operating Liabilities</t>
  </si>
  <si>
    <t>Receivable Turnover</t>
  </si>
  <si>
    <t>Short Term Borrowings</t>
  </si>
  <si>
    <t>Payable Turnover</t>
  </si>
  <si>
    <t>Short term lease liabilities</t>
  </si>
  <si>
    <t>Other Current Operating Liabilities</t>
  </si>
  <si>
    <t>Total Operating Liabilities</t>
  </si>
  <si>
    <t>Model-Derived Cash Flow Analysis</t>
  </si>
  <si>
    <t>Total liabilities and equity</t>
  </si>
  <si>
    <t>Operating Working Capital</t>
  </si>
  <si>
    <t>Balance Sheet Reconciliation Check</t>
  </si>
  <si>
    <t>FINANCIAL OBLIGATIONS</t>
  </si>
  <si>
    <t>Change in Operating Working Capital</t>
  </si>
  <si>
    <t>Long-term Borrowings</t>
  </si>
  <si>
    <t>Long-term Lease Liabilities</t>
  </si>
  <si>
    <t>Cash Flow from Operations (CFO)</t>
  </si>
  <si>
    <t>Short-term Borrowings</t>
  </si>
  <si>
    <t>Free Cash Flow to Firm (FCFF)</t>
  </si>
  <si>
    <t>Short-term Lease Liabilities</t>
  </si>
  <si>
    <t>Net Borrowing</t>
  </si>
  <si>
    <t>Total Financial Obligations</t>
  </si>
  <si>
    <t>Free Cash Flow to Equity (FCFE)</t>
  </si>
  <si>
    <t>CFO / EBITDA</t>
  </si>
  <si>
    <t>EQUITY</t>
  </si>
  <si>
    <t>CFO / Net Profit</t>
  </si>
  <si>
    <t>Capex / Sales</t>
  </si>
  <si>
    <t>FCFF Margin</t>
  </si>
  <si>
    <t>Per Share Analysis</t>
  </si>
  <si>
    <t>Total Liabilities and Equity</t>
  </si>
  <si>
    <t>Shares Outstanding Proxy (crore; FV ₹1)</t>
  </si>
  <si>
    <t>Earnings Per Share (₹)</t>
  </si>
  <si>
    <t>Book Value Per Share (₹)</t>
  </si>
  <si>
    <t>Net Operating Assets</t>
  </si>
  <si>
    <t>CFO Per Share (₹)</t>
  </si>
  <si>
    <t>NA</t>
  </si>
  <si>
    <t>Net Financial Assets/(Obligations)</t>
  </si>
  <si>
    <t>FCFF Per Share (₹)</t>
  </si>
  <si>
    <t>Common Equity + Minority Interest Check</t>
  </si>
  <si>
    <t>FCFE Per Share (₹)</t>
  </si>
  <si>
    <t>Valuation Inputs &amp; Multiples</t>
  </si>
  <si>
    <t>Market Price Per Share (₹)</t>
  </si>
  <si>
    <t>Market Capitalization</t>
  </si>
  <si>
    <t>Price / Earnings</t>
  </si>
  <si>
    <t>Price / Book Value</t>
  </si>
  <si>
    <t>EV / Sales</t>
  </si>
  <si>
    <t>EV / EBITDA</t>
  </si>
  <si>
    <t>EV / EBIT</t>
  </si>
  <si>
    <t>EV / FCFF</t>
  </si>
  <si>
    <t>Latest Year Financial Dashboard</t>
  </si>
  <si>
    <t>Latest Year</t>
  </si>
  <si>
    <t>ROE</t>
  </si>
  <si>
    <t>ROIC</t>
  </si>
  <si>
    <t>CFO</t>
  </si>
  <si>
    <t>FCFF</t>
  </si>
  <si>
    <t>EPS</t>
  </si>
  <si>
    <t>Finance &gt;&gt;Cash Flow (Consolidated)&gt;&gt;Exide Industries Ltd(Curr. Rs in )</t>
  </si>
  <si>
    <t>Scenario</t>
  </si>
  <si>
    <t>Historical</t>
  </si>
  <si>
    <t>Projected</t>
  </si>
  <si>
    <t xml:space="preserve">COGS </t>
  </si>
  <si>
    <t>Gross Profit</t>
  </si>
  <si>
    <t>SG&amp;A</t>
  </si>
  <si>
    <t xml:space="preserve">    EBITDA Margin %</t>
  </si>
  <si>
    <t>Depreciation &amp;  Amortization</t>
  </si>
  <si>
    <t>Taxes (30.0%)</t>
  </si>
  <si>
    <t>Tax-effected EBIT</t>
  </si>
  <si>
    <t>Depreciation and Amortization</t>
  </si>
  <si>
    <t>Capital Expenditures</t>
  </si>
  <si>
    <t>Change in working capital</t>
  </si>
  <si>
    <t>Free Cash Flow</t>
  </si>
  <si>
    <t>Operating Assumptions</t>
  </si>
  <si>
    <t>COGS (% of sales)</t>
  </si>
  <si>
    <t>SG&amp;A (% of sales)</t>
  </si>
  <si>
    <t>Primary Expenditure Assumptions</t>
  </si>
  <si>
    <t>CapEx (% of sales)</t>
  </si>
  <si>
    <t>Depreciation &amp; Amortization (% of CapEx)</t>
  </si>
  <si>
    <t>Change in Working Capital (% of ∆ sales)</t>
  </si>
  <si>
    <t>Rupees values are in crore. FY2026 is actual from Unichem Annual Report; FY2027 onward is projected.</t>
  </si>
  <si>
    <t>Data / assumption note</t>
  </si>
  <si>
    <t>FY2026 actual from Unichem annual report; FY2027 10% guidance; FY2028–FY2031 taper assumptions 9%, 8%, 7%, 6%.</t>
  </si>
  <si>
    <t>CapEx and working-capital assumptions are model-derived; no unsupported historical numbers are inserted.</t>
  </si>
  <si>
    <t>Scenario building (Sales growth)</t>
  </si>
  <si>
    <t>Base-1</t>
  </si>
  <si>
    <t>FY2027 10% guidance; FY2028-31 taper assumptions.</t>
  </si>
  <si>
    <t>Worst-2</t>
  </si>
  <si>
    <t>Worst case = base - 2%</t>
  </si>
  <si>
    <t>Best-3</t>
  </si>
  <si>
    <t>Best case = base + 2%</t>
  </si>
  <si>
    <t>Perpetuity Growth Method</t>
  </si>
  <si>
    <t>EBITDA Multiple Method</t>
  </si>
  <si>
    <t>Terminal Growth Rate</t>
  </si>
  <si>
    <t>Existing EBITDA Multple</t>
  </si>
  <si>
    <t>Perpetuity Multiple</t>
  </si>
  <si>
    <t>Exit EBITDA</t>
  </si>
  <si>
    <t>Years into the future</t>
  </si>
  <si>
    <t>FCF</t>
  </si>
  <si>
    <t>NPV</t>
  </si>
  <si>
    <t>NPV of 5-years FCF</t>
  </si>
  <si>
    <t>Terminal Value of FCF</t>
  </si>
  <si>
    <t>Terminal Value Using EBITDA</t>
  </si>
  <si>
    <t>PV of TV (Discounted 5 Years)</t>
  </si>
  <si>
    <t>PV of TV as % of EV</t>
  </si>
  <si>
    <t>Terminal Year FCF</t>
  </si>
  <si>
    <t>Terminal Year EBITDA</t>
  </si>
  <si>
    <t>EBIDTA Multiple</t>
  </si>
  <si>
    <t>Implied EBITDA Terminal Multiple</t>
  </si>
  <si>
    <t>Implied Growth Rate</t>
  </si>
  <si>
    <t>Add: Total Financial assets</t>
  </si>
  <si>
    <t>Less: Total Financial Obligations</t>
  </si>
  <si>
    <t>Less: Non-controlling interest</t>
  </si>
  <si>
    <t>Value of Equity</t>
  </si>
  <si>
    <t>No. of Shares (in Cr)</t>
  </si>
  <si>
    <t>Value per Share</t>
  </si>
  <si>
    <t>Sensitivity Analysis</t>
  </si>
  <si>
    <t>Growth</t>
  </si>
  <si>
    <t>Metric</t>
  </si>
  <si>
    <t>Min</t>
  </si>
  <si>
    <t>Width</t>
  </si>
  <si>
    <t>Max</t>
  </si>
  <si>
    <t>Mid</t>
  </si>
  <si>
    <t>Weights</t>
  </si>
  <si>
    <t>DCF - TV as Stable growth</t>
  </si>
  <si>
    <t>DCF - TV as Av EV/EBITDA</t>
  </si>
  <si>
    <t>52 Week High/Low</t>
  </si>
  <si>
    <t>Current market price</t>
  </si>
  <si>
    <t>Target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</si>
</sst>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_ * #,##0.00_ ;_ * \-#,##0.00_ ;_ * \-??_ ;_ @_ "/>
    <numFmt numFmtId="165" formatCode="0.0000"/>
    <numFmt numFmtId="166" formatCode="0.00000"/>
    <numFmt numFmtId="167" formatCode="0.000"/>
    <numFmt numFmtId="168" formatCode="#,##0.00;[Red]\(#,##0.00\);\-"/>
    <numFmt numFmtId="169" formatCode="0.0%;[Red]\(0.0%\);\-"/>
    <numFmt numFmtId="170" formatCode="0.00\x;[Red]\(0.00&quot;x)&quot;;\-"/>
    <numFmt numFmtId="171" formatCode="0.0;[Red]\(0.0\);\-"/>
    <numFmt numFmtId="172" formatCode="#,##0.0;[Red]\(#,##0.0\);\-"/>
    <numFmt numFmtId="173" formatCode="\₹0.00;[Red]&quot;(₹&quot;0.00\);\-"/>
    <numFmt numFmtId="174" formatCode="0.0%"/>
    <numFmt numFmtId="175" formatCode="0.0"/>
    <numFmt numFmtId="176" formatCode="#,##0.0"/>
    <numFmt numFmtId="177" formatCode="\₹0.00"/>
    <numFmt numFmtId="178" formatCode="0.00\x"/>
    <numFmt numFmtId="179" formatCode="_ &quot;₹ &quot;* #,##0.00_ ;_ &quot;₹ &quot;* \-#,##0.00_ ;_ &quot;₹ &quot;* \-??_ ;_ @_ "/>
    <numFmt numFmtId="180" formatCode="&quot;₹ &quot;#,##0.00"/>
    <numFmt numFmtId="181" formatCode="#,##0.0_);\(#,##0.0\)"/>
    <numFmt numFmtId="182" formatCode="_(* #,##0.0_);_(* \(#,##0.0\);_(* \-??_);_(@_)"/>
    <numFmt numFmtId="183" formatCode="_(* #,##0.00_);_(* \(#,##0.00\);_(* \-??_);_(@_)"/>
    <numFmt numFmtId="184" formatCode="_(#,##0.00_);\(#,##0.00\);_(\–_);_(@_)"/>
  </numFmts>
  <fonts count="38">
    <font>
      <sz val="11"/>
      <color theme="1"/>
      <name val="Calibri"/>
      <charset val="1"/>
    </font>
    <font>
      <sz val="11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0"/>
      <color theme="0"/>
      <name val="Calibri"/>
      <family val="2"/>
      <charset val="1"/>
    </font>
    <font>
      <sz val="10"/>
      <color theme="1"/>
      <name val="Calibri"/>
      <family val="2"/>
      <charset val="1"/>
    </font>
    <font>
      <sz val="11"/>
      <name val="Calibri"/>
      <family val="2"/>
      <charset val="1"/>
    </font>
    <font>
      <b/>
      <sz val="11"/>
      <name val="Calibri"/>
      <family val="2"/>
      <charset val="1"/>
    </font>
    <font>
      <b/>
      <sz val="10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theme="1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FF"/>
      <name val="Arial"/>
      <family val="2"/>
      <charset val="1"/>
    </font>
    <font>
      <sz val="8"/>
      <color theme="1"/>
      <name val="Arial"/>
      <family val="2"/>
      <charset val="1"/>
    </font>
    <font>
      <b/>
      <sz val="8"/>
      <color theme="0"/>
      <name val="Arial"/>
      <family val="2"/>
      <charset val="1"/>
    </font>
    <font>
      <b/>
      <sz val="8"/>
      <color theme="1"/>
      <name val="Arial"/>
      <family val="2"/>
      <charset val="1"/>
    </font>
    <font>
      <u/>
      <sz val="8"/>
      <color theme="1"/>
      <name val="Arial"/>
      <family val="2"/>
      <charset val="1"/>
    </font>
    <font>
      <sz val="8"/>
      <name val="Arial"/>
      <family val="2"/>
      <charset val="1"/>
    </font>
    <font>
      <b/>
      <sz val="8"/>
      <name val="Arial"/>
      <family val="2"/>
      <charset val="1"/>
    </font>
    <font>
      <b/>
      <u/>
      <sz val="8"/>
      <name val="Arial"/>
      <family val="2"/>
      <charset val="1"/>
    </font>
    <font>
      <i/>
      <sz val="8"/>
      <color theme="1"/>
      <name val="Arial"/>
      <family val="2"/>
      <charset val="1"/>
    </font>
    <font>
      <sz val="12"/>
      <color theme="1"/>
      <name val="Arial"/>
      <family val="2"/>
      <charset val="1"/>
    </font>
    <font>
      <b/>
      <u/>
      <sz val="12"/>
      <color theme="1"/>
      <name val="Arial"/>
      <family val="2"/>
      <charset val="1"/>
    </font>
    <font>
      <b/>
      <sz val="12"/>
      <color theme="1"/>
      <name val="Arial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sz val="10"/>
      <color theme="1"/>
      <name val="Open Sans"/>
      <family val="2"/>
      <charset val="1"/>
    </font>
    <font>
      <sz val="10"/>
      <name val="Open Sans"/>
      <family val="2"/>
      <charset val="1"/>
    </font>
    <font>
      <b/>
      <sz val="10"/>
      <color theme="1"/>
      <name val="Open Sans"/>
      <family val="2"/>
      <charset val="1"/>
    </font>
    <font>
      <b/>
      <sz val="10"/>
      <name val="Open Sans"/>
      <family val="2"/>
      <charset val="1"/>
    </font>
    <font>
      <b/>
      <sz val="10"/>
      <color rgb="FF0070C0"/>
      <name val="Open Sans"/>
      <family val="2"/>
      <charset val="1"/>
    </font>
    <font>
      <sz val="11"/>
      <color theme="1"/>
      <name val="Calibri"/>
      <charset val="1"/>
    </font>
  </fonts>
  <fills count="18">
    <fill>
      <patternFill patternType="none"/>
    </fill>
    <fill>
      <patternFill patternType="gray125"/>
    </fill>
    <fill>
      <patternFill patternType="solid">
        <fgColor theme="4" tint="0.39988402966399123"/>
        <bgColor rgb="FFC9C9C9"/>
      </patternFill>
    </fill>
    <fill>
      <patternFill patternType="solid">
        <fgColor theme="6" tint="0.39988402966399123"/>
        <bgColor rgb="FFD9D9D9"/>
      </patternFill>
    </fill>
    <fill>
      <patternFill patternType="solid">
        <fgColor theme="9"/>
        <bgColor rgb="FF339966"/>
      </patternFill>
    </fill>
    <fill>
      <patternFill patternType="solid">
        <fgColor theme="7" tint="0.79989013336588644"/>
        <bgColor rgb="FFE2F0D9"/>
      </patternFill>
    </fill>
    <fill>
      <patternFill patternType="solid">
        <fgColor theme="8" tint="0.79989013336588644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theme="9" tint="0.39988402966399123"/>
        <bgColor rgb="FFC9C9C9"/>
      </patternFill>
    </fill>
    <fill>
      <patternFill patternType="solid">
        <fgColor theme="8" tint="-0.249977111117893"/>
        <bgColor rgb="FF1F4E78"/>
      </patternFill>
    </fill>
    <fill>
      <patternFill patternType="solid">
        <fgColor theme="7" tint="0.59987182226020086"/>
        <bgColor rgb="FFFFF2CC"/>
      </patternFill>
    </fill>
    <fill>
      <patternFill patternType="solid">
        <fgColor theme="5" tint="0.59987182226020086"/>
        <bgColor rgb="FFFFE699"/>
      </patternFill>
    </fill>
    <fill>
      <patternFill patternType="solid">
        <fgColor rgb="FF1F4E78"/>
        <bgColor rgb="FF2F5597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AE3F3"/>
      </patternFill>
    </fill>
    <fill>
      <patternFill patternType="solid">
        <fgColor rgb="FFD9E1F2"/>
        <bgColor rgb="FFDAE3F3"/>
      </patternFill>
    </fill>
    <fill>
      <patternFill patternType="solid">
        <fgColor rgb="FFE2F0D9"/>
        <bgColor rgb="FFD9EAF7"/>
      </patternFill>
    </fill>
    <fill>
      <patternFill patternType="solid">
        <fgColor rgb="FF002060"/>
        <bgColor rgb="FF17365D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13">
    <xf numFmtId="0" fontId="0" fillId="0" borderId="0"/>
    <xf numFmtId="164" fontId="37" fillId="0" borderId="0" applyBorder="0" applyProtection="0"/>
    <xf numFmtId="179" fontId="37" fillId="0" borderId="0" applyBorder="0" applyProtection="0"/>
    <xf numFmtId="9" fontId="37" fillId="0" borderId="0" applyBorder="0" applyProtection="0"/>
    <xf numFmtId="0" fontId="2" fillId="0" borderId="0" applyBorder="0" applyProtection="0"/>
    <xf numFmtId="0" fontId="1" fillId="2" borderId="0" applyBorder="0" applyProtection="0"/>
    <xf numFmtId="0" fontId="1" fillId="3" borderId="0" applyBorder="0" applyProtection="0"/>
    <xf numFmtId="0" fontId="1" fillId="4" borderId="0" applyBorder="0" applyProtection="0"/>
    <xf numFmtId="164" fontId="37" fillId="0" borderId="0" applyBorder="0" applyProtection="0"/>
    <xf numFmtId="0" fontId="2" fillId="0" borderId="0" applyBorder="0" applyProtection="0"/>
    <xf numFmtId="0" fontId="3" fillId="0" borderId="0" applyBorder="0"/>
    <xf numFmtId="0" fontId="4" fillId="0" borderId="0"/>
    <xf numFmtId="9" fontId="37" fillId="0" borderId="0" applyBorder="0" applyProtection="0"/>
  </cellStyleXfs>
  <cellXfs count="213">
    <xf numFmtId="0" fontId="0" fillId="0" borderId="0" xfId="0"/>
    <xf numFmtId="0" fontId="27" fillId="0" borderId="8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1" fillId="0" borderId="8" xfId="0" applyFont="1" applyBorder="1" applyAlignment="1">
      <alignment horizontal="center"/>
    </xf>
    <xf numFmtId="0" fontId="14" fillId="12" borderId="0" xfId="0" applyFont="1" applyFill="1" applyAlignment="1">
      <alignment horizontal="left" wrapText="1"/>
    </xf>
    <xf numFmtId="0" fontId="14" fillId="13" borderId="0" xfId="0" applyFont="1" applyFill="1" applyAlignment="1">
      <alignment horizontal="center" vertical="center" wrapText="1"/>
    </xf>
    <xf numFmtId="0" fontId="14" fillId="13" borderId="0" xfId="0" applyFont="1" applyFill="1" applyAlignment="1">
      <alignment horizontal="left" wrapText="1"/>
    </xf>
    <xf numFmtId="0" fontId="14" fillId="12" borderId="0" xfId="0" applyFont="1" applyFill="1" applyAlignment="1">
      <alignment horizontal="center" vertical="center" wrapText="1"/>
    </xf>
    <xf numFmtId="0" fontId="12" fillId="11" borderId="5" xfId="0" applyFont="1" applyFill="1" applyBorder="1" applyAlignment="1">
      <alignment horizontal="center" vertical="center" wrapText="1"/>
    </xf>
    <xf numFmtId="0" fontId="7" fillId="9" borderId="5" xfId="1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7" fillId="9" borderId="1" xfId="0" applyFont="1" applyFill="1" applyBorder="1" applyAlignment="1">
      <alignment horizontal="center" wrapText="1"/>
    </xf>
    <xf numFmtId="0" fontId="7" fillId="9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6" fillId="0" borderId="0" xfId="10" applyFont="1" applyBorder="1"/>
    <xf numFmtId="0" fontId="6" fillId="6" borderId="1" xfId="10" applyFont="1" applyFill="1" applyBorder="1"/>
    <xf numFmtId="0" fontId="6" fillId="6" borderId="2" xfId="10" applyFont="1" applyFill="1" applyBorder="1"/>
    <xf numFmtId="0" fontId="6" fillId="6" borderId="1" xfId="10" applyFont="1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7" borderId="1" xfId="0" applyFill="1" applyBorder="1"/>
    <xf numFmtId="0" fontId="0" fillId="5" borderId="1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1" xfId="0" applyFill="1" applyBorder="1"/>
    <xf numFmtId="0" fontId="6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2" xfId="0" applyFill="1" applyBorder="1"/>
    <xf numFmtId="0" fontId="0" fillId="8" borderId="1" xfId="0" applyFill="1" applyBorder="1"/>
    <xf numFmtId="0" fontId="0" fillId="8" borderId="2" xfId="0" applyFill="1" applyBorder="1"/>
    <xf numFmtId="0" fontId="3" fillId="7" borderId="1" xfId="10" applyFill="1" applyBorder="1"/>
    <xf numFmtId="0" fontId="3" fillId="0" borderId="0" xfId="10" applyBorder="1"/>
    <xf numFmtId="0" fontId="8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/>
    <xf numFmtId="14" fontId="9" fillId="10" borderId="1" xfId="0" applyNumberFormat="1" applyFont="1" applyFill="1" applyBorder="1" applyAlignment="1">
      <alignment wrapText="1"/>
    </xf>
    <xf numFmtId="0" fontId="9" fillId="10" borderId="1" xfId="0" applyFont="1" applyFill="1" applyBorder="1" applyAlignment="1">
      <alignment wrapText="1"/>
    </xf>
    <xf numFmtId="0" fontId="9" fillId="0" borderId="3" xfId="0" applyFont="1" applyBorder="1" applyAlignment="1">
      <alignment wrapText="1"/>
    </xf>
    <xf numFmtId="4" fontId="9" fillId="10" borderId="1" xfId="0" applyNumberFormat="1" applyFont="1" applyFill="1" applyBorder="1" applyAlignment="1">
      <alignment wrapText="1"/>
    </xf>
    <xf numFmtId="0" fontId="0" fillId="0" borderId="3" xfId="0" applyBorder="1"/>
    <xf numFmtId="0" fontId="10" fillId="0" borderId="1" xfId="0" applyFont="1" applyBorder="1"/>
    <xf numFmtId="165" fontId="10" fillId="7" borderId="1" xfId="0" applyNumberFormat="1" applyFont="1" applyFill="1" applyBorder="1"/>
    <xf numFmtId="0" fontId="2" fillId="0" borderId="1" xfId="4" applyBorder="1" applyProtection="1"/>
    <xf numFmtId="0" fontId="5" fillId="0" borderId="1" xfId="0" applyFont="1" applyBorder="1"/>
    <xf numFmtId="2" fontId="10" fillId="0" borderId="1" xfId="0" applyNumberFormat="1" applyFont="1" applyBorder="1"/>
    <xf numFmtId="165" fontId="10" fillId="0" borderId="0" xfId="0" applyNumberFormat="1" applyFont="1"/>
    <xf numFmtId="0" fontId="2" fillId="0" borderId="0" xfId="4" applyBorder="1" applyProtection="1"/>
    <xf numFmtId="0" fontId="9" fillId="0" borderId="1" xfId="0" applyFont="1" applyBorder="1" applyAlignment="1">
      <alignment wrapText="1"/>
    </xf>
    <xf numFmtId="9" fontId="10" fillId="10" borderId="1" xfId="0" applyNumberFormat="1" applyFont="1" applyFill="1" applyBorder="1"/>
    <xf numFmtId="0" fontId="11" fillId="0" borderId="1" xfId="0" applyFont="1" applyBorder="1"/>
    <xf numFmtId="0" fontId="11" fillId="7" borderId="1" xfId="0" applyFont="1" applyFill="1" applyBorder="1"/>
    <xf numFmtId="0" fontId="1" fillId="9" borderId="1" xfId="0" applyFont="1" applyFill="1" applyBorder="1"/>
    <xf numFmtId="0" fontId="7" fillId="9" borderId="5" xfId="0" applyFont="1" applyFill="1" applyBorder="1"/>
    <xf numFmtId="0" fontId="7" fillId="9" borderId="6" xfId="0" applyFont="1" applyFill="1" applyBorder="1"/>
    <xf numFmtId="0" fontId="7" fillId="9" borderId="1" xfId="10" applyFont="1" applyFill="1" applyBorder="1"/>
    <xf numFmtId="0" fontId="7" fillId="9" borderId="5" xfId="10" applyFont="1" applyFill="1" applyBorder="1"/>
    <xf numFmtId="165" fontId="0" fillId="0" borderId="1" xfId="0" applyNumberFormat="1" applyBorder="1"/>
    <xf numFmtId="0" fontId="10" fillId="0" borderId="0" xfId="0" applyFont="1"/>
    <xf numFmtId="166" fontId="0" fillId="0" borderId="0" xfId="0" applyNumberFormat="1"/>
    <xf numFmtId="0" fontId="6" fillId="0" borderId="1" xfId="10" applyFont="1" applyBorder="1"/>
    <xf numFmtId="0" fontId="5" fillId="0" borderId="0" xfId="0" applyFont="1" applyAlignment="1">
      <alignment horizontal="left"/>
    </xf>
    <xf numFmtId="4" fontId="0" fillId="0" borderId="0" xfId="0" applyNumberFormat="1" applyAlignment="1">
      <alignment horizontal="right"/>
    </xf>
    <xf numFmtId="165" fontId="0" fillId="0" borderId="0" xfId="0" applyNumberFormat="1"/>
    <xf numFmtId="0" fontId="6" fillId="0" borderId="5" xfId="10" applyFont="1" applyBorder="1"/>
    <xf numFmtId="0" fontId="6" fillId="0" borderId="6" xfId="10" applyFont="1" applyBorder="1"/>
    <xf numFmtId="167" fontId="0" fillId="0" borderId="0" xfId="0" applyNumberFormat="1"/>
    <xf numFmtId="2" fontId="0" fillId="0" borderId="0" xfId="0" applyNumberFormat="1"/>
    <xf numFmtId="0" fontId="3" fillId="0" borderId="1" xfId="10" applyBorder="1"/>
    <xf numFmtId="0" fontId="0" fillId="0" borderId="1" xfId="0" applyBorder="1" applyAlignment="1">
      <alignment horizontal="left"/>
    </xf>
    <xf numFmtId="0" fontId="5" fillId="10" borderId="1" xfId="0" applyFont="1" applyFill="1" applyBorder="1"/>
    <xf numFmtId="0" fontId="12" fillId="11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4" fontId="9" fillId="11" borderId="1" xfId="0" applyNumberFormat="1" applyFont="1" applyFill="1" applyBorder="1" applyAlignment="1">
      <alignment wrapText="1"/>
    </xf>
    <xf numFmtId="0" fontId="4" fillId="0" borderId="0" xfId="0" applyFont="1"/>
    <xf numFmtId="4" fontId="0" fillId="0" borderId="0" xfId="0" applyNumberFormat="1"/>
    <xf numFmtId="4" fontId="9" fillId="0" borderId="1" xfId="0" applyNumberFormat="1" applyFont="1" applyBorder="1" applyAlignment="1">
      <alignment wrapText="1"/>
    </xf>
    <xf numFmtId="0" fontId="0" fillId="0" borderId="1" xfId="0" applyBorder="1" applyAlignment="1">
      <alignment wrapText="1"/>
    </xf>
    <xf numFmtId="0" fontId="13" fillId="0" borderId="0" xfId="0" applyFont="1"/>
    <xf numFmtId="0" fontId="14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4" fillId="0" borderId="0" xfId="0" applyFont="1" applyAlignment="1">
      <alignment horizontal="left" vertical="center" wrapText="1"/>
    </xf>
    <xf numFmtId="0" fontId="15" fillId="14" borderId="0" xfId="0" applyFont="1" applyFill="1" applyAlignment="1">
      <alignment horizontal="right" wrapText="1"/>
    </xf>
    <xf numFmtId="0" fontId="15" fillId="0" borderId="0" xfId="0" applyFont="1" applyAlignment="1">
      <alignment horizontal="right" wrapText="1"/>
    </xf>
    <xf numFmtId="0" fontId="15" fillId="15" borderId="0" xfId="0" applyFont="1" applyFill="1" applyAlignment="1">
      <alignment horizontal="right" wrapText="1"/>
    </xf>
    <xf numFmtId="0" fontId="16" fillId="15" borderId="0" xfId="0" applyFont="1" applyFill="1" applyAlignment="1">
      <alignment horizontal="right" wrapText="1"/>
    </xf>
    <xf numFmtId="168" fontId="13" fillId="0" borderId="0" xfId="0" applyNumberFormat="1" applyFont="1" applyAlignment="1">
      <alignment horizontal="right" wrapText="1"/>
    </xf>
    <xf numFmtId="0" fontId="14" fillId="12" borderId="0" xfId="0" applyFont="1" applyFill="1" applyAlignment="1">
      <alignment horizontal="left" wrapText="1"/>
    </xf>
    <xf numFmtId="0" fontId="17" fillId="0" borderId="0" xfId="0" applyFont="1" applyAlignment="1">
      <alignment wrapText="1"/>
    </xf>
    <xf numFmtId="169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wrapText="1"/>
    </xf>
    <xf numFmtId="0" fontId="15" fillId="0" borderId="7" xfId="0" applyFont="1" applyBorder="1" applyAlignment="1">
      <alignment wrapText="1"/>
    </xf>
    <xf numFmtId="168" fontId="15" fillId="0" borderId="7" xfId="0" applyNumberFormat="1" applyFont="1" applyBorder="1" applyAlignment="1">
      <alignment horizontal="right" wrapText="1"/>
    </xf>
    <xf numFmtId="168" fontId="15" fillId="0" borderId="0" xfId="0" applyNumberFormat="1" applyFont="1" applyAlignment="1">
      <alignment horizontal="right" wrapText="1"/>
    </xf>
    <xf numFmtId="168" fontId="15" fillId="0" borderId="6" xfId="0" applyNumberFormat="1" applyFont="1" applyBorder="1" applyAlignment="1">
      <alignment wrapText="1"/>
    </xf>
    <xf numFmtId="168" fontId="15" fillId="0" borderId="6" xfId="0" applyNumberFormat="1" applyFont="1" applyBorder="1" applyAlignment="1">
      <alignment horizontal="right" wrapText="1"/>
    </xf>
    <xf numFmtId="168" fontId="15" fillId="7" borderId="6" xfId="0" applyNumberFormat="1" applyFont="1" applyFill="1" applyBorder="1" applyAlignment="1">
      <alignment wrapText="1"/>
    </xf>
    <xf numFmtId="168" fontId="15" fillId="7" borderId="6" xfId="0" applyNumberFormat="1" applyFont="1" applyFill="1" applyBorder="1" applyAlignment="1">
      <alignment horizontal="right" wrapText="1"/>
    </xf>
    <xf numFmtId="168" fontId="15" fillId="7" borderId="0" xfId="0" applyNumberFormat="1" applyFont="1" applyFill="1" applyAlignment="1">
      <alignment wrapText="1"/>
    </xf>
    <xf numFmtId="168" fontId="15" fillId="7" borderId="0" xfId="0" applyNumberFormat="1" applyFont="1" applyFill="1" applyAlignment="1">
      <alignment horizontal="right" wrapText="1"/>
    </xf>
    <xf numFmtId="0" fontId="13" fillId="0" borderId="7" xfId="0" applyFont="1" applyBorder="1" applyAlignment="1">
      <alignment wrapText="1"/>
    </xf>
    <xf numFmtId="169" fontId="13" fillId="0" borderId="7" xfId="0" applyNumberFormat="1" applyFont="1" applyBorder="1" applyAlignment="1">
      <alignment horizontal="right" wrapText="1"/>
    </xf>
    <xf numFmtId="169" fontId="16" fillId="0" borderId="7" xfId="0" applyNumberFormat="1" applyFont="1" applyBorder="1" applyAlignment="1">
      <alignment horizontal="right" wrapText="1"/>
    </xf>
    <xf numFmtId="0" fontId="13" fillId="0" borderId="7" xfId="0" applyFont="1" applyBorder="1" applyAlignment="1">
      <alignment horizontal="right" wrapText="1"/>
    </xf>
    <xf numFmtId="169" fontId="16" fillId="7" borderId="7" xfId="0" applyNumberFormat="1" applyFont="1" applyFill="1" applyBorder="1" applyAlignment="1">
      <alignment horizontal="right" wrapText="1"/>
    </xf>
    <xf numFmtId="0" fontId="14" fillId="12" borderId="0" xfId="0" applyFont="1" applyFill="1" applyAlignment="1">
      <alignment horizontal="right" wrapText="1"/>
    </xf>
    <xf numFmtId="170" fontId="17" fillId="0" borderId="0" xfId="0" applyNumberFormat="1" applyFont="1" applyAlignment="1">
      <alignment horizontal="right" wrapText="1"/>
    </xf>
    <xf numFmtId="171" fontId="17" fillId="0" borderId="0" xfId="0" applyNumberFormat="1" applyFont="1" applyAlignment="1">
      <alignment horizontal="right" wrapText="1"/>
    </xf>
    <xf numFmtId="0" fontId="15" fillId="14" borderId="0" xfId="0" applyFont="1" applyFill="1" applyAlignment="1">
      <alignment wrapText="1"/>
    </xf>
    <xf numFmtId="0" fontId="15" fillId="0" borderId="0" xfId="0" applyFont="1" applyAlignment="1">
      <alignment wrapText="1"/>
    </xf>
    <xf numFmtId="168" fontId="18" fillId="0" borderId="0" xfId="0" applyNumberFormat="1" applyFont="1" applyAlignment="1">
      <alignment horizontal="right" wrapText="1"/>
    </xf>
    <xf numFmtId="168" fontId="15" fillId="14" borderId="0" xfId="0" applyNumberFormat="1" applyFont="1" applyFill="1" applyAlignment="1">
      <alignment horizontal="right" wrapText="1"/>
    </xf>
    <xf numFmtId="172" fontId="17" fillId="0" borderId="0" xfId="0" applyNumberFormat="1" applyFont="1" applyAlignment="1">
      <alignment horizontal="right" wrapText="1"/>
    </xf>
    <xf numFmtId="4" fontId="13" fillId="0" borderId="0" xfId="0" applyNumberFormat="1" applyFont="1" applyAlignment="1">
      <alignment wrapText="1"/>
    </xf>
    <xf numFmtId="173" fontId="17" fillId="0" borderId="0" xfId="0" applyNumberFormat="1" applyFont="1" applyAlignment="1">
      <alignment horizontal="right" wrapText="1"/>
    </xf>
    <xf numFmtId="168" fontId="15" fillId="7" borderId="7" xfId="0" applyNumberFormat="1" applyFont="1" applyFill="1" applyBorder="1" applyAlignment="1">
      <alignment wrapText="1"/>
    </xf>
    <xf numFmtId="168" fontId="15" fillId="7" borderId="7" xfId="0" applyNumberFormat="1" applyFont="1" applyFill="1" applyBorder="1" applyAlignment="1">
      <alignment horizontal="right" wrapText="1"/>
    </xf>
    <xf numFmtId="0" fontId="4" fillId="11" borderId="0" xfId="11" applyFill="1"/>
    <xf numFmtId="0" fontId="17" fillId="16" borderId="0" xfId="0" applyFont="1" applyFill="1" applyAlignment="1">
      <alignment wrapText="1"/>
    </xf>
    <xf numFmtId="1" fontId="17" fillId="16" borderId="0" xfId="0" applyNumberFormat="1" applyFont="1" applyFill="1" applyAlignment="1">
      <alignment horizontal="right" wrapText="1"/>
    </xf>
    <xf numFmtId="174" fontId="17" fillId="16" borderId="0" xfId="0" applyNumberFormat="1" applyFont="1" applyFill="1" applyAlignment="1">
      <alignment horizontal="right" wrapText="1"/>
    </xf>
    <xf numFmtId="175" fontId="17" fillId="16" borderId="0" xfId="0" applyNumberFormat="1" applyFont="1" applyFill="1" applyAlignment="1">
      <alignment horizontal="right" wrapText="1"/>
    </xf>
    <xf numFmtId="176" fontId="17" fillId="16" borderId="0" xfId="0" applyNumberFormat="1" applyFont="1" applyFill="1" applyAlignment="1">
      <alignment horizontal="right" wrapText="1"/>
    </xf>
    <xf numFmtId="177" fontId="17" fillId="16" borderId="0" xfId="0" applyNumberFormat="1" applyFont="1" applyFill="1" applyAlignment="1">
      <alignment horizontal="right" wrapText="1"/>
    </xf>
    <xf numFmtId="178" fontId="17" fillId="16" borderId="0" xfId="0" applyNumberFormat="1" applyFont="1" applyFill="1" applyAlignment="1">
      <alignment horizontal="right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20" fillId="17" borderId="0" xfId="0" applyFont="1" applyFill="1"/>
    <xf numFmtId="0" fontId="22" fillId="0" borderId="0" xfId="0" applyFont="1"/>
    <xf numFmtId="0" fontId="19" fillId="0" borderId="6" xfId="0" applyFont="1" applyBorder="1"/>
    <xf numFmtId="0" fontId="19" fillId="0" borderId="2" xfId="0" applyFont="1" applyBorder="1"/>
    <xf numFmtId="0" fontId="19" fillId="0" borderId="6" xfId="0" applyFont="1" applyBorder="1" applyAlignment="1">
      <alignment horizontal="center"/>
    </xf>
    <xf numFmtId="0" fontId="23" fillId="0" borderId="0" xfId="0" applyFont="1"/>
    <xf numFmtId="180" fontId="23" fillId="0" borderId="0" xfId="2" applyNumberFormat="1" applyFont="1" applyBorder="1" applyProtection="1"/>
    <xf numFmtId="180" fontId="23" fillId="0" borderId="9" xfId="2" applyNumberFormat="1" applyFont="1" applyBorder="1" applyProtection="1"/>
    <xf numFmtId="180" fontId="23" fillId="0" borderId="0" xfId="2" applyNumberFormat="1" applyFont="1" applyBorder="1" applyAlignment="1" applyProtection="1">
      <alignment horizontal="center"/>
    </xf>
    <xf numFmtId="9" fontId="19" fillId="0" borderId="0" xfId="3" applyFont="1" applyBorder="1" applyProtection="1"/>
    <xf numFmtId="180" fontId="23" fillId="0" borderId="8" xfId="2" applyNumberFormat="1" applyFont="1" applyBorder="1" applyProtection="1"/>
    <xf numFmtId="180" fontId="23" fillId="0" borderId="4" xfId="2" applyNumberFormat="1" applyFont="1" applyBorder="1" applyProtection="1"/>
    <xf numFmtId="180" fontId="23" fillId="0" borderId="8" xfId="2" applyNumberFormat="1" applyFont="1" applyBorder="1" applyAlignment="1" applyProtection="1">
      <alignment horizontal="center"/>
    </xf>
    <xf numFmtId="2" fontId="19" fillId="0" borderId="0" xfId="0" applyNumberFormat="1" applyFont="1"/>
    <xf numFmtId="180" fontId="23" fillId="0" borderId="10" xfId="2" applyNumberFormat="1" applyFont="1" applyBorder="1" applyProtection="1"/>
    <xf numFmtId="180" fontId="23" fillId="0" borderId="0" xfId="0" applyNumberFormat="1" applyFont="1"/>
    <xf numFmtId="180" fontId="23" fillId="0" borderId="10" xfId="0" applyNumberFormat="1" applyFont="1" applyBorder="1"/>
    <xf numFmtId="180" fontId="23" fillId="0" borderId="0" xfId="0" applyNumberFormat="1" applyFont="1" applyAlignment="1">
      <alignment horizontal="center"/>
    </xf>
    <xf numFmtId="180" fontId="19" fillId="0" borderId="0" xfId="0" applyNumberFormat="1" applyFont="1"/>
    <xf numFmtId="2" fontId="21" fillId="0" borderId="0" xfId="0" applyNumberFormat="1" applyFont="1"/>
    <xf numFmtId="180" fontId="23" fillId="0" borderId="0" xfId="3" applyNumberFormat="1" applyFont="1" applyBorder="1" applyProtection="1"/>
    <xf numFmtId="180" fontId="23" fillId="0" borderId="10" xfId="3" applyNumberFormat="1" applyFont="1" applyBorder="1" applyProtection="1"/>
    <xf numFmtId="180" fontId="23" fillId="0" borderId="0" xfId="3" applyNumberFormat="1" applyFont="1" applyBorder="1" applyAlignment="1" applyProtection="1">
      <alignment horizontal="center"/>
    </xf>
    <xf numFmtId="180" fontId="23" fillId="0" borderId="7" xfId="0" applyNumberFormat="1" applyFont="1" applyBorder="1"/>
    <xf numFmtId="180" fontId="23" fillId="0" borderId="9" xfId="0" applyNumberFormat="1" applyFont="1" applyBorder="1"/>
    <xf numFmtId="180" fontId="23" fillId="0" borderId="7" xfId="0" applyNumberFormat="1" applyFont="1" applyBorder="1" applyAlignment="1">
      <alignment horizontal="center"/>
    </xf>
    <xf numFmtId="180" fontId="23" fillId="0" borderId="8" xfId="0" applyNumberFormat="1" applyFont="1" applyBorder="1"/>
    <xf numFmtId="180" fontId="23" fillId="0" borderId="4" xfId="0" applyNumberFormat="1" applyFont="1" applyBorder="1"/>
    <xf numFmtId="180" fontId="23" fillId="0" borderId="8" xfId="0" applyNumberFormat="1" applyFont="1" applyBorder="1" applyAlignment="1">
      <alignment horizontal="center"/>
    </xf>
    <xf numFmtId="181" fontId="19" fillId="0" borderId="0" xfId="0" applyNumberFormat="1" applyFont="1"/>
    <xf numFmtId="0" fontId="24" fillId="0" borderId="0" xfId="0" applyFont="1"/>
    <xf numFmtId="180" fontId="24" fillId="0" borderId="0" xfId="0" applyNumberFormat="1" applyFont="1"/>
    <xf numFmtId="180" fontId="24" fillId="0" borderId="10" xfId="0" applyNumberFormat="1" applyFont="1" applyBorder="1"/>
    <xf numFmtId="181" fontId="23" fillId="0" borderId="0" xfId="0" applyNumberFormat="1" applyFont="1"/>
    <xf numFmtId="181" fontId="23" fillId="0" borderId="10" xfId="0" applyNumberFormat="1" applyFont="1" applyBorder="1"/>
    <xf numFmtId="181" fontId="23" fillId="0" borderId="0" xfId="0" applyNumberFormat="1" applyFont="1" applyAlignment="1">
      <alignment horizontal="center"/>
    </xf>
    <xf numFmtId="0" fontId="21" fillId="0" borderId="0" xfId="0" applyFont="1"/>
    <xf numFmtId="0" fontId="25" fillId="0" borderId="0" xfId="0" applyFont="1"/>
    <xf numFmtId="174" fontId="23" fillId="0" borderId="1" xfId="3" applyNumberFormat="1" applyFont="1" applyBorder="1" applyAlignment="1" applyProtection="1">
      <alignment horizontal="right"/>
    </xf>
    <xf numFmtId="174" fontId="23" fillId="0" borderId="1" xfId="3" applyNumberFormat="1" applyFont="1" applyBorder="1" applyProtection="1"/>
    <xf numFmtId="174" fontId="23" fillId="7" borderId="1" xfId="3" applyNumberFormat="1" applyFont="1" applyFill="1" applyBorder="1" applyAlignment="1" applyProtection="1">
      <alignment horizontal="center"/>
    </xf>
    <xf numFmtId="0" fontId="23" fillId="0" borderId="0" xfId="0" applyFont="1" applyAlignment="1">
      <alignment horizontal="center"/>
    </xf>
    <xf numFmtId="0" fontId="26" fillId="0" borderId="0" xfId="0" applyFont="1"/>
    <xf numFmtId="0" fontId="19" fillId="0" borderId="1" xfId="0" applyFont="1" applyBorder="1"/>
    <xf numFmtId="9" fontId="19" fillId="7" borderId="1" xfId="0" applyNumberFormat="1" applyFont="1" applyFill="1" applyBorder="1" applyAlignment="1">
      <alignment horizontal="center"/>
    </xf>
    <xf numFmtId="4" fontId="0" fillId="0" borderId="1" xfId="0" applyNumberFormat="1" applyBorder="1"/>
    <xf numFmtId="0" fontId="27" fillId="0" borderId="0" xfId="0" applyFont="1"/>
    <xf numFmtId="0" fontId="28" fillId="0" borderId="0" xfId="0" applyFont="1"/>
    <xf numFmtId="174" fontId="27" fillId="0" borderId="0" xfId="3" applyNumberFormat="1" applyFont="1" applyBorder="1" applyProtection="1"/>
    <xf numFmtId="0" fontId="29" fillId="0" borderId="0" xfId="0" applyFont="1"/>
    <xf numFmtId="2" fontId="27" fillId="0" borderId="0" xfId="0" applyNumberFormat="1" applyFont="1"/>
    <xf numFmtId="182" fontId="27" fillId="0" borderId="0" xfId="1" applyNumberFormat="1" applyFont="1" applyBorder="1" applyProtection="1"/>
    <xf numFmtId="182" fontId="29" fillId="0" borderId="0" xfId="1" applyNumberFormat="1" applyFont="1" applyBorder="1" applyProtection="1"/>
    <xf numFmtId="183" fontId="27" fillId="0" borderId="0" xfId="0" applyNumberFormat="1" applyFont="1"/>
    <xf numFmtId="9" fontId="27" fillId="0" borderId="0" xfId="0" applyNumberFormat="1" applyFont="1"/>
    <xf numFmtId="175" fontId="29" fillId="0" borderId="0" xfId="0" applyNumberFormat="1" applyFont="1"/>
    <xf numFmtId="174" fontId="29" fillId="0" borderId="0" xfId="3" applyNumberFormat="1" applyFont="1" applyBorder="1" applyProtection="1"/>
    <xf numFmtId="0" fontId="30" fillId="0" borderId="0" xfId="0" applyFont="1"/>
    <xf numFmtId="4" fontId="30" fillId="0" borderId="0" xfId="0" applyNumberFormat="1" applyFont="1"/>
    <xf numFmtId="164" fontId="31" fillId="0" borderId="0" xfId="0" applyNumberFormat="1" applyFont="1"/>
    <xf numFmtId="164" fontId="30" fillId="0" borderId="0" xfId="0" applyNumberFormat="1" applyFont="1"/>
    <xf numFmtId="175" fontId="30" fillId="0" borderId="0" xfId="0" applyNumberFormat="1" applyFont="1"/>
    <xf numFmtId="175" fontId="27" fillId="0" borderId="1" xfId="0" applyNumberFormat="1" applyFont="1" applyBorder="1"/>
    <xf numFmtId="9" fontId="27" fillId="7" borderId="1" xfId="0" applyNumberFormat="1" applyFont="1" applyFill="1" applyBorder="1"/>
    <xf numFmtId="174" fontId="27" fillId="7" borderId="1" xfId="0" applyNumberFormat="1" applyFont="1" applyFill="1" applyBorder="1"/>
    <xf numFmtId="0" fontId="27" fillId="0" borderId="1" xfId="0" applyFont="1" applyBorder="1"/>
    <xf numFmtId="0" fontId="27" fillId="7" borderId="1" xfId="0" applyFont="1" applyFill="1" applyBorder="1"/>
    <xf numFmtId="0" fontId="32" fillId="0" borderId="0" xfId="0" applyFont="1"/>
    <xf numFmtId="0" fontId="33" fillId="0" borderId="0" xfId="0" applyFont="1"/>
    <xf numFmtId="0" fontId="34" fillId="0" borderId="1" xfId="0" applyFont="1" applyBorder="1"/>
    <xf numFmtId="0" fontId="35" fillId="0" borderId="1" xfId="0" applyFont="1" applyBorder="1" applyAlignment="1">
      <alignment horizontal="right"/>
    </xf>
    <xf numFmtId="0" fontId="32" fillId="0" borderId="1" xfId="0" applyFont="1" applyBorder="1"/>
    <xf numFmtId="0" fontId="33" fillId="0" borderId="1" xfId="0" applyFont="1" applyBorder="1" applyAlignment="1">
      <alignment horizontal="right"/>
    </xf>
    <xf numFmtId="9" fontId="32" fillId="7" borderId="1" xfId="0" applyNumberFormat="1" applyFont="1" applyFill="1" applyBorder="1"/>
    <xf numFmtId="184" fontId="33" fillId="0" borderId="1" xfId="0" applyNumberFormat="1" applyFont="1" applyBorder="1"/>
    <xf numFmtId="184" fontId="35" fillId="0" borderId="1" xfId="0" applyNumberFormat="1" applyFont="1" applyBorder="1"/>
    <xf numFmtId="9" fontId="32" fillId="0" borderId="1" xfId="0" applyNumberFormat="1" applyFont="1" applyBorder="1"/>
    <xf numFmtId="0" fontId="34" fillId="0" borderId="0" xfId="0" applyFont="1"/>
    <xf numFmtId="0" fontId="36" fillId="0" borderId="0" xfId="0" applyFont="1"/>
    <xf numFmtId="0" fontId="35" fillId="0" borderId="0" xfId="0" applyFont="1"/>
    <xf numFmtId="0" fontId="27" fillId="0" borderId="10" xfId="0" applyFont="1" applyBorder="1" applyAlignment="1">
      <alignment horizontal="center" vertical="center"/>
    </xf>
  </cellXfs>
  <cellStyles count="13">
    <cellStyle name="60% - Accent1 2" xfId="5" xr:uid="{00000000-0005-0000-0000-000006000000}"/>
    <cellStyle name="60% - Accent3 2" xfId="6" xr:uid="{00000000-0005-0000-0000-000007000000}"/>
    <cellStyle name="Accent6 2" xfId="7" xr:uid="{00000000-0005-0000-0000-000008000000}"/>
    <cellStyle name="Comma" xfId="1" builtinId="3"/>
    <cellStyle name="Comma 2" xfId="8" xr:uid="{00000000-0005-0000-0000-000009000000}"/>
    <cellStyle name="Currency" xfId="2" builtinId="4"/>
    <cellStyle name="Hyperlink" xfId="4" builtinId="8"/>
    <cellStyle name="Hyperlink 2" xfId="9" xr:uid="{00000000-0005-0000-0000-00000A000000}"/>
    <cellStyle name="Normal" xfId="0" builtinId="0"/>
    <cellStyle name="Normal 2" xfId="10" xr:uid="{00000000-0005-0000-0000-00000B000000}"/>
    <cellStyle name="Normal 3" xfId="11" xr:uid="{00000000-0005-0000-0000-00000C000000}"/>
    <cellStyle name="Per cent" xfId="3" builtinId="5"/>
    <cellStyle name="Percent 2" xfId="12" xr:uid="{00000000-0005-0000-0000-00000D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2060"/>
      <rgbColor rgb="FF808000"/>
      <rgbColor rgb="FF800080"/>
      <rgbColor rgb="FF0070C0"/>
      <rgbColor rgb="FFC9C9C9"/>
      <rgbColor rgb="FF808080"/>
      <rgbColor rgb="FF9999FF"/>
      <rgbColor rgb="FF993366"/>
      <rgbColor rgb="FFFFF2CC"/>
      <rgbColor rgb="FFD9EA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E2F0D9"/>
      <rgbColor rgb="FFFFE699"/>
      <rgbColor rgb="FF9DC3E6"/>
      <rgbColor rgb="FFFF99CC"/>
      <rgbColor rgb="FFD9E1F2"/>
      <rgbColor rgb="FFF8CBAD"/>
      <rgbColor rgb="FF2F5597"/>
      <rgbColor rgb="FF33CCCC"/>
      <rgbColor rgb="FFA9D18E"/>
      <rgbColor rgb="FFFFCC00"/>
      <rgbColor rgb="FFFF9900"/>
      <rgbColor rgb="FFED7D31"/>
      <rgbColor rgb="FF595959"/>
      <rgbColor rgb="FF70AD47"/>
      <rgbColor rgb="FF17365D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400" b="0" u="none" strike="noStrike">
                <a:solidFill>
                  <a:srgbClr val="595959"/>
                </a:solidFill>
                <a:uFillTx/>
                <a:latin typeface="Calibri"/>
                <a:ea typeface="Calibri"/>
              </a:rPr>
              <a:t>Football Field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'Football field'!$C$1</c:f>
              <c:strCache>
                <c:ptCount val="1"/>
                <c:pt idx="0">
                  <c:v>Min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FFFFF"/>
                      </a:solidFill>
                    </a:ln>
                  </c:spPr>
                </c15:leaderLines>
              </c:ext>
            </c:extLst>
          </c:dLbls>
          <c:cat>
            <c:strRef>
              <c:f>'Football field'!$B$2:$B$9</c:f>
              <c:strCache>
                <c:ptCount val="8"/>
                <c:pt idx="0">
                  <c:v>EV/Sales</c:v>
                </c:pt>
                <c:pt idx="1">
                  <c:v>EV/EBITDA</c:v>
                </c:pt>
                <c:pt idx="2">
                  <c:v>EV/EBIT</c:v>
                </c:pt>
                <c:pt idx="3">
                  <c:v>P/E</c:v>
                </c:pt>
                <c:pt idx="4">
                  <c:v>P/B</c:v>
                </c:pt>
                <c:pt idx="5">
                  <c:v>DCF - TV as Stable growth</c:v>
                </c:pt>
                <c:pt idx="6">
                  <c:v>DCF - TV as Av EV/EBITDA</c:v>
                </c:pt>
                <c:pt idx="7">
                  <c:v>52 Week High/Low</c:v>
                </c:pt>
              </c:strCache>
            </c:strRef>
          </c:cat>
          <c:val>
            <c:numRef>
              <c:f>'Football field'!$C$2:$C$9</c:f>
              <c:numCache>
                <c:formatCode>_(#,##0.00_);\(#,##0.00\);_(\–_);_(@_)</c:formatCode>
                <c:ptCount val="8"/>
                <c:pt idx="0" formatCode="General">
                  <c:v>822.7925425048445</c:v>
                </c:pt>
                <c:pt idx="1">
                  <c:v>4613.6336552951807</c:v>
                </c:pt>
                <c:pt idx="2">
                  <c:v>5761.6970537402231</c:v>
                </c:pt>
                <c:pt idx="3">
                  <c:v>304.94230122912882</c:v>
                </c:pt>
                <c:pt idx="4">
                  <c:v>1244.5340955972988</c:v>
                </c:pt>
                <c:pt idx="5">
                  <c:v>-18.588909741801121</c:v>
                </c:pt>
                <c:pt idx="6">
                  <c:v>307.95227693590437</c:v>
                </c:pt>
                <c:pt idx="7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2-4D1E-A7A0-2E967430B093}"/>
            </c:ext>
          </c:extLst>
        </c:ser>
        <c:ser>
          <c:idx val="1"/>
          <c:order val="1"/>
          <c:tx>
            <c:strRef>
              <c:f>'Football field'!$D$1</c:f>
              <c:strCache>
                <c:ptCount val="1"/>
                <c:pt idx="0">
                  <c:v>Width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'Football field'!$B$2:$B$9</c:f>
              <c:strCache>
                <c:ptCount val="8"/>
                <c:pt idx="0">
                  <c:v>EV/Sales</c:v>
                </c:pt>
                <c:pt idx="1">
                  <c:v>EV/EBITDA</c:v>
                </c:pt>
                <c:pt idx="2">
                  <c:v>EV/EBIT</c:v>
                </c:pt>
                <c:pt idx="3">
                  <c:v>P/E</c:v>
                </c:pt>
                <c:pt idx="4">
                  <c:v>P/B</c:v>
                </c:pt>
                <c:pt idx="5">
                  <c:v>DCF - TV as Stable growth</c:v>
                </c:pt>
                <c:pt idx="6">
                  <c:v>DCF - TV as Av EV/EBITDA</c:v>
                </c:pt>
                <c:pt idx="7">
                  <c:v>52 Week High/Low</c:v>
                </c:pt>
              </c:strCache>
            </c:strRef>
          </c:cat>
          <c:val>
            <c:numRef>
              <c:f>'Football field'!$D$2:$D$9</c:f>
              <c:numCache>
                <c:formatCode>General</c:formatCode>
                <c:ptCount val="8"/>
                <c:pt idx="0">
                  <c:v>907.36840931073993</c:v>
                </c:pt>
                <c:pt idx="1">
                  <c:v>2153.3196637665906</c:v>
                </c:pt>
                <c:pt idx="2">
                  <c:v>3520.9267480549279</c:v>
                </c:pt>
                <c:pt idx="3">
                  <c:v>1214.0342926615851</c:v>
                </c:pt>
                <c:pt idx="4">
                  <c:v>876.94676019288318</c:v>
                </c:pt>
                <c:pt idx="5">
                  <c:v>111.20488804269461</c:v>
                </c:pt>
                <c:pt idx="6">
                  <c:v>210.37127606783565</c:v>
                </c:pt>
                <c:pt idx="7">
                  <c:v>407.20000000000005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12-4D1E-A7A0-2E967430B093}"/>
            </c:ext>
          </c:extLst>
        </c:ser>
        <c:ser>
          <c:idx val="2"/>
          <c:order val="2"/>
          <c:tx>
            <c:strRef>
              <c:f>'Football field'!$E$1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FFFFF"/>
                      </a:solidFill>
                    </a:ln>
                  </c:spPr>
                </c15:leaderLines>
              </c:ext>
            </c:extLst>
          </c:dLbls>
          <c:cat>
            <c:strRef>
              <c:f>'Football field'!$B$2:$B$9</c:f>
              <c:strCache>
                <c:ptCount val="8"/>
                <c:pt idx="0">
                  <c:v>EV/Sales</c:v>
                </c:pt>
                <c:pt idx="1">
                  <c:v>EV/EBITDA</c:v>
                </c:pt>
                <c:pt idx="2">
                  <c:v>EV/EBIT</c:v>
                </c:pt>
                <c:pt idx="3">
                  <c:v>P/E</c:v>
                </c:pt>
                <c:pt idx="4">
                  <c:v>P/B</c:v>
                </c:pt>
                <c:pt idx="5">
                  <c:v>DCF - TV as Stable growth</c:v>
                </c:pt>
                <c:pt idx="6">
                  <c:v>DCF - TV as Av EV/EBITDA</c:v>
                </c:pt>
                <c:pt idx="7">
                  <c:v>52 Week High/Low</c:v>
                </c:pt>
              </c:strCache>
            </c:strRef>
          </c:cat>
          <c:val>
            <c:numRef>
              <c:f>'Football field'!$E$2:$E$9</c:f>
              <c:numCache>
                <c:formatCode>_(#,##0.00_);\(#,##0.00\);_(\–_);_(@_)</c:formatCode>
                <c:ptCount val="8"/>
                <c:pt idx="0" formatCode="General">
                  <c:v>1730.1609518155844</c:v>
                </c:pt>
                <c:pt idx="1">
                  <c:v>6766.9533190617713</c:v>
                </c:pt>
                <c:pt idx="2">
                  <c:v>9282.6238017951509</c:v>
                </c:pt>
                <c:pt idx="3">
                  <c:v>1518.976593890714</c:v>
                </c:pt>
                <c:pt idx="4">
                  <c:v>2121.480855790182</c:v>
                </c:pt>
                <c:pt idx="5">
                  <c:v>92.615978300893488</c:v>
                </c:pt>
                <c:pt idx="6">
                  <c:v>518.32355300374002</c:v>
                </c:pt>
                <c:pt idx="7">
                  <c:v>687.2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12-4D1E-A7A0-2E967430B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351248"/>
        <c:axId val="69336461"/>
      </c:barChart>
      <c:catAx>
        <c:axId val="9435124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69336461"/>
        <c:crosses val="autoZero"/>
        <c:auto val="1"/>
        <c:lblAlgn val="ctr"/>
        <c:lblOffset val="100"/>
        <c:noMultiLvlLbl val="0"/>
      </c:catAx>
      <c:valAx>
        <c:axId val="69336461"/>
        <c:scaling>
          <c:orientation val="minMax"/>
          <c:max val="1500"/>
          <c:min val="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9435124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171360</xdr:colOff>
      <xdr:row>1</xdr:row>
      <xdr:rowOff>61920</xdr:rowOff>
    </xdr:from>
    <xdr:to>
      <xdr:col>21</xdr:col>
      <xdr:colOff>161640</xdr:colOff>
      <xdr:row>15</xdr:row>
      <xdr:rowOff>137880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seindices.com/Downloads/Factsheet/Factsheet_BSESENSEX_May2026.pdf" TargetMode="External"/><Relationship Id="rId1" Type="http://schemas.openxmlformats.org/officeDocument/2006/relationships/hyperlink" Target="https://www.worldgovernmentbonds.com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6"/>
  <sheetViews>
    <sheetView zoomScaleNormal="100" workbookViewId="0">
      <selection activeCell="W6" sqref="W6"/>
    </sheetView>
  </sheetViews>
  <sheetFormatPr defaultColWidth="8.7109375" defaultRowHeight="15" customHeight="1"/>
  <cols>
    <col min="1" max="1" width="15.140625" style="14" customWidth="1"/>
    <col min="2" max="2" width="7.42578125" style="14" customWidth="1"/>
    <col min="3" max="3" width="16" customWidth="1"/>
    <col min="4" max="6" width="8" customWidth="1"/>
    <col min="7" max="7" width="9" customWidth="1"/>
    <col min="8" max="8" width="10" customWidth="1"/>
    <col min="9" max="9" width="7.85546875" customWidth="1"/>
    <col min="10" max="10" width="9" style="14" customWidth="1"/>
    <col min="11" max="11" width="6.7109375" customWidth="1"/>
    <col min="12" max="12" width="7" customWidth="1"/>
    <col min="13" max="13" width="11" customWidth="1"/>
    <col min="14" max="14" width="7" customWidth="1"/>
    <col min="16" max="16" width="8.42578125" customWidth="1"/>
    <col min="18" max="18" width="8" style="14" customWidth="1"/>
    <col min="19" max="19" width="11.140625" style="14" customWidth="1"/>
    <col min="20" max="20" width="8.5703125" style="14" customWidth="1"/>
    <col min="21" max="21" width="9.42578125" style="14" customWidth="1"/>
    <col min="22" max="22" width="9" style="14" customWidth="1"/>
    <col min="23" max="23" width="29" customWidth="1"/>
    <col min="24" max="27" width="12" customWidth="1"/>
  </cols>
  <sheetData>
    <row r="1" spans="1:29" ht="82.15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5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8"/>
      <c r="X1" s="19" t="s">
        <v>22</v>
      </c>
      <c r="Y1" s="20" t="s">
        <v>23</v>
      </c>
      <c r="Z1" s="20" t="s">
        <v>24</v>
      </c>
      <c r="AA1" s="20" t="s">
        <v>25</v>
      </c>
      <c r="AB1" s="20" t="s">
        <v>26</v>
      </c>
      <c r="AC1" s="21" t="s">
        <v>27</v>
      </c>
    </row>
    <row r="2" spans="1:29">
      <c r="A2" s="22">
        <v>1</v>
      </c>
      <c r="B2" s="23" t="s">
        <v>28</v>
      </c>
      <c r="C2" s="24" t="s">
        <v>29</v>
      </c>
      <c r="D2" s="23">
        <v>4481.6099999999997</v>
      </c>
      <c r="E2" s="23">
        <v>988.91</v>
      </c>
      <c r="F2" s="23">
        <v>225.5</v>
      </c>
      <c r="G2" s="23">
        <v>20.45</v>
      </c>
      <c r="H2" s="23">
        <v>20.68</v>
      </c>
      <c r="I2" s="23">
        <v>153.19</v>
      </c>
      <c r="J2" s="23">
        <v>0</v>
      </c>
      <c r="K2" s="23">
        <v>1454.75</v>
      </c>
      <c r="L2" s="23">
        <v>596.38</v>
      </c>
      <c r="M2" s="23">
        <v>247796921</v>
      </c>
      <c r="N2" s="23">
        <v>910</v>
      </c>
      <c r="O2" s="23">
        <v>438.3</v>
      </c>
      <c r="P2" s="23">
        <f>M2*Q2/10000000</f>
        <v>22180.302398710002</v>
      </c>
      <c r="Q2" s="23">
        <v>895.1</v>
      </c>
      <c r="R2" s="23">
        <v>0.83209999999999995</v>
      </c>
      <c r="S2" s="25">
        <f>P2+(K2-L2)+J2</f>
        <v>23038.672398710001</v>
      </c>
      <c r="T2" s="25">
        <f>E2-G2</f>
        <v>968.45999999999992</v>
      </c>
      <c r="U2" s="25">
        <f>T2+F2</f>
        <v>1193.96</v>
      </c>
      <c r="V2" s="25"/>
      <c r="X2" s="26">
        <f>S2/D2</f>
        <v>5.1407133594199417</v>
      </c>
      <c r="Y2" s="27">
        <f>S2/T2</f>
        <v>23.788976724604012</v>
      </c>
      <c r="Z2" s="27">
        <f>S2/U2</f>
        <v>19.296016950911255</v>
      </c>
      <c r="AA2" s="27">
        <f>Q2/H2</f>
        <v>43.283365570599614</v>
      </c>
      <c r="AB2" s="28">
        <f>Q2/I2</f>
        <v>5.8430706965206607</v>
      </c>
      <c r="AC2" s="28"/>
    </row>
    <row r="3" spans="1:29">
      <c r="A3" s="22">
        <v>2</v>
      </c>
      <c r="B3" s="23" t="s">
        <v>28</v>
      </c>
      <c r="C3" s="24" t="s">
        <v>30</v>
      </c>
      <c r="D3" s="23">
        <v>4565.34</v>
      </c>
      <c r="E3" s="23">
        <v>4116.1400000000003</v>
      </c>
      <c r="F3" s="23">
        <v>192.26</v>
      </c>
      <c r="G3" s="23">
        <v>69.88</v>
      </c>
      <c r="H3" s="23">
        <v>389.9</v>
      </c>
      <c r="I3" s="23">
        <v>276.88</v>
      </c>
      <c r="J3" s="23">
        <v>34.630000000000003</v>
      </c>
      <c r="K3" s="23">
        <v>1879.63</v>
      </c>
      <c r="L3" s="23">
        <v>136.78</v>
      </c>
      <c r="M3" s="23">
        <v>92172714</v>
      </c>
      <c r="N3" s="23">
        <v>1231</v>
      </c>
      <c r="O3" s="23">
        <v>768.65</v>
      </c>
      <c r="P3" s="23">
        <f>M3*Q3/10000000</f>
        <v>9872.6193965399998</v>
      </c>
      <c r="Q3" s="23">
        <v>1071.0999999999999</v>
      </c>
      <c r="R3" s="23">
        <v>0.56010000000000004</v>
      </c>
      <c r="S3" s="25">
        <f>P3+(K3-L3)+J3</f>
        <v>11650.099396539999</v>
      </c>
      <c r="T3" s="25">
        <f>E3-G3</f>
        <v>4046.26</v>
      </c>
      <c r="U3" s="25">
        <f>T3+F3</f>
        <v>4238.5200000000004</v>
      </c>
      <c r="V3" s="25"/>
      <c r="X3" s="26">
        <f>S3/D3</f>
        <v>2.5518579988653638</v>
      </c>
      <c r="Y3" s="27">
        <f>S3/T3</f>
        <v>2.8792265935802441</v>
      </c>
      <c r="Z3" s="27">
        <f>S3/U3</f>
        <v>2.7486243775044117</v>
      </c>
      <c r="AA3" s="27">
        <f>Q3/H3</f>
        <v>2.7471146447807131</v>
      </c>
      <c r="AB3" s="28">
        <f>Q3/I3</f>
        <v>3.8684628720023113</v>
      </c>
      <c r="AC3" s="28"/>
    </row>
    <row r="4" spans="1:29">
      <c r="A4" s="22">
        <v>3</v>
      </c>
      <c r="B4" s="23" t="s">
        <v>28</v>
      </c>
      <c r="C4" s="24" t="s">
        <v>31</v>
      </c>
      <c r="D4" s="23">
        <v>2108.12</v>
      </c>
      <c r="E4" s="23">
        <v>415.46</v>
      </c>
      <c r="F4" s="23">
        <v>53.73</v>
      </c>
      <c r="G4" s="23">
        <v>7.73</v>
      </c>
      <c r="H4" s="23">
        <v>16.39</v>
      </c>
      <c r="I4" s="23">
        <v>140.11000000000001</v>
      </c>
      <c r="J4" s="23">
        <v>0</v>
      </c>
      <c r="K4" s="23">
        <v>21.17</v>
      </c>
      <c r="L4" s="23">
        <v>52.77</v>
      </c>
      <c r="M4" s="23">
        <v>162810084</v>
      </c>
      <c r="N4" s="23">
        <v>527.79999999999995</v>
      </c>
      <c r="O4" s="23">
        <v>312.95</v>
      </c>
      <c r="P4" s="23">
        <f>M4*Q4/10000000</f>
        <v>6864.8871918599998</v>
      </c>
      <c r="Q4" s="23">
        <v>421.65</v>
      </c>
      <c r="R4" s="23">
        <v>0.45929999999999999</v>
      </c>
      <c r="S4" s="25">
        <f>P4+(K4-L4)+J4</f>
        <v>6833.2871918599994</v>
      </c>
      <c r="T4" s="25">
        <f>E4-G4</f>
        <v>407.72999999999996</v>
      </c>
      <c r="U4" s="25">
        <f>T4+F4</f>
        <v>461.46</v>
      </c>
      <c r="V4" s="25"/>
      <c r="X4" s="26">
        <f>S4/D4</f>
        <v>3.2414128189382008</v>
      </c>
      <c r="Y4" s="27">
        <f>S4/T4</f>
        <v>16.759343663355651</v>
      </c>
      <c r="Z4" s="27">
        <f>S4/U4</f>
        <v>14.807972937762752</v>
      </c>
      <c r="AA4" s="27">
        <f>Q4/H4</f>
        <v>25.72605247101891</v>
      </c>
      <c r="AB4" s="28">
        <f>Q4/I4</f>
        <v>3.0094211690814356</v>
      </c>
      <c r="AC4" s="28"/>
    </row>
    <row r="5" spans="1:29">
      <c r="A5" s="22">
        <v>4</v>
      </c>
      <c r="B5" s="23" t="s">
        <v>28</v>
      </c>
      <c r="C5" s="24" t="s">
        <v>32</v>
      </c>
      <c r="D5" s="23">
        <v>921.93</v>
      </c>
      <c r="E5" s="23">
        <v>145.04</v>
      </c>
      <c r="F5" s="23">
        <v>34.549999999999997</v>
      </c>
      <c r="G5" s="23">
        <v>-0.32</v>
      </c>
      <c r="H5" s="23">
        <v>19.649999999999999</v>
      </c>
      <c r="I5" s="23">
        <v>236.35</v>
      </c>
      <c r="J5" s="23">
        <v>0</v>
      </c>
      <c r="K5" s="23">
        <v>174.61</v>
      </c>
      <c r="L5" s="23">
        <v>179.63</v>
      </c>
      <c r="M5" s="23">
        <v>50719105</v>
      </c>
      <c r="N5" s="23">
        <v>1133</v>
      </c>
      <c r="O5" s="23">
        <v>480</v>
      </c>
      <c r="P5" s="23">
        <f>M5*Q5/10000000</f>
        <v>5340.4681609749996</v>
      </c>
      <c r="Q5" s="23">
        <v>1052.95</v>
      </c>
      <c r="R5" s="23">
        <v>1.2321</v>
      </c>
      <c r="S5" s="25">
        <f>P5+(K5-L5)+J5</f>
        <v>5335.4481609750001</v>
      </c>
      <c r="T5" s="25">
        <f>E5-G5</f>
        <v>145.35999999999999</v>
      </c>
      <c r="U5" s="25">
        <f>T5+F5</f>
        <v>179.90999999999997</v>
      </c>
      <c r="V5" s="25"/>
      <c r="X5" s="26">
        <f>S5/D5</f>
        <v>5.7872595109986662</v>
      </c>
      <c r="Y5" s="27">
        <f>S5/T5</f>
        <v>36.705064398562193</v>
      </c>
      <c r="Z5" s="27">
        <f>S5/U5</f>
        <v>29.656206775471073</v>
      </c>
      <c r="AA5" s="27">
        <f>Q5/H5</f>
        <v>53.585241730279904</v>
      </c>
      <c r="AB5" s="28">
        <f>Q5/I5</f>
        <v>4.4550454833932731</v>
      </c>
      <c r="AC5" s="28"/>
    </row>
    <row r="6" spans="1:29">
      <c r="A6" s="22">
        <v>5</v>
      </c>
      <c r="B6" s="22" t="s">
        <v>28</v>
      </c>
      <c r="C6" s="23" t="s">
        <v>33</v>
      </c>
      <c r="D6" s="23">
        <v>707.52</v>
      </c>
      <c r="E6" s="23">
        <v>177.45</v>
      </c>
      <c r="F6" s="23">
        <v>21.48</v>
      </c>
      <c r="G6" s="23">
        <v>5.5</v>
      </c>
      <c r="H6" s="23">
        <v>69.64</v>
      </c>
      <c r="I6" s="23">
        <v>366.05</v>
      </c>
      <c r="J6" s="22">
        <v>0</v>
      </c>
      <c r="K6" s="23">
        <v>20</v>
      </c>
      <c r="L6" s="23">
        <v>191.56</v>
      </c>
      <c r="M6" s="23">
        <v>16539015</v>
      </c>
      <c r="N6" s="23">
        <v>3082</v>
      </c>
      <c r="O6" s="23">
        <v>1733</v>
      </c>
      <c r="P6" s="23">
        <f>M6*Q6/10000000</f>
        <v>4532.0208903000002</v>
      </c>
      <c r="Q6" s="23">
        <v>2740.2</v>
      </c>
      <c r="R6" s="23">
        <v>0.81120000000000003</v>
      </c>
      <c r="S6" s="25">
        <f>P6+(K6-L6)+J6</f>
        <v>4360.4608902999998</v>
      </c>
      <c r="T6" s="25">
        <f>E6-G6</f>
        <v>171.95</v>
      </c>
      <c r="U6" s="25">
        <f>T6+F6</f>
        <v>193.42999999999998</v>
      </c>
      <c r="V6" s="25"/>
      <c r="X6" s="26">
        <f>S6/D6</f>
        <v>6.1630213849785163</v>
      </c>
      <c r="Y6" s="27">
        <f>S6/T6</f>
        <v>25.358888574004073</v>
      </c>
      <c r="Z6" s="27">
        <f>S6/U6</f>
        <v>22.542836634958384</v>
      </c>
      <c r="AA6" s="27">
        <f>Q6/H6</f>
        <v>39.348075818495111</v>
      </c>
      <c r="AB6" s="28">
        <f>Q6/I6</f>
        <v>7.4858625870782669</v>
      </c>
      <c r="AC6" s="28"/>
    </row>
    <row r="7" spans="1:29">
      <c r="A7" s="22">
        <v>6</v>
      </c>
      <c r="B7" s="22" t="s">
        <v>28</v>
      </c>
      <c r="C7" s="23" t="s">
        <v>34</v>
      </c>
      <c r="D7" s="23">
        <v>1664.92</v>
      </c>
      <c r="E7" s="23">
        <v>105.7</v>
      </c>
      <c r="F7" s="23">
        <v>113.84</v>
      </c>
      <c r="G7" s="23">
        <v>1.1499999999999999</v>
      </c>
      <c r="H7" s="23">
        <v>-7.99</v>
      </c>
      <c r="I7" s="23">
        <v>110.79</v>
      </c>
      <c r="J7" s="22">
        <v>-3.62</v>
      </c>
      <c r="K7" s="23">
        <v>993.57</v>
      </c>
      <c r="L7" s="23">
        <v>17.07</v>
      </c>
      <c r="M7" s="23">
        <v>92303605</v>
      </c>
      <c r="N7" s="23">
        <v>332.2</v>
      </c>
      <c r="O7" s="23">
        <v>162.19</v>
      </c>
      <c r="P7" s="23">
        <f>M7*Q7/10000000</f>
        <v>2294.0214950650002</v>
      </c>
      <c r="Q7" s="23">
        <v>248.53</v>
      </c>
      <c r="R7" s="23">
        <v>0.81640000000000001</v>
      </c>
      <c r="S7" s="25">
        <f>P7+(K7-L7)+J7</f>
        <v>3266.9014950650003</v>
      </c>
      <c r="T7" s="25">
        <f>E7-G7</f>
        <v>104.55</v>
      </c>
      <c r="U7" s="25">
        <f>T7+F7</f>
        <v>218.39</v>
      </c>
      <c r="V7" s="25"/>
      <c r="X7" s="26">
        <f>S7/D7</f>
        <v>1.9621972797882181</v>
      </c>
      <c r="Y7" s="27">
        <f>S7/T7</f>
        <v>31.247264419560022</v>
      </c>
      <c r="Z7" s="27">
        <f>S7/U7</f>
        <v>14.959025115916482</v>
      </c>
      <c r="AA7" s="27">
        <f>Q7/H7</f>
        <v>-31.105131414267834</v>
      </c>
      <c r="AB7" s="28">
        <f>Q7/I7</f>
        <v>2.2432530011733909</v>
      </c>
      <c r="AC7" s="28"/>
    </row>
    <row r="8" spans="1:29">
      <c r="A8" s="22"/>
      <c r="B8" s="22"/>
      <c r="C8" s="23"/>
      <c r="D8" s="23"/>
      <c r="E8" s="23"/>
      <c r="F8" s="23"/>
      <c r="G8" s="23"/>
      <c r="H8" s="23"/>
      <c r="I8" s="23"/>
      <c r="J8" s="22"/>
      <c r="K8" s="23"/>
      <c r="L8" s="23"/>
      <c r="M8" s="23"/>
      <c r="N8" s="23"/>
      <c r="O8" s="23"/>
      <c r="P8" s="23"/>
      <c r="Q8" s="23"/>
      <c r="R8" s="23"/>
      <c r="S8" s="25"/>
      <c r="T8" s="25"/>
      <c r="U8" s="25"/>
      <c r="V8" s="25"/>
      <c r="X8" s="26"/>
      <c r="Y8" s="27"/>
      <c r="Z8" s="27"/>
      <c r="AA8" s="27"/>
      <c r="AB8" s="28"/>
      <c r="AC8" s="28"/>
    </row>
    <row r="9" spans="1:29">
      <c r="W9" s="29" t="s">
        <v>35</v>
      </c>
      <c r="X9" s="26">
        <f>AVERAGE(X2:X7)</f>
        <v>4.1410770588314847</v>
      </c>
      <c r="Y9" s="26">
        <f>AVERAGE(Y2:Y7)</f>
        <v>22.789794062277696</v>
      </c>
      <c r="Z9" s="26">
        <f>AVERAGE(Z2:Z7)</f>
        <v>17.335113798754062</v>
      </c>
      <c r="AA9" s="26">
        <f>AVERAGE(AA2:AA7)</f>
        <v>22.264119803484402</v>
      </c>
      <c r="AB9" s="26">
        <f>AVERAGE(AB2:AB7)</f>
        <v>4.484185968208223</v>
      </c>
      <c r="AC9" s="28"/>
    </row>
    <row r="10" spans="1:29">
      <c r="J10" s="14" t="s">
        <v>36</v>
      </c>
      <c r="W10" s="29" t="s">
        <v>37</v>
      </c>
      <c r="X10" s="26">
        <f>MEDIAN(X2:X7)</f>
        <v>4.191063089179071</v>
      </c>
      <c r="Y10" s="26">
        <f>MEDIAN(Y2:Y7)</f>
        <v>24.573932649304041</v>
      </c>
      <c r="Z10" s="26">
        <f>MEDIAN(Z2:Z7)</f>
        <v>17.127521033413871</v>
      </c>
      <c r="AA10" s="26">
        <f>MEDIAN(AA2:AA7)</f>
        <v>32.537064144757011</v>
      </c>
      <c r="AB10" s="26">
        <f>MEDIAN(AB2:AB7)</f>
        <v>4.1617541776977927</v>
      </c>
      <c r="AC10" s="28"/>
    </row>
    <row r="11" spans="1:29">
      <c r="W11" s="30" t="s">
        <v>38</v>
      </c>
      <c r="X11" s="28">
        <f>QUARTILE(X2:X7,1)</f>
        <v>2.7242467038835732</v>
      </c>
      <c r="Y11" s="28">
        <f>QUARTILE(Y2:Y7,1)</f>
        <v>18.516751928667741</v>
      </c>
      <c r="Z11" s="28">
        <f>QUARTILE(Z2:Z7,1)</f>
        <v>14.845735982301186</v>
      </c>
      <c r="AA11" s="28">
        <f>QUARTILE(AA2:AA7,1)</f>
        <v>8.4918491013402626</v>
      </c>
      <c r="AB11" s="28">
        <f>QUARTILE(AB2:AB7,1)</f>
        <v>3.2241815948116548</v>
      </c>
      <c r="AC11" s="28"/>
    </row>
    <row r="12" spans="1:29">
      <c r="W12" s="30" t="s">
        <v>39</v>
      </c>
      <c r="X12" s="28">
        <f>QUARTILE(X2:X7,3)</f>
        <v>5.6256229731039848</v>
      </c>
      <c r="Y12" s="28">
        <f>QUARTILE(Y2:Y7,3)</f>
        <v>29.775170458171033</v>
      </c>
      <c r="Z12" s="28">
        <f>QUARTILE(Z2:Z7,3)</f>
        <v>21.731131713946603</v>
      </c>
      <c r="AA12" s="28">
        <f>QUARTILE(AA2:AA7,3)</f>
        <v>42.29954313257349</v>
      </c>
      <c r="AB12" s="28">
        <f>QUARTILE(AB2:AB7,3)</f>
        <v>5.4960643932388136</v>
      </c>
      <c r="AC12" s="28"/>
    </row>
    <row r="13" spans="1:29" ht="12.75" customHeight="1">
      <c r="A13" s="31" t="s">
        <v>40</v>
      </c>
      <c r="B13" s="23" t="s">
        <v>28</v>
      </c>
      <c r="C13" s="23" t="s">
        <v>41</v>
      </c>
      <c r="D13" s="23">
        <v>2201.85</v>
      </c>
      <c r="E13" s="23">
        <v>449.09</v>
      </c>
      <c r="F13" s="23">
        <v>125.12</v>
      </c>
      <c r="G13" s="23">
        <v>170.95</v>
      </c>
      <c r="H13" s="23">
        <v>35.909999999999997</v>
      </c>
      <c r="I13" s="23">
        <v>386</v>
      </c>
      <c r="J13" s="23">
        <v>0</v>
      </c>
      <c r="K13" s="23">
        <v>500.15</v>
      </c>
      <c r="L13" s="23">
        <v>294.7</v>
      </c>
      <c r="M13" s="23">
        <v>70405750</v>
      </c>
      <c r="N13" s="23">
        <v>687.2</v>
      </c>
      <c r="O13" s="23">
        <v>280</v>
      </c>
      <c r="P13" s="23">
        <f>M13*Q13/10000000</f>
        <v>4093.0382762499999</v>
      </c>
      <c r="Q13" s="23">
        <v>581.35</v>
      </c>
      <c r="R13" s="23">
        <v>1.1661999999999999</v>
      </c>
      <c r="S13" s="25">
        <f>P13+(K13-L13)+J13</f>
        <v>4298.4882762500001</v>
      </c>
      <c r="T13" s="25">
        <f>E13-G13</f>
        <v>278.14</v>
      </c>
      <c r="U13" s="25">
        <f>T13+F13</f>
        <v>403.26</v>
      </c>
      <c r="V13" s="32"/>
      <c r="W13" s="29"/>
    </row>
    <row r="14" spans="1:29">
      <c r="W14" s="29" t="s">
        <v>42</v>
      </c>
      <c r="X14" s="28">
        <f>X10*$D$13</f>
        <v>9228.0922629089364</v>
      </c>
      <c r="Y14" s="33">
        <f>Y10*$T$13</f>
        <v>6834.993627077426</v>
      </c>
      <c r="Z14" s="33">
        <f>Z10*$U$13</f>
        <v>6906.8441319344774</v>
      </c>
    </row>
    <row r="15" spans="1:29">
      <c r="W15" s="29" t="s">
        <v>43</v>
      </c>
      <c r="X15" s="28">
        <f>X11*$D$13</f>
        <v>5998.3826049460449</v>
      </c>
      <c r="Y15" s="33">
        <f>Y11*$D$13</f>
        <v>40771.110234137064</v>
      </c>
      <c r="Z15" s="33">
        <f>Z11*$D$13</f>
        <v>32688.083772629863</v>
      </c>
    </row>
    <row r="16" spans="1:29">
      <c r="W16" s="29" t="s">
        <v>44</v>
      </c>
      <c r="X16" s="28">
        <f>X12*$D$13</f>
        <v>12386.777943329009</v>
      </c>
      <c r="Y16" s="33">
        <f>Y12*$D$13</f>
        <v>65560.459073323887</v>
      </c>
      <c r="Z16" s="33">
        <f>Z12*$D$13</f>
        <v>47848.692364353323</v>
      </c>
    </row>
    <row r="18" spans="23:28">
      <c r="W18" s="29" t="s">
        <v>45</v>
      </c>
      <c r="X18" s="28">
        <f>X14-($K$13-$L$13)-$J$13</f>
        <v>9022.6422629089357</v>
      </c>
      <c r="Y18" s="28">
        <f>Y14-($K$13-$L$13)-$J$13</f>
        <v>6629.5436270774262</v>
      </c>
      <c r="Z18" s="28">
        <f>Z14-($K$13-$L$13)-$J$13</f>
        <v>6701.3941319344776</v>
      </c>
    </row>
    <row r="19" spans="23:28">
      <c r="W19" s="29" t="s">
        <v>46</v>
      </c>
      <c r="X19" s="28">
        <f>X15-($K$13-$L$13)-$J$13</f>
        <v>5792.9326049460451</v>
      </c>
      <c r="Y19" s="28">
        <f>Y15-($K$13-$L$13)-$J$13</f>
        <v>40565.660234137067</v>
      </c>
      <c r="Z19" s="28">
        <f>Z15-($K$13-$L$13)-$J$13</f>
        <v>32482.633772629863</v>
      </c>
    </row>
    <row r="20" spans="23:28">
      <c r="W20" s="29" t="s">
        <v>47</v>
      </c>
      <c r="X20" s="28">
        <f>X16-($K$13-$L$13)-$J$13</f>
        <v>12181.327943329008</v>
      </c>
      <c r="Y20" s="28">
        <f>Y16-($K$13-$L$13)-$J$13</f>
        <v>65355.00907332389</v>
      </c>
      <c r="Z20" s="28">
        <f>Z16-($K$13-$L$13)-$J$13</f>
        <v>47643.242364353326</v>
      </c>
    </row>
    <row r="22" spans="23:28">
      <c r="W22" s="29" t="s">
        <v>48</v>
      </c>
      <c r="X22" s="34">
        <f>(X18/($M$13/10000000))</f>
        <v>1281.5206517804208</v>
      </c>
      <c r="Y22" s="34">
        <f>(Y18/($M$13/10000000))</f>
        <v>941.61963008382509</v>
      </c>
      <c r="Z22" s="34">
        <f>(Z18/($M$13/10000000))</f>
        <v>951.8248341839236</v>
      </c>
      <c r="AA22" s="35">
        <f>AA10*$H$13</f>
        <v>1168.4059734382242</v>
      </c>
      <c r="AB22" s="34">
        <f>AB10*$I$13</f>
        <v>1606.4371125913481</v>
      </c>
    </row>
    <row r="23" spans="23:28">
      <c r="W23" s="29" t="s">
        <v>49</v>
      </c>
      <c r="X23" s="34">
        <f>(X19/($M$13/10000000))</f>
        <v>822.7925425048445</v>
      </c>
      <c r="Y23" s="34">
        <f>(Y19/($M$13/10000000))</f>
        <v>5761.6970537402231</v>
      </c>
      <c r="Z23" s="34">
        <f>(Z19/($M$13/10000000))</f>
        <v>4613.6336552951807</v>
      </c>
      <c r="AA23" s="35">
        <f>AA11*$H$13</f>
        <v>304.94230122912882</v>
      </c>
      <c r="AB23" s="34">
        <f>AB11*$I$13</f>
        <v>1244.5340955972988</v>
      </c>
    </row>
    <row r="24" spans="23:28">
      <c r="W24" s="29" t="s">
        <v>50</v>
      </c>
      <c r="X24" s="34">
        <f>(X20/($M$13/10000000))</f>
        <v>1730.1609518155844</v>
      </c>
      <c r="Y24" s="34">
        <f>(Y20/($M$13/10000000))</f>
        <v>9282.6238017951509</v>
      </c>
      <c r="Z24" s="34">
        <f>(Z20/($M$13/10000000))</f>
        <v>6766.9533190617713</v>
      </c>
      <c r="AA24" s="35">
        <f>AA12*$H$13</f>
        <v>1518.976593890714</v>
      </c>
      <c r="AB24" s="34">
        <f>AB12*$I$13</f>
        <v>2121.480855790182</v>
      </c>
    </row>
    <row r="26" spans="23:28">
      <c r="W26" s="29" t="s">
        <v>51</v>
      </c>
      <c r="X26" s="36">
        <f>Q13</f>
        <v>581.35</v>
      </c>
      <c r="Y26" s="37"/>
      <c r="Z26" s="37"/>
      <c r="AA26" s="37"/>
      <c r="AB26" s="37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90"/>
  <sheetViews>
    <sheetView topLeftCell="O1" zoomScaleNormal="100" workbookViewId="0">
      <selection activeCell="U14" sqref="U14"/>
    </sheetView>
  </sheetViews>
  <sheetFormatPr defaultColWidth="8.7109375" defaultRowHeight="15" customHeight="1"/>
  <cols>
    <col min="1" max="1" width="10.5703125" customWidth="1"/>
    <col min="2" max="2" width="10.7109375" customWidth="1"/>
    <col min="3" max="3" width="13.28515625" customWidth="1"/>
    <col min="4" max="4" width="8.85546875" customWidth="1"/>
    <col min="5" max="5" width="11" customWidth="1"/>
    <col min="7" max="7" width="16.7109375" customWidth="1"/>
    <col min="8" max="8" width="13.28515625" customWidth="1"/>
    <col min="9" max="9" width="23.7109375" customWidth="1"/>
    <col min="10" max="10" width="14.140625" customWidth="1"/>
    <col min="11" max="11" width="25.85546875" customWidth="1"/>
    <col min="12" max="12" width="4.85546875" customWidth="1"/>
    <col min="13" max="13" width="28" customWidth="1"/>
    <col min="14" max="14" width="11.42578125" customWidth="1"/>
    <col min="15" max="15" width="76.85546875" customWidth="1"/>
    <col min="18" max="18" width="47.140625" customWidth="1"/>
    <col min="22" max="22" width="12" customWidth="1"/>
  </cols>
  <sheetData>
    <row r="1" spans="1:22">
      <c r="A1" s="13" t="s">
        <v>52</v>
      </c>
      <c r="B1" s="13"/>
      <c r="C1" s="13"/>
      <c r="D1" s="13"/>
      <c r="E1" s="13"/>
    </row>
    <row r="2" spans="1:22" ht="23.85" customHeight="1">
      <c r="A2" s="38" t="s">
        <v>53</v>
      </c>
      <c r="B2" s="38" t="s">
        <v>54</v>
      </c>
      <c r="C2" s="38" t="s">
        <v>55</v>
      </c>
      <c r="D2" s="38" t="s">
        <v>56</v>
      </c>
      <c r="E2" s="38" t="s">
        <v>57</v>
      </c>
      <c r="G2" s="12" t="s">
        <v>58</v>
      </c>
      <c r="H2" s="12" t="s">
        <v>59</v>
      </c>
      <c r="I2" s="12" t="s">
        <v>60</v>
      </c>
      <c r="M2" s="13" t="s">
        <v>61</v>
      </c>
      <c r="N2" s="13"/>
      <c r="O2" s="39" t="s">
        <v>62</v>
      </c>
      <c r="R2" s="39" t="s">
        <v>62</v>
      </c>
      <c r="S2" s="39" t="s">
        <v>63</v>
      </c>
      <c r="T2" s="39" t="s">
        <v>64</v>
      </c>
      <c r="U2" s="39" t="s">
        <v>65</v>
      </c>
      <c r="V2" s="39" t="s">
        <v>66</v>
      </c>
    </row>
    <row r="3" spans="1:22">
      <c r="A3" s="40">
        <v>44287</v>
      </c>
      <c r="B3" s="41">
        <v>314.05</v>
      </c>
      <c r="C3" s="42"/>
      <c r="D3" s="43">
        <v>50029.83</v>
      </c>
      <c r="E3" s="44"/>
      <c r="G3" s="45" t="s">
        <v>67</v>
      </c>
      <c r="H3" s="45" t="s">
        <v>59</v>
      </c>
      <c r="I3" s="45" t="s">
        <v>60</v>
      </c>
      <c r="M3" s="45" t="s">
        <v>68</v>
      </c>
      <c r="N3" s="46">
        <v>6.8000000000000005E-2</v>
      </c>
      <c r="O3" s="47" t="s">
        <v>69</v>
      </c>
      <c r="R3" s="48" t="s">
        <v>70</v>
      </c>
      <c r="S3" s="23">
        <v>4093.0382762499999</v>
      </c>
      <c r="T3" s="23">
        <f>S3/$S$7</f>
        <v>0.89111049451507884</v>
      </c>
      <c r="U3" s="23">
        <f>N3+(K20*N12)</f>
        <v>0.11094763720904408</v>
      </c>
      <c r="V3" s="23">
        <f>T3*U3</f>
        <v>9.886660385863083E-2</v>
      </c>
    </row>
    <row r="4" spans="1:22">
      <c r="A4" s="40">
        <v>44295</v>
      </c>
      <c r="B4" s="41">
        <v>325</v>
      </c>
      <c r="C4" s="42">
        <f>B3/B4-1</f>
        <v>-3.3692307692307688E-2</v>
      </c>
      <c r="D4" s="43">
        <v>49591.32</v>
      </c>
      <c r="E4" s="42">
        <f>D3/D4-1</f>
        <v>8.8424748524540409E-3</v>
      </c>
      <c r="G4" s="45" t="s">
        <v>71</v>
      </c>
      <c r="H4" s="49">
        <f>SLOPE(C159:C263,E159:E263)</f>
        <v>1.1572726033965748</v>
      </c>
      <c r="I4" s="49">
        <f>SLOPE(C4:C263,E4:E263)</f>
        <v>0.65283188265228209</v>
      </c>
      <c r="N4" s="50"/>
      <c r="O4" s="51"/>
      <c r="R4" s="48" t="s">
        <v>72</v>
      </c>
      <c r="S4" s="23">
        <v>500.15</v>
      </c>
      <c r="T4" s="23">
        <f>S4/$S$7</f>
        <v>0.10888950548492117</v>
      </c>
      <c r="U4" s="23">
        <f>S15</f>
        <v>6.3161051684494651E-2</v>
      </c>
      <c r="V4" s="23">
        <f>T4*U4</f>
        <v>6.8775756838321701E-3</v>
      </c>
    </row>
    <row r="5" spans="1:22">
      <c r="A5" s="40">
        <v>44302</v>
      </c>
      <c r="B5" s="41">
        <v>320.3</v>
      </c>
      <c r="C5" s="52">
        <f>B4/B5-1</f>
        <v>1.4673743365594794E-2</v>
      </c>
      <c r="D5" s="43">
        <v>48832.03</v>
      </c>
      <c r="E5" s="52">
        <f>D4/D5-1</f>
        <v>1.5549015676800781E-2</v>
      </c>
      <c r="G5" s="45" t="s">
        <v>64</v>
      </c>
      <c r="H5" s="53">
        <v>0.67</v>
      </c>
      <c r="I5" s="53">
        <v>0.67</v>
      </c>
      <c r="R5" s="48" t="s">
        <v>73</v>
      </c>
      <c r="S5" s="23">
        <v>0</v>
      </c>
      <c r="T5" s="23">
        <f>S5/$S$7</f>
        <v>0</v>
      </c>
      <c r="U5" s="23">
        <v>0</v>
      </c>
      <c r="V5" s="23">
        <f>T5*U5</f>
        <v>0</v>
      </c>
    </row>
    <row r="6" spans="1:22">
      <c r="A6" s="40">
        <v>44309</v>
      </c>
      <c r="B6" s="41">
        <v>338.25</v>
      </c>
      <c r="C6" s="52">
        <f>B5/B6-1</f>
        <v>-5.3067257945306645E-2</v>
      </c>
      <c r="D6" s="43">
        <v>47878.45</v>
      </c>
      <c r="E6" s="52">
        <f>D5/D6-1</f>
        <v>1.9916684855086242E-2</v>
      </c>
      <c r="G6" s="54" t="s">
        <v>74</v>
      </c>
      <c r="H6" s="55">
        <f>(H4*H5)+(1*(1-H5))</f>
        <v>1.1053726442757053</v>
      </c>
      <c r="I6" s="55">
        <f>(I4*I5)+(1*(1-I5))</f>
        <v>0.76739736137702896</v>
      </c>
      <c r="R6" s="48" t="s">
        <v>75</v>
      </c>
      <c r="S6" s="23">
        <v>0</v>
      </c>
      <c r="T6" s="23">
        <f>S6/$S$7</f>
        <v>0</v>
      </c>
      <c r="U6" s="23">
        <f>U3</f>
        <v>0.11094763720904408</v>
      </c>
      <c r="V6" s="23">
        <f>T6*U6</f>
        <v>0</v>
      </c>
    </row>
    <row r="7" spans="1:22">
      <c r="A7" s="40">
        <v>44316</v>
      </c>
      <c r="B7" s="41">
        <v>320.5</v>
      </c>
      <c r="C7" s="52">
        <f>B6/B7-1</f>
        <v>5.5382215288611647E-2</v>
      </c>
      <c r="D7" s="43">
        <v>48782.36</v>
      </c>
      <c r="E7" s="52">
        <f>D6/D7-1</f>
        <v>-1.8529443839945481E-2</v>
      </c>
      <c r="G7" s="45"/>
      <c r="H7" s="45"/>
      <c r="I7" s="45"/>
      <c r="M7" s="13"/>
      <c r="N7" s="13"/>
      <c r="O7" s="39" t="s">
        <v>62</v>
      </c>
      <c r="R7" s="48" t="s">
        <v>76</v>
      </c>
      <c r="S7" s="23">
        <v>4593.1882762499999</v>
      </c>
      <c r="T7" s="23"/>
      <c r="U7" s="23"/>
      <c r="V7" s="23"/>
    </row>
    <row r="8" spans="1:22">
      <c r="A8" s="40">
        <v>44323</v>
      </c>
      <c r="B8" s="41">
        <v>330.35</v>
      </c>
      <c r="C8" s="52">
        <f>B7/B8-1</f>
        <v>-2.9816860905100717E-2</v>
      </c>
      <c r="D8" s="43">
        <v>49206.47</v>
      </c>
      <c r="E8" s="52">
        <f>D7/D8-1</f>
        <v>-8.6189885191927385E-3</v>
      </c>
      <c r="M8" s="45" t="s">
        <v>77</v>
      </c>
      <c r="N8" s="24">
        <v>0.1221</v>
      </c>
      <c r="O8" s="51" t="s">
        <v>78</v>
      </c>
      <c r="R8" s="39" t="s">
        <v>79</v>
      </c>
      <c r="S8" s="56"/>
      <c r="T8" s="56"/>
      <c r="U8" s="56"/>
      <c r="V8" s="39">
        <f>SUM(V3:V6)</f>
        <v>0.105744179542463</v>
      </c>
    </row>
    <row r="9" spans="1:22">
      <c r="A9" s="40">
        <v>44330</v>
      </c>
      <c r="B9" s="41">
        <v>335.2</v>
      </c>
      <c r="C9" s="52">
        <f>B8/B9-1</f>
        <v>-1.4468973747016611E-2</v>
      </c>
      <c r="D9" s="43">
        <v>48732.55</v>
      </c>
      <c r="E9" s="52">
        <f>D8/D9-1</f>
        <v>9.7249169189792539E-3</v>
      </c>
      <c r="G9" s="39" t="s">
        <v>80</v>
      </c>
      <c r="H9" s="57"/>
      <c r="I9" s="58"/>
      <c r="J9" s="58"/>
      <c r="K9" s="58"/>
    </row>
    <row r="10" spans="1:22">
      <c r="A10" s="40">
        <v>44337</v>
      </c>
      <c r="B10" s="41">
        <v>359.6</v>
      </c>
      <c r="C10" s="52">
        <f>B9/B10-1</f>
        <v>-6.7853170189099088E-2</v>
      </c>
      <c r="D10" s="43">
        <v>50540.480000000003</v>
      </c>
      <c r="E10" s="52">
        <f>D9/D10-1</f>
        <v>-3.5771919855133949E-2</v>
      </c>
      <c r="G10" s="59" t="s">
        <v>81</v>
      </c>
      <c r="H10" s="59" t="s">
        <v>10</v>
      </c>
      <c r="I10" s="59" t="s">
        <v>82</v>
      </c>
      <c r="J10" s="59" t="s">
        <v>83</v>
      </c>
      <c r="K10" s="60" t="s">
        <v>84</v>
      </c>
    </row>
    <row r="11" spans="1:22">
      <c r="A11" s="40">
        <v>44344</v>
      </c>
      <c r="B11" s="41">
        <v>360.95</v>
      </c>
      <c r="C11" s="52">
        <f>B10/B11-1</f>
        <v>-3.7401302119406399E-3</v>
      </c>
      <c r="D11" s="43">
        <v>51422.879999999997</v>
      </c>
      <c r="E11" s="52">
        <f>D10/D11-1</f>
        <v>-1.7159676782008249E-2</v>
      </c>
      <c r="G11" s="24" t="str">
        <f>'Relative Valuation'!C2</f>
        <v>Granules India</v>
      </c>
      <c r="H11" s="23">
        <f>'Relative Valuation'!K2</f>
        <v>1454.75</v>
      </c>
      <c r="I11" s="23">
        <f>'Relative Valuation'!P2</f>
        <v>22180.302398710002</v>
      </c>
      <c r="J11" s="23">
        <f>'Relative Valuation'!R2</f>
        <v>0.83209999999999995</v>
      </c>
      <c r="K11" s="23">
        <f>J11/(1+((H11/I11)*(1-0.3)))</f>
        <v>0.79557420828237801</v>
      </c>
      <c r="M11" s="13"/>
      <c r="N11" s="13"/>
      <c r="O11" s="39" t="s">
        <v>62</v>
      </c>
      <c r="R11" t="s">
        <v>62</v>
      </c>
    </row>
    <row r="12" spans="1:22">
      <c r="A12" s="40">
        <v>44351</v>
      </c>
      <c r="B12" s="41">
        <v>325.35000000000002</v>
      </c>
      <c r="C12" s="52">
        <f>B11/B12-1</f>
        <v>0.10942062394344543</v>
      </c>
      <c r="D12" s="43">
        <v>52100.05</v>
      </c>
      <c r="E12" s="52">
        <f>D11/D12-1</f>
        <v>-1.2997492324863469E-2</v>
      </c>
      <c r="G12" s="24" t="str">
        <f>'Relative Valuation'!C3</f>
        <v>Strides Pharma</v>
      </c>
      <c r="H12" s="23">
        <f>'Relative Valuation'!K3</f>
        <v>1879.63</v>
      </c>
      <c r="I12" s="23">
        <f>'Relative Valuation'!P3</f>
        <v>9872.6193965399998</v>
      </c>
      <c r="J12" s="23">
        <f>'Relative Valuation'!R3</f>
        <v>0.56010000000000004</v>
      </c>
      <c r="K12" s="23">
        <f>J12/(1+((H12/I12)*(1-0.3)))</f>
        <v>0.49423274975233189</v>
      </c>
      <c r="M12" s="23" t="s">
        <v>85</v>
      </c>
      <c r="N12" s="61">
        <f>N8-N3</f>
        <v>5.4099999999999995E-2</v>
      </c>
      <c r="O12" s="23"/>
      <c r="R12" s="11" t="s">
        <v>86</v>
      </c>
      <c r="S12" s="11"/>
    </row>
    <row r="13" spans="1:22">
      <c r="A13" s="40">
        <v>44358</v>
      </c>
      <c r="B13" s="41">
        <v>329.9</v>
      </c>
      <c r="C13" s="52">
        <f>B12/B13-1</f>
        <v>-1.3792058199454282E-2</v>
      </c>
      <c r="D13" s="43">
        <v>52474.76</v>
      </c>
      <c r="E13" s="52">
        <f>D12/D13-1</f>
        <v>-7.1407663417611955E-3</v>
      </c>
      <c r="G13" s="24" t="str">
        <f>'Relative Valuation'!C4</f>
        <v>FDC</v>
      </c>
      <c r="H13" s="23">
        <f>'Relative Valuation'!K4</f>
        <v>21.17</v>
      </c>
      <c r="I13" s="23">
        <f>'Relative Valuation'!P4</f>
        <v>6864.8871918599998</v>
      </c>
      <c r="J13" s="23">
        <f>'Relative Valuation'!R4</f>
        <v>0.45929999999999999</v>
      </c>
      <c r="K13" s="23">
        <f>J13/(1+((H13/I13)*(1-0.3)))</f>
        <v>0.45831066026510647</v>
      </c>
      <c r="M13" s="62"/>
      <c r="N13" s="50"/>
      <c r="O13" s="51"/>
      <c r="R13" s="23" t="s">
        <v>87</v>
      </c>
      <c r="S13" s="23"/>
    </row>
    <row r="14" spans="1:22">
      <c r="A14" s="40">
        <v>44365</v>
      </c>
      <c r="B14" s="41">
        <v>320.45</v>
      </c>
      <c r="C14" s="52">
        <f>B13/B14-1</f>
        <v>2.9489779996879406E-2</v>
      </c>
      <c r="D14" s="43">
        <v>52344.45</v>
      </c>
      <c r="E14" s="52">
        <f>D13/D14-1</f>
        <v>2.4894711855794061E-3</v>
      </c>
      <c r="G14" s="24" t="str">
        <f>'Relative Valuation'!C5</f>
        <v>Orchid Pharma</v>
      </c>
      <c r="H14" s="23">
        <f>'Relative Valuation'!K5</f>
        <v>174.61</v>
      </c>
      <c r="I14" s="23">
        <f>'Relative Valuation'!P5</f>
        <v>5340.4681609749996</v>
      </c>
      <c r="J14" s="23">
        <f>'Relative Valuation'!R5</f>
        <v>1.2321</v>
      </c>
      <c r="K14" s="23">
        <f>J14/(1+((H14/I14)*(1-0.3)))</f>
        <v>1.2045319438917546</v>
      </c>
      <c r="N14" s="63"/>
      <c r="R14" s="23" t="s">
        <v>88</v>
      </c>
      <c r="S14" s="24">
        <f>0.0604143+0.03</f>
        <v>9.0414300000000003E-2</v>
      </c>
    </row>
    <row r="15" spans="1:22">
      <c r="A15" s="40">
        <v>44372</v>
      </c>
      <c r="B15" s="41">
        <v>322.35000000000002</v>
      </c>
      <c r="C15" s="52">
        <f>B14/B15-1</f>
        <v>-5.8942143632698674E-3</v>
      </c>
      <c r="D15" s="43">
        <v>52925.04</v>
      </c>
      <c r="E15" s="52">
        <f>D14/D15-1</f>
        <v>-1.0970043669310425E-2</v>
      </c>
      <c r="G15" s="64" t="str">
        <f>'Relative Valuation'!C6</f>
        <v>RPG Life Sciences</v>
      </c>
      <c r="H15" s="23">
        <f>'Relative Valuation'!K6</f>
        <v>20</v>
      </c>
      <c r="I15" s="23">
        <f>'Relative Valuation'!P6</f>
        <v>4532.0208903000002</v>
      </c>
      <c r="J15" s="23">
        <f>'Relative Valuation'!R6</f>
        <v>0.81120000000000003</v>
      </c>
      <c r="K15" s="48">
        <f>J15/(1+((H15/I15)*(1-0.3)))</f>
        <v>0.80870181526349072</v>
      </c>
      <c r="R15" s="23" t="s">
        <v>89</v>
      </c>
      <c r="S15" s="24">
        <f>'Reform Stat, Ratio, GROWTH'!AJ14/'Reform Stat, Ratio, GROWTH'!AJ67</f>
        <v>6.3161051684494651E-2</v>
      </c>
    </row>
    <row r="16" spans="1:22">
      <c r="A16" s="40">
        <v>44379</v>
      </c>
      <c r="B16" s="41">
        <v>329</v>
      </c>
      <c r="C16" s="52">
        <f>B15/B16-1</f>
        <v>-2.0212765957446699E-2</v>
      </c>
      <c r="D16" s="43">
        <v>52484.67</v>
      </c>
      <c r="E16" s="52">
        <f>D15/D16-1</f>
        <v>8.390450011403372E-3</v>
      </c>
      <c r="G16" t="str">
        <f>'Relative Valuation'!C7</f>
        <v>Indoco Remedies</v>
      </c>
      <c r="H16">
        <f>'Relative Valuation'!K7</f>
        <v>993.57</v>
      </c>
      <c r="I16">
        <f>'Relative Valuation'!P7</f>
        <v>2294.0214950650002</v>
      </c>
      <c r="J16">
        <f>'Relative Valuation'!R7</f>
        <v>0.81640000000000001</v>
      </c>
      <c r="K16">
        <f>J16/(1+((H16/I16)*(1-0.3)))</f>
        <v>0.62646807461687781</v>
      </c>
      <c r="M16" s="65"/>
    </row>
    <row r="17" spans="1:19">
      <c r="A17" s="40">
        <v>44386</v>
      </c>
      <c r="B17" s="41">
        <v>327.8</v>
      </c>
      <c r="C17" s="52">
        <f>B16/B17-1</f>
        <v>3.6607687614398365E-3</v>
      </c>
      <c r="D17" s="43">
        <v>52386.19</v>
      </c>
      <c r="E17" s="52">
        <f>D16/D17-1</f>
        <v>1.8798847558869625E-3</v>
      </c>
      <c r="G17" t="s">
        <v>90</v>
      </c>
      <c r="K17">
        <f>AVERAGE(K11:K16)</f>
        <v>0.73130324201198993</v>
      </c>
      <c r="M17" s="66"/>
      <c r="R17" s="10"/>
      <c r="S17" s="10"/>
    </row>
    <row r="18" spans="1:19">
      <c r="A18" s="40">
        <v>44393</v>
      </c>
      <c r="B18" s="41">
        <v>336.15</v>
      </c>
      <c r="C18" s="52">
        <f>B17/B18-1</f>
        <v>-2.484010114532198E-2</v>
      </c>
      <c r="D18" s="43">
        <v>53140.06</v>
      </c>
      <c r="E18" s="52">
        <f>D17/D18-1</f>
        <v>-1.4186472503041836E-2</v>
      </c>
      <c r="M18" s="67"/>
    </row>
    <row r="19" spans="1:19">
      <c r="A19" s="40">
        <v>44400</v>
      </c>
      <c r="B19" s="41">
        <v>334.65</v>
      </c>
      <c r="C19" s="52">
        <f>B18/B19-1</f>
        <v>4.4822949350067365E-3</v>
      </c>
      <c r="D19" s="43">
        <v>52975.8</v>
      </c>
      <c r="E19" s="52">
        <f>D18/D19-1</f>
        <v>3.1006610565578185E-3</v>
      </c>
      <c r="G19" s="68"/>
      <c r="H19" s="69"/>
      <c r="I19" s="69"/>
      <c r="J19" s="69"/>
      <c r="K19" s="23"/>
      <c r="M19" s="70"/>
    </row>
    <row r="20" spans="1:19">
      <c r="A20" s="40">
        <v>44407</v>
      </c>
      <c r="B20" s="41">
        <v>332.85</v>
      </c>
      <c r="C20" s="52">
        <f>B19/B20-1</f>
        <v>5.4078413699862882E-3</v>
      </c>
      <c r="D20" s="43">
        <v>52586.84</v>
      </c>
      <c r="E20" s="52">
        <f>D19/D20-1</f>
        <v>7.3965273441036761E-3</v>
      </c>
      <c r="G20" s="9" t="s">
        <v>91</v>
      </c>
      <c r="H20" s="9"/>
      <c r="I20" s="9"/>
      <c r="J20" s="9"/>
      <c r="K20" s="24">
        <f>K17*(1+(H21/I21)*(1-0.3))</f>
        <v>0.79385651033353188</v>
      </c>
      <c r="M20" s="71"/>
    </row>
    <row r="21" spans="1:19">
      <c r="A21" s="40">
        <v>44414</v>
      </c>
      <c r="B21" s="41">
        <v>299.75</v>
      </c>
      <c r="C21" s="52">
        <f>B20/B21-1</f>
        <v>0.11042535446205171</v>
      </c>
      <c r="D21" s="43">
        <v>54277.72</v>
      </c>
      <c r="E21" s="52">
        <f>D20/D21-1</f>
        <v>-3.115237707110774E-2</v>
      </c>
      <c r="G21" s="72" t="s">
        <v>40</v>
      </c>
      <c r="H21" s="23">
        <v>500.15</v>
      </c>
      <c r="I21" s="23">
        <v>4093.0382762499999</v>
      </c>
      <c r="J21" s="23"/>
      <c r="K21" s="23"/>
      <c r="L21" s="30"/>
      <c r="N21" s="30"/>
    </row>
    <row r="22" spans="1:19">
      <c r="A22" s="40">
        <v>44421</v>
      </c>
      <c r="B22" s="41">
        <v>289.64999999999998</v>
      </c>
      <c r="C22" s="52">
        <f>B21/B22-1</f>
        <v>3.4869670291731492E-2</v>
      </c>
      <c r="D22" s="43">
        <v>55437.29</v>
      </c>
      <c r="E22" s="52">
        <f>D21/D22-1</f>
        <v>-2.0916787238337231E-2</v>
      </c>
      <c r="G22" t="s">
        <v>92</v>
      </c>
      <c r="H22">
        <v>1.10232143023911</v>
      </c>
      <c r="I22" t="s">
        <v>93</v>
      </c>
      <c r="J22">
        <v>0.76220241860040805</v>
      </c>
      <c r="M22" s="67"/>
      <c r="P22" s="30"/>
    </row>
    <row r="23" spans="1:19">
      <c r="A23" s="40">
        <v>44428</v>
      </c>
      <c r="B23" s="41">
        <v>270.35000000000002</v>
      </c>
      <c r="C23" s="52">
        <f>B22/B23-1</f>
        <v>7.1388940262622436E-2</v>
      </c>
      <c r="D23" s="43">
        <v>55329.32</v>
      </c>
      <c r="E23" s="52">
        <f>D22/D23-1</f>
        <v>1.9514065959964633E-3</v>
      </c>
      <c r="G23" t="s">
        <v>94</v>
      </c>
      <c r="H23" t="s">
        <v>95</v>
      </c>
    </row>
    <row r="24" spans="1:19">
      <c r="A24" s="40">
        <v>44435</v>
      </c>
      <c r="B24" s="41">
        <v>284.2</v>
      </c>
      <c r="C24" s="52">
        <f>B23/B24-1</f>
        <v>-4.8733286418015331E-2</v>
      </c>
      <c r="D24" s="43">
        <v>56124.72</v>
      </c>
      <c r="E24" s="52">
        <f>D23/D24-1</f>
        <v>-1.4172008341422515E-2</v>
      </c>
      <c r="G24" s="73" t="s">
        <v>96</v>
      </c>
      <c r="H24" s="73" t="s">
        <v>97</v>
      </c>
      <c r="I24" s="73"/>
      <c r="J24" s="73"/>
      <c r="K24" s="74">
        <v>1.1599999999999999</v>
      </c>
    </row>
    <row r="25" spans="1:19">
      <c r="A25" s="40">
        <v>44442</v>
      </c>
      <c r="B25" s="41">
        <v>285.5</v>
      </c>
      <c r="C25" s="52">
        <f>B24/B25-1</f>
        <v>-4.5534150612960289E-3</v>
      </c>
      <c r="D25" s="43">
        <v>58129.95</v>
      </c>
      <c r="E25" s="52">
        <f>D24/D25-1</f>
        <v>-3.4495642951696937E-2</v>
      </c>
    </row>
    <row r="26" spans="1:19">
      <c r="A26" s="40">
        <v>44448</v>
      </c>
      <c r="B26" s="41">
        <v>273.75</v>
      </c>
      <c r="C26" s="52">
        <f>B25/B26-1</f>
        <v>4.2922374429223753E-2</v>
      </c>
      <c r="D26" s="43">
        <v>58305.07</v>
      </c>
      <c r="E26" s="52">
        <f>D25/D26-1</f>
        <v>-3.0035123875162828E-3</v>
      </c>
    </row>
    <row r="27" spans="1:19">
      <c r="A27" s="40">
        <v>44456</v>
      </c>
      <c r="B27" s="41">
        <v>274.05</v>
      </c>
      <c r="C27" s="52">
        <f>B26/B27-1</f>
        <v>-1.0946907498632363E-3</v>
      </c>
      <c r="D27" s="43">
        <v>59015.89</v>
      </c>
      <c r="E27" s="52">
        <f>D26/D27-1</f>
        <v>-1.2044552746726334E-2</v>
      </c>
    </row>
    <row r="28" spans="1:19">
      <c r="A28" s="40">
        <v>44463</v>
      </c>
      <c r="B28" s="41">
        <v>254.75</v>
      </c>
      <c r="C28" s="52">
        <f>B27/B28-1</f>
        <v>7.5760549558390622E-2</v>
      </c>
      <c r="D28" s="43">
        <v>60048.47</v>
      </c>
      <c r="E28" s="52">
        <f>D27/D28-1</f>
        <v>-1.7195775346149578E-2</v>
      </c>
    </row>
    <row r="29" spans="1:19">
      <c r="A29" s="40">
        <v>44470</v>
      </c>
      <c r="B29" s="41">
        <v>275.35000000000002</v>
      </c>
      <c r="C29" s="52">
        <f>B28/B29-1</f>
        <v>-7.481387325222455E-2</v>
      </c>
      <c r="D29" s="43">
        <v>58765.58</v>
      </c>
      <c r="E29" s="52">
        <f>D28/D29-1</f>
        <v>2.183063623297854E-2</v>
      </c>
    </row>
    <row r="30" spans="1:19">
      <c r="A30" s="40">
        <v>44477</v>
      </c>
      <c r="B30" s="41">
        <v>264.89999999999998</v>
      </c>
      <c r="C30" s="52">
        <f>B29/B30-1</f>
        <v>3.9448848622121835E-2</v>
      </c>
      <c r="D30" s="43">
        <v>60059.06</v>
      </c>
      <c r="E30" s="52">
        <f>D29/D30-1</f>
        <v>-2.1536800609266882E-2</v>
      </c>
    </row>
    <row r="31" spans="1:19">
      <c r="A31" s="40">
        <v>44483</v>
      </c>
      <c r="B31" s="41">
        <v>263.64999999999998</v>
      </c>
      <c r="C31" s="52">
        <f>B30/B31-1</f>
        <v>4.7411340792717915E-3</v>
      </c>
      <c r="D31" s="43">
        <v>61305.95</v>
      </c>
      <c r="E31" s="52">
        <f>D30/D31-1</f>
        <v>-2.0338808875810632E-2</v>
      </c>
    </row>
    <row r="32" spans="1:19">
      <c r="A32" s="40">
        <v>44491</v>
      </c>
      <c r="B32" s="41">
        <v>245.9</v>
      </c>
      <c r="C32" s="52">
        <f>B31/B32-1</f>
        <v>7.2183814558763659E-2</v>
      </c>
      <c r="D32" s="43">
        <v>60821.62</v>
      </c>
      <c r="E32" s="52">
        <f>D31/D32-1</f>
        <v>7.9631223239366999E-3</v>
      </c>
    </row>
    <row r="33" spans="1:5">
      <c r="A33" s="40">
        <v>44498</v>
      </c>
      <c r="B33" s="41">
        <v>241.6</v>
      </c>
      <c r="C33" s="52">
        <f>B32/B33-1</f>
        <v>1.7798013245033051E-2</v>
      </c>
      <c r="D33" s="43">
        <v>59306.93</v>
      </c>
      <c r="E33" s="52">
        <f>D32/D33-1</f>
        <v>2.553984837859602E-2</v>
      </c>
    </row>
    <row r="34" spans="1:5">
      <c r="A34" s="40">
        <v>44504</v>
      </c>
      <c r="B34" s="41">
        <v>223.1</v>
      </c>
      <c r="C34" s="52">
        <f>B33/B34-1</f>
        <v>8.2922456297624292E-2</v>
      </c>
      <c r="D34" s="43">
        <v>60067.62</v>
      </c>
      <c r="E34" s="52">
        <f>D33/D34-1</f>
        <v>-1.2663894457612956E-2</v>
      </c>
    </row>
    <row r="35" spans="1:5">
      <c r="A35" s="40">
        <v>44512</v>
      </c>
      <c r="B35" s="41">
        <v>206.9</v>
      </c>
      <c r="C35" s="52">
        <f>B34/B35-1</f>
        <v>7.8298695021749687E-2</v>
      </c>
      <c r="D35" s="43">
        <v>60686.69</v>
      </c>
      <c r="E35" s="52">
        <f>D34/D35-1</f>
        <v>-1.0201083631353081E-2</v>
      </c>
    </row>
    <row r="36" spans="1:5">
      <c r="A36" s="40">
        <v>44518</v>
      </c>
      <c r="B36" s="41">
        <v>203.3</v>
      </c>
      <c r="C36" s="52">
        <f>B35/B36-1</f>
        <v>1.7707820954254716E-2</v>
      </c>
      <c r="D36" s="43">
        <v>59636.01</v>
      </c>
      <c r="E36" s="52">
        <f>D35/D36-1</f>
        <v>1.7618214229959461E-2</v>
      </c>
    </row>
    <row r="37" spans="1:5">
      <c r="A37" s="40">
        <v>44526</v>
      </c>
      <c r="B37" s="41">
        <v>237.9</v>
      </c>
      <c r="C37" s="52">
        <f>B36/B37-1</f>
        <v>-0.14543926019335851</v>
      </c>
      <c r="D37" s="43">
        <v>57107.15</v>
      </c>
      <c r="E37" s="52">
        <f>D36/D37-1</f>
        <v>4.4282721165388228E-2</v>
      </c>
    </row>
    <row r="38" spans="1:5">
      <c r="A38" s="40">
        <v>44533</v>
      </c>
      <c r="B38" s="41">
        <v>256.05</v>
      </c>
      <c r="C38" s="52">
        <f>B37/B38-1</f>
        <v>-7.088459285295845E-2</v>
      </c>
      <c r="D38" s="43">
        <v>57696.46</v>
      </c>
      <c r="E38" s="52">
        <f>D37/D38-1</f>
        <v>-1.0213971533088784E-2</v>
      </c>
    </row>
    <row r="39" spans="1:5">
      <c r="A39" s="40">
        <v>44540</v>
      </c>
      <c r="B39" s="41">
        <v>263.39999999999998</v>
      </c>
      <c r="C39" s="52">
        <f>B38/B39-1</f>
        <v>-2.7904328018223068E-2</v>
      </c>
      <c r="D39" s="43">
        <v>58786.67</v>
      </c>
      <c r="E39" s="52">
        <f>D38/D39-1</f>
        <v>-1.8545190601882977E-2</v>
      </c>
    </row>
    <row r="40" spans="1:5">
      <c r="A40" s="40">
        <v>44547</v>
      </c>
      <c r="B40" s="41">
        <v>251.55</v>
      </c>
      <c r="C40" s="52">
        <f>B39/B40-1</f>
        <v>4.7107930828860889E-2</v>
      </c>
      <c r="D40" s="43">
        <v>57011.74</v>
      </c>
      <c r="E40" s="52">
        <f>D39/D40-1</f>
        <v>3.113271056101774E-2</v>
      </c>
    </row>
    <row r="41" spans="1:5">
      <c r="A41" s="40">
        <v>44554</v>
      </c>
      <c r="B41" s="41">
        <v>246.75</v>
      </c>
      <c r="C41" s="52">
        <f>B40/B41-1</f>
        <v>1.9452887537994012E-2</v>
      </c>
      <c r="D41" s="43">
        <v>57124.31</v>
      </c>
      <c r="E41" s="52">
        <f>D40/D41-1</f>
        <v>-1.9706146122377977E-3</v>
      </c>
    </row>
    <row r="42" spans="1:5">
      <c r="A42" s="40">
        <v>44561</v>
      </c>
      <c r="B42" s="41">
        <v>248.25</v>
      </c>
      <c r="C42" s="52">
        <f>B41/B42-1</f>
        <v>-6.0422960725075026E-3</v>
      </c>
      <c r="D42" s="43">
        <v>58253.82</v>
      </c>
      <c r="E42" s="52">
        <f>D41/D42-1</f>
        <v>-1.9389458064724363E-2</v>
      </c>
    </row>
    <row r="43" spans="1:5">
      <c r="A43" s="40">
        <v>44568</v>
      </c>
      <c r="B43" s="41">
        <v>271.95</v>
      </c>
      <c r="C43" s="52">
        <f>B42/B43-1</f>
        <v>-8.714837286265853E-2</v>
      </c>
      <c r="D43" s="43">
        <v>59744.65</v>
      </c>
      <c r="E43" s="52">
        <f>D42/D43-1</f>
        <v>-2.4953364025063318E-2</v>
      </c>
    </row>
    <row r="44" spans="1:5">
      <c r="A44" s="40">
        <v>44575</v>
      </c>
      <c r="B44" s="41">
        <v>280</v>
      </c>
      <c r="C44" s="52">
        <f>B43/B44-1</f>
        <v>-2.8750000000000053E-2</v>
      </c>
      <c r="D44" s="43">
        <v>61223.03</v>
      </c>
      <c r="E44" s="52">
        <f>D43/D44-1</f>
        <v>-2.4147449089011119E-2</v>
      </c>
    </row>
    <row r="45" spans="1:5">
      <c r="A45" s="40">
        <v>44582</v>
      </c>
      <c r="B45" s="41">
        <v>284.2</v>
      </c>
      <c r="C45" s="52">
        <f>B44/B45-1</f>
        <v>-1.4778325123152691E-2</v>
      </c>
      <c r="D45" s="43">
        <v>59037.18</v>
      </c>
      <c r="E45" s="52">
        <f>D44/D45-1</f>
        <v>3.7024973076288603E-2</v>
      </c>
    </row>
    <row r="46" spans="1:5">
      <c r="A46" s="40">
        <v>44589</v>
      </c>
      <c r="B46" s="41">
        <v>279.8</v>
      </c>
      <c r="C46" s="52">
        <f>B45/B46-1</f>
        <v>1.5725518227305058E-2</v>
      </c>
      <c r="D46" s="43">
        <v>57200.23</v>
      </c>
      <c r="E46" s="52">
        <f>D45/D46-1</f>
        <v>3.2114381358256727E-2</v>
      </c>
    </row>
    <row r="47" spans="1:5">
      <c r="A47" s="40">
        <v>44596</v>
      </c>
      <c r="B47" s="41">
        <v>256.89999999999998</v>
      </c>
      <c r="C47" s="52">
        <f>B46/B47-1</f>
        <v>8.9139743090696832E-2</v>
      </c>
      <c r="D47" s="43">
        <v>58644.82</v>
      </c>
      <c r="E47" s="52">
        <f>D46/D47-1</f>
        <v>-2.46328661252605E-2</v>
      </c>
    </row>
    <row r="48" spans="1:5">
      <c r="A48" s="40">
        <v>44603</v>
      </c>
      <c r="B48" s="41">
        <v>252.25</v>
      </c>
      <c r="C48" s="52">
        <f>B47/B48-1</f>
        <v>1.8434093161546095E-2</v>
      </c>
      <c r="D48" s="43">
        <v>58152.92</v>
      </c>
      <c r="E48" s="52">
        <f>D47/D48-1</f>
        <v>8.4587325967466764E-3</v>
      </c>
    </row>
    <row r="49" spans="1:5">
      <c r="A49" s="40">
        <v>44610</v>
      </c>
      <c r="B49" s="41">
        <v>250.3</v>
      </c>
      <c r="C49" s="52">
        <f>B48/B49-1</f>
        <v>7.7906512185377252E-3</v>
      </c>
      <c r="D49" s="43">
        <v>57832.97</v>
      </c>
      <c r="E49" s="52">
        <f>D48/D49-1</f>
        <v>5.5323114133685181E-3</v>
      </c>
    </row>
    <row r="50" spans="1:5">
      <c r="A50" s="40">
        <v>44617</v>
      </c>
      <c r="B50" s="41">
        <v>258.45</v>
      </c>
      <c r="C50" s="52">
        <f>B49/B50-1</f>
        <v>-3.1534145869607233E-2</v>
      </c>
      <c r="D50" s="43">
        <v>55858.52</v>
      </c>
      <c r="E50" s="52">
        <f>D49/D50-1</f>
        <v>3.5347338239538173E-2</v>
      </c>
    </row>
    <row r="51" spans="1:5">
      <c r="A51" s="40">
        <v>44624</v>
      </c>
      <c r="B51" s="41">
        <v>248.6</v>
      </c>
      <c r="C51" s="52">
        <f>B50/B51-1</f>
        <v>3.9621882542236531E-2</v>
      </c>
      <c r="D51" s="43">
        <v>54333.81</v>
      </c>
      <c r="E51" s="52">
        <f>D50/D51-1</f>
        <v>2.8061901052033766E-2</v>
      </c>
    </row>
    <row r="52" spans="1:5">
      <c r="A52" s="40">
        <v>44631</v>
      </c>
      <c r="B52" s="41">
        <v>254.8</v>
      </c>
      <c r="C52" s="52">
        <f>B51/B52-1</f>
        <v>-2.4332810047095865E-2</v>
      </c>
      <c r="D52" s="43">
        <v>55550.3</v>
      </c>
      <c r="E52" s="52">
        <f>D51/D52-1</f>
        <v>-2.1898891635148798E-2</v>
      </c>
    </row>
    <row r="53" spans="1:5">
      <c r="A53" s="40">
        <v>44637</v>
      </c>
      <c r="B53" s="41">
        <v>251</v>
      </c>
      <c r="C53" s="52">
        <f>B52/B53-1</f>
        <v>1.5139442231075773E-2</v>
      </c>
      <c r="D53" s="43">
        <v>57863.93</v>
      </c>
      <c r="E53" s="52">
        <f>D52/D53-1</f>
        <v>-3.9983976200717697E-2</v>
      </c>
    </row>
    <row r="54" spans="1:5">
      <c r="A54" s="40">
        <v>44645</v>
      </c>
      <c r="B54" s="41">
        <v>244.9</v>
      </c>
      <c r="C54" s="52">
        <f>B53/B54-1</f>
        <v>2.4908125765618516E-2</v>
      </c>
      <c r="D54" s="43">
        <v>57362.2</v>
      </c>
      <c r="E54" s="52">
        <f>D53/D54-1</f>
        <v>8.7467007890213999E-3</v>
      </c>
    </row>
    <row r="55" spans="1:5">
      <c r="A55" s="40">
        <v>44652</v>
      </c>
      <c r="B55" s="41">
        <v>268.95</v>
      </c>
      <c r="C55" s="52">
        <f>B54/B55-1</f>
        <v>-8.9421825618144601E-2</v>
      </c>
      <c r="D55" s="43">
        <v>59276.69</v>
      </c>
      <c r="E55" s="52">
        <f>D54/D55-1</f>
        <v>-3.2297518636752565E-2</v>
      </c>
    </row>
    <row r="56" spans="1:5">
      <c r="A56" s="40">
        <v>44659</v>
      </c>
      <c r="B56" s="41">
        <v>283.05</v>
      </c>
      <c r="C56" s="52">
        <f>B55/B56-1</f>
        <v>-4.9814520402755802E-2</v>
      </c>
      <c r="D56" s="43">
        <v>59447.18</v>
      </c>
      <c r="E56" s="52">
        <f>D55/D56-1</f>
        <v>-2.8679240966518194E-3</v>
      </c>
    </row>
    <row r="57" spans="1:5">
      <c r="A57" s="40">
        <v>44664</v>
      </c>
      <c r="B57" s="41">
        <v>269.39999999999998</v>
      </c>
      <c r="C57" s="52">
        <f>B56/B57-1</f>
        <v>5.066815144766168E-2</v>
      </c>
      <c r="D57" s="43">
        <v>58338.93</v>
      </c>
      <c r="E57" s="52">
        <f>D56/D57-1</f>
        <v>1.8996748826212606E-2</v>
      </c>
    </row>
    <row r="58" spans="1:5">
      <c r="A58" s="40">
        <v>44673</v>
      </c>
      <c r="B58" s="41">
        <v>276.75</v>
      </c>
      <c r="C58" s="52">
        <f>B57/B58-1</f>
        <v>-2.6558265582655949E-2</v>
      </c>
      <c r="D58" s="43">
        <v>57197.15</v>
      </c>
      <c r="E58" s="52">
        <f>D57/D58-1</f>
        <v>1.9962183430468183E-2</v>
      </c>
    </row>
    <row r="59" spans="1:5">
      <c r="A59" s="40">
        <v>44680</v>
      </c>
      <c r="B59" s="41">
        <v>270</v>
      </c>
      <c r="C59" s="52">
        <f>B58/B59-1</f>
        <v>2.4999999999999911E-2</v>
      </c>
      <c r="D59" s="43">
        <v>57060.87</v>
      </c>
      <c r="E59" s="52">
        <f>D58/D59-1</f>
        <v>2.3883267114575002E-3</v>
      </c>
    </row>
    <row r="60" spans="1:5">
      <c r="A60" s="40">
        <v>44687</v>
      </c>
      <c r="B60" s="41">
        <v>261.85000000000002</v>
      </c>
      <c r="C60" s="52">
        <f>B59/B60-1</f>
        <v>3.1124689707847875E-2</v>
      </c>
      <c r="D60" s="43">
        <v>54835.58</v>
      </c>
      <c r="E60" s="52">
        <f>D59/D60-1</f>
        <v>4.0581133636226729E-2</v>
      </c>
    </row>
    <row r="61" spans="1:5">
      <c r="A61" s="40">
        <v>44694</v>
      </c>
      <c r="B61" s="41">
        <v>240.1</v>
      </c>
      <c r="C61" s="52">
        <f>B60/B61-1</f>
        <v>9.0587255310287551E-2</v>
      </c>
      <c r="D61" s="43">
        <v>52793.62</v>
      </c>
      <c r="E61" s="52">
        <f>D60/D61-1</f>
        <v>3.8678158459298562E-2</v>
      </c>
    </row>
    <row r="62" spans="1:5">
      <c r="A62" s="40">
        <v>44701</v>
      </c>
      <c r="B62" s="41">
        <v>241.65</v>
      </c>
      <c r="C62" s="52">
        <f>B61/B62-1</f>
        <v>-6.4142354645148059E-3</v>
      </c>
      <c r="D62" s="43">
        <v>54326.39</v>
      </c>
      <c r="E62" s="52">
        <f>D61/D62-1</f>
        <v>-2.8214096316725557E-2</v>
      </c>
    </row>
    <row r="63" spans="1:5">
      <c r="A63" s="40">
        <v>44708</v>
      </c>
      <c r="B63" s="41">
        <v>237.2</v>
      </c>
      <c r="C63" s="52">
        <f>B62/B63-1</f>
        <v>1.8760539629005146E-2</v>
      </c>
      <c r="D63" s="43">
        <v>54884.66</v>
      </c>
      <c r="E63" s="52">
        <f>D62/D63-1</f>
        <v>-1.0171694604649173E-2</v>
      </c>
    </row>
    <row r="64" spans="1:5">
      <c r="A64" s="40">
        <v>44715</v>
      </c>
      <c r="B64" s="41">
        <v>249.35</v>
      </c>
      <c r="C64" s="52">
        <f>B63/B64-1</f>
        <v>-4.8726689392420308E-2</v>
      </c>
      <c r="D64" s="43">
        <v>55769.23</v>
      </c>
      <c r="E64" s="52">
        <f>D63/D64-1</f>
        <v>-1.5861255391189766E-2</v>
      </c>
    </row>
    <row r="65" spans="1:5">
      <c r="A65" s="40">
        <v>44722</v>
      </c>
      <c r="B65" s="41">
        <v>269.3</v>
      </c>
      <c r="C65" s="52">
        <f>B64/B65-1</f>
        <v>-7.4080950612699703E-2</v>
      </c>
      <c r="D65" s="43">
        <v>54303.44</v>
      </c>
      <c r="E65" s="52">
        <f>D64/D65-1</f>
        <v>2.6992580948831169E-2</v>
      </c>
    </row>
    <row r="66" spans="1:5">
      <c r="A66" s="40">
        <v>44729</v>
      </c>
      <c r="B66" s="41">
        <v>247.95</v>
      </c>
      <c r="C66" s="52">
        <f>B65/B66-1</f>
        <v>8.6106069772131644E-2</v>
      </c>
      <c r="D66" s="43">
        <v>51360.42</v>
      </c>
      <c r="E66" s="52">
        <f>D65/D66-1</f>
        <v>5.7301322691675871E-2</v>
      </c>
    </row>
    <row r="67" spans="1:5">
      <c r="A67" s="40">
        <v>44736</v>
      </c>
      <c r="B67" s="41">
        <v>240.4</v>
      </c>
      <c r="C67" s="52">
        <f>B66/B67-1</f>
        <v>3.1405990016638796E-2</v>
      </c>
      <c r="D67" s="43">
        <v>52727.98</v>
      </c>
      <c r="E67" s="52">
        <f>D66/D67-1</f>
        <v>-2.5936134856673898E-2</v>
      </c>
    </row>
    <row r="68" spans="1:5">
      <c r="A68" s="40">
        <v>44743</v>
      </c>
      <c r="B68" s="41">
        <v>241.45</v>
      </c>
      <c r="C68" s="52">
        <f>B67/B68-1</f>
        <v>-4.3487264443983209E-3</v>
      </c>
      <c r="D68" s="43">
        <v>52907.93</v>
      </c>
      <c r="E68" s="52">
        <f>D67/D68-1</f>
        <v>-3.401191466005149E-3</v>
      </c>
    </row>
    <row r="69" spans="1:5">
      <c r="A69" s="40">
        <v>44750</v>
      </c>
      <c r="B69" s="41">
        <v>249.75</v>
      </c>
      <c r="C69" s="52">
        <f>B68/B69-1</f>
        <v>-3.3233233233233239E-2</v>
      </c>
      <c r="D69" s="43">
        <v>54481.84</v>
      </c>
      <c r="E69" s="52">
        <f>D68/D69-1</f>
        <v>-2.8888708604555169E-2</v>
      </c>
    </row>
    <row r="70" spans="1:5">
      <c r="A70" s="40">
        <v>44757</v>
      </c>
      <c r="B70" s="41">
        <v>271.64999999999998</v>
      </c>
      <c r="C70" s="52">
        <f>B69/B70-1</f>
        <v>-8.0618442849254457E-2</v>
      </c>
      <c r="D70" s="43">
        <v>53760.78</v>
      </c>
      <c r="E70" s="52">
        <f>D69/D70-1</f>
        <v>1.3412379805501251E-2</v>
      </c>
    </row>
    <row r="71" spans="1:5">
      <c r="A71" s="40">
        <v>44764</v>
      </c>
      <c r="B71" s="41">
        <v>299.3</v>
      </c>
      <c r="C71" s="52">
        <f>B70/B71-1</f>
        <v>-9.2382225192115031E-2</v>
      </c>
      <c r="D71" s="43">
        <v>56072.23</v>
      </c>
      <c r="E71" s="52">
        <f>D70/D71-1</f>
        <v>-4.1222722905794984E-2</v>
      </c>
    </row>
    <row r="72" spans="1:5">
      <c r="A72" s="40">
        <v>44771</v>
      </c>
      <c r="B72" s="41">
        <v>297.60000000000002</v>
      </c>
      <c r="C72" s="52">
        <f>B71/B72-1</f>
        <v>5.7123655913977611E-3</v>
      </c>
      <c r="D72" s="43">
        <v>57570.25</v>
      </c>
      <c r="E72" s="52">
        <f>D71/D72-1</f>
        <v>-2.6020731193628577E-2</v>
      </c>
    </row>
    <row r="73" spans="1:5">
      <c r="A73" s="40">
        <v>44778</v>
      </c>
      <c r="B73" s="41">
        <v>298.55</v>
      </c>
      <c r="C73" s="52">
        <f>B72/B73-1</f>
        <v>-3.1820465583654034E-3</v>
      </c>
      <c r="D73" s="43">
        <v>58387.93</v>
      </c>
      <c r="E73" s="52">
        <f>D72/D73-1</f>
        <v>-1.4004264237488795E-2</v>
      </c>
    </row>
    <row r="74" spans="1:5">
      <c r="A74" s="40">
        <v>44785</v>
      </c>
      <c r="B74" s="41">
        <v>279.3</v>
      </c>
      <c r="C74" s="52">
        <f>B73/B74-1</f>
        <v>6.8922305764411051E-2</v>
      </c>
      <c r="D74" s="43">
        <v>59462.78</v>
      </c>
      <c r="E74" s="52">
        <f>D73/D74-1</f>
        <v>-1.8076013264095581E-2</v>
      </c>
    </row>
    <row r="75" spans="1:5">
      <c r="A75" s="40">
        <v>44792</v>
      </c>
      <c r="B75" s="41">
        <v>288.39999999999998</v>
      </c>
      <c r="C75" s="52">
        <f>B74/B75-1</f>
        <v>-3.1553398058252302E-2</v>
      </c>
      <c r="D75" s="43">
        <v>59646.15</v>
      </c>
      <c r="E75" s="52">
        <f>D74/D75-1</f>
        <v>-3.0742973352010372E-3</v>
      </c>
    </row>
    <row r="76" spans="1:5">
      <c r="A76" s="40">
        <v>44799</v>
      </c>
      <c r="B76" s="41">
        <v>295.55</v>
      </c>
      <c r="C76" s="52">
        <f>B75/B76-1</f>
        <v>-2.4192184063610345E-2</v>
      </c>
      <c r="D76" s="43">
        <v>58833.87</v>
      </c>
      <c r="E76" s="52">
        <f>D75/D76-1</f>
        <v>1.3806332984724667E-2</v>
      </c>
    </row>
    <row r="77" spans="1:5">
      <c r="A77" s="40">
        <v>44806</v>
      </c>
      <c r="B77" s="41">
        <v>319.39999999999998</v>
      </c>
      <c r="C77" s="52">
        <f>B76/B77-1</f>
        <v>-7.4671258609893432E-2</v>
      </c>
      <c r="D77" s="43">
        <v>58803.33</v>
      </c>
      <c r="E77" s="52">
        <f>D76/D77-1</f>
        <v>5.1935834246119583E-4</v>
      </c>
    </row>
    <row r="78" spans="1:5">
      <c r="A78" s="40">
        <v>44813</v>
      </c>
      <c r="B78" s="41">
        <v>371.7</v>
      </c>
      <c r="C78" s="52">
        <f>B77/B78-1</f>
        <v>-0.14070486951842887</v>
      </c>
      <c r="D78" s="43">
        <v>59793.14</v>
      </c>
      <c r="E78" s="52">
        <f>D77/D78-1</f>
        <v>-1.6553905682156755E-2</v>
      </c>
    </row>
    <row r="79" spans="1:5">
      <c r="A79" s="40">
        <v>44820</v>
      </c>
      <c r="B79" s="41">
        <v>381.5</v>
      </c>
      <c r="C79" s="52">
        <f>B78/B79-1</f>
        <v>-2.5688073394495414E-2</v>
      </c>
      <c r="D79" s="43">
        <v>58840.79</v>
      </c>
      <c r="E79" s="52">
        <f>D78/D79-1</f>
        <v>1.6185200776536179E-2</v>
      </c>
    </row>
    <row r="80" spans="1:5">
      <c r="A80" s="40">
        <v>44827</v>
      </c>
      <c r="B80" s="41">
        <v>390.6</v>
      </c>
      <c r="C80" s="52">
        <f>B79/B80-1</f>
        <v>-2.3297491039426577E-2</v>
      </c>
      <c r="D80" s="43">
        <v>58098.92</v>
      </c>
      <c r="E80" s="52">
        <f>D79/D80-1</f>
        <v>1.2769084175747292E-2</v>
      </c>
    </row>
    <row r="81" spans="1:5">
      <c r="A81" s="40">
        <v>44834</v>
      </c>
      <c r="B81" s="41">
        <v>387.5</v>
      </c>
      <c r="C81" s="52">
        <f>B80/B81-1</f>
        <v>8.0000000000000071E-3</v>
      </c>
      <c r="D81" s="43">
        <v>57426.92</v>
      </c>
      <c r="E81" s="52">
        <f>D80/D81-1</f>
        <v>1.1701829037670919E-2</v>
      </c>
    </row>
    <row r="82" spans="1:5">
      <c r="A82" s="40">
        <v>44841</v>
      </c>
      <c r="B82" s="41">
        <v>391.75</v>
      </c>
      <c r="C82" s="52">
        <f>B81/B82-1</f>
        <v>-1.084875558391829E-2</v>
      </c>
      <c r="D82" s="43">
        <v>58191.29</v>
      </c>
      <c r="E82" s="52">
        <f>D81/D82-1</f>
        <v>-1.3135470961375906E-2</v>
      </c>
    </row>
    <row r="83" spans="1:5">
      <c r="A83" s="40">
        <v>44848</v>
      </c>
      <c r="B83" s="41">
        <v>371.9</v>
      </c>
      <c r="C83" s="52">
        <f>B82/B83-1</f>
        <v>5.3374563054584545E-2</v>
      </c>
      <c r="D83" s="43">
        <v>57919.97</v>
      </c>
      <c r="E83" s="52">
        <f>D82/D83-1</f>
        <v>4.6843946915027246E-3</v>
      </c>
    </row>
    <row r="84" spans="1:5">
      <c r="A84" s="40">
        <v>44855</v>
      </c>
      <c r="B84" s="41">
        <v>381.75</v>
      </c>
      <c r="C84" s="52">
        <f>B83/B84-1</f>
        <v>-2.580222658808129E-2</v>
      </c>
      <c r="D84" s="43">
        <v>59307.15</v>
      </c>
      <c r="E84" s="52">
        <f>D83/D84-1</f>
        <v>-2.3389759919335229E-2</v>
      </c>
    </row>
    <row r="85" spans="1:5">
      <c r="A85" s="40">
        <v>44862</v>
      </c>
      <c r="B85" s="41">
        <v>386.4</v>
      </c>
      <c r="C85" s="52">
        <f>B84/B85-1</f>
        <v>-1.2034161490683148E-2</v>
      </c>
      <c r="D85" s="43">
        <v>59959.85</v>
      </c>
      <c r="E85" s="52">
        <f>D84/D85-1</f>
        <v>-1.0885617625794541E-2</v>
      </c>
    </row>
    <row r="86" spans="1:5">
      <c r="A86" s="40">
        <v>44869</v>
      </c>
      <c r="B86" s="41">
        <v>449.95</v>
      </c>
      <c r="C86" s="52">
        <f>B85/B86-1</f>
        <v>-0.14123791532392493</v>
      </c>
      <c r="D86" s="43">
        <v>60950.36</v>
      </c>
      <c r="E86" s="52">
        <f>D85/D86-1</f>
        <v>-1.6251093512819281E-2</v>
      </c>
    </row>
    <row r="87" spans="1:5">
      <c r="A87" s="40">
        <v>44876</v>
      </c>
      <c r="B87" s="41">
        <v>396.25</v>
      </c>
      <c r="C87" s="52">
        <f>B86/B87-1</f>
        <v>0.13552050473186128</v>
      </c>
      <c r="D87" s="43">
        <v>61795.040000000001</v>
      </c>
      <c r="E87" s="52">
        <f>D86/D87-1</f>
        <v>-1.3669058228621633E-2</v>
      </c>
    </row>
    <row r="88" spans="1:5">
      <c r="A88" s="40">
        <v>44883</v>
      </c>
      <c r="B88" s="41">
        <v>444.8</v>
      </c>
      <c r="C88" s="52">
        <f>B87/B88-1</f>
        <v>-0.10915017985611508</v>
      </c>
      <c r="D88" s="43">
        <v>61663.48</v>
      </c>
      <c r="E88" s="52">
        <f>D87/D88-1</f>
        <v>2.1335156562685142E-3</v>
      </c>
    </row>
    <row r="89" spans="1:5">
      <c r="A89" s="40">
        <v>44890</v>
      </c>
      <c r="B89" s="41">
        <v>426.3</v>
      </c>
      <c r="C89" s="52">
        <f>B88/B89-1</f>
        <v>4.3396669012432554E-2</v>
      </c>
      <c r="D89" s="43">
        <v>62293.64</v>
      </c>
      <c r="E89" s="52">
        <f>D88/D89-1</f>
        <v>-1.0115960473653485E-2</v>
      </c>
    </row>
    <row r="90" spans="1:5">
      <c r="A90" s="40">
        <v>44897</v>
      </c>
      <c r="B90" s="41">
        <v>368.75</v>
      </c>
      <c r="C90" s="52">
        <f>B89/B90-1</f>
        <v>0.15606779661016956</v>
      </c>
      <c r="D90" s="43">
        <v>62868.5</v>
      </c>
      <c r="E90" s="52">
        <f>D89/D90-1</f>
        <v>-9.143847872941202E-3</v>
      </c>
    </row>
    <row r="91" spans="1:5">
      <c r="A91" s="40">
        <v>44904</v>
      </c>
      <c r="B91" s="41">
        <v>308.89999999999998</v>
      </c>
      <c r="C91" s="52">
        <f>B90/B91-1</f>
        <v>0.19375202330851415</v>
      </c>
      <c r="D91" s="43">
        <v>62181.67</v>
      </c>
      <c r="E91" s="52">
        <f>D90/D91-1</f>
        <v>1.1045538017875778E-2</v>
      </c>
    </row>
    <row r="92" spans="1:5">
      <c r="A92" s="40">
        <v>44911</v>
      </c>
      <c r="B92" s="41">
        <v>324.7</v>
      </c>
      <c r="C92" s="52">
        <f>B91/B92-1</f>
        <v>-4.8660301817061935E-2</v>
      </c>
      <c r="D92" s="43">
        <v>61337.81</v>
      </c>
      <c r="E92" s="52">
        <f>D91/D92-1</f>
        <v>1.3757582802516044E-2</v>
      </c>
    </row>
    <row r="93" spans="1:5">
      <c r="A93" s="40">
        <v>44918</v>
      </c>
      <c r="B93" s="41">
        <v>268.10000000000002</v>
      </c>
      <c r="C93" s="52">
        <f>B92/B93-1</f>
        <v>0.21111525550167842</v>
      </c>
      <c r="D93" s="43">
        <v>59845.29</v>
      </c>
      <c r="E93" s="52">
        <f>D92/D93-1</f>
        <v>2.4939640195577484E-2</v>
      </c>
    </row>
    <row r="94" spans="1:5">
      <c r="A94" s="40">
        <v>44925</v>
      </c>
      <c r="B94" s="41">
        <v>315.75</v>
      </c>
      <c r="C94" s="52">
        <f>B93/B94-1</f>
        <v>-0.15091053048297698</v>
      </c>
      <c r="D94" s="43">
        <v>60840.74</v>
      </c>
      <c r="E94" s="52">
        <f>D93/D94-1</f>
        <v>-1.636156956670809E-2</v>
      </c>
    </row>
    <row r="95" spans="1:5">
      <c r="A95" s="40">
        <v>44932</v>
      </c>
      <c r="B95" s="41">
        <v>298.85000000000002</v>
      </c>
      <c r="C95" s="52">
        <f>B94/B95-1</f>
        <v>5.655010875020916E-2</v>
      </c>
      <c r="D95" s="43">
        <v>59900.37</v>
      </c>
      <c r="E95" s="52">
        <f>D94/D95-1</f>
        <v>1.5698901359039841E-2</v>
      </c>
    </row>
    <row r="96" spans="1:5">
      <c r="A96" s="40">
        <v>44939</v>
      </c>
      <c r="B96" s="41">
        <v>308.25</v>
      </c>
      <c r="C96" s="52">
        <f>B95/B96-1</f>
        <v>-3.0494728304947261E-2</v>
      </c>
      <c r="D96" s="43">
        <v>60261.18</v>
      </c>
      <c r="E96" s="52">
        <f>D95/D96-1</f>
        <v>-5.9874366880966479E-3</v>
      </c>
    </row>
    <row r="97" spans="1:5">
      <c r="A97" s="40">
        <v>44946</v>
      </c>
      <c r="B97" s="41">
        <v>284.35000000000002</v>
      </c>
      <c r="C97" s="52">
        <f>B96/B97-1</f>
        <v>8.4051345173201897E-2</v>
      </c>
      <c r="D97" s="43">
        <v>60621.77</v>
      </c>
      <c r="E97" s="52">
        <f>D96/D97-1</f>
        <v>-5.9481931985818637E-3</v>
      </c>
    </row>
    <row r="98" spans="1:5">
      <c r="A98" s="40">
        <v>44953</v>
      </c>
      <c r="B98" s="41">
        <v>299.39999999999998</v>
      </c>
      <c r="C98" s="52">
        <f>B97/B98-1</f>
        <v>-5.0267201068804113E-2</v>
      </c>
      <c r="D98" s="43">
        <v>59330.9</v>
      </c>
      <c r="E98" s="52">
        <f>D97/D98-1</f>
        <v>2.1757128241776114E-2</v>
      </c>
    </row>
    <row r="99" spans="1:5">
      <c r="A99" s="40">
        <v>44960</v>
      </c>
      <c r="B99" s="41">
        <v>312.75</v>
      </c>
      <c r="C99" s="52">
        <f>B98/B99-1</f>
        <v>-4.2685851318944867E-2</v>
      </c>
      <c r="D99" s="43">
        <v>60841.88</v>
      </c>
      <c r="E99" s="52">
        <f>D98/D99-1</f>
        <v>-2.4834538314726595E-2</v>
      </c>
    </row>
    <row r="100" spans="1:5">
      <c r="A100" s="40">
        <v>44967</v>
      </c>
      <c r="B100" s="41">
        <v>327.2</v>
      </c>
      <c r="C100" s="52">
        <f>B99/B100-1</f>
        <v>-4.4162591687041508E-2</v>
      </c>
      <c r="D100" s="43">
        <v>60682.7</v>
      </c>
      <c r="E100" s="52">
        <f>D99/D100-1</f>
        <v>2.6231528920104275E-3</v>
      </c>
    </row>
    <row r="101" spans="1:5">
      <c r="A101" s="40">
        <v>44974</v>
      </c>
      <c r="B101" s="41">
        <v>328.75</v>
      </c>
      <c r="C101" s="52">
        <f>B100/B101-1</f>
        <v>-4.71482889733843E-3</v>
      </c>
      <c r="D101" s="43">
        <v>61002.57</v>
      </c>
      <c r="E101" s="52">
        <f>D100/D101-1</f>
        <v>-5.2435495750425831E-3</v>
      </c>
    </row>
    <row r="102" spans="1:5">
      <c r="A102" s="40">
        <v>44981</v>
      </c>
      <c r="B102" s="41">
        <v>313.7</v>
      </c>
      <c r="C102" s="52">
        <f>B101/B102-1</f>
        <v>4.7975773031558866E-2</v>
      </c>
      <c r="D102" s="43">
        <v>59463.93</v>
      </c>
      <c r="E102" s="52">
        <f>D101/D102-1</f>
        <v>2.5875181811898296E-2</v>
      </c>
    </row>
    <row r="103" spans="1:5">
      <c r="A103" s="40">
        <v>44988</v>
      </c>
      <c r="B103" s="41">
        <v>298.85000000000002</v>
      </c>
      <c r="C103" s="52">
        <f>B102/B103-1</f>
        <v>4.9690480174000129E-2</v>
      </c>
      <c r="D103" s="43">
        <v>59808.97</v>
      </c>
      <c r="E103" s="52">
        <f>D102/D103-1</f>
        <v>-5.7690343104053188E-3</v>
      </c>
    </row>
    <row r="104" spans="1:5">
      <c r="A104" s="40">
        <v>44995</v>
      </c>
      <c r="B104" s="41">
        <v>300.55</v>
      </c>
      <c r="C104" s="52">
        <f>B103/B104-1</f>
        <v>-5.6562967892197502E-3</v>
      </c>
      <c r="D104" s="43">
        <v>59135.13</v>
      </c>
      <c r="E104" s="52">
        <f>D103/D104-1</f>
        <v>1.1394918722593461E-2</v>
      </c>
    </row>
    <row r="105" spans="1:5">
      <c r="A105" s="40">
        <v>45002</v>
      </c>
      <c r="B105" s="41">
        <v>282.45</v>
      </c>
      <c r="C105" s="52">
        <f>B104/B105-1</f>
        <v>6.4082138431580837E-2</v>
      </c>
      <c r="D105" s="43">
        <v>57989.9</v>
      </c>
      <c r="E105" s="52">
        <f>D104/D105-1</f>
        <v>1.9748783839944384E-2</v>
      </c>
    </row>
    <row r="106" spans="1:5">
      <c r="A106" s="40">
        <v>45009</v>
      </c>
      <c r="B106" s="41">
        <v>284</v>
      </c>
      <c r="C106" s="52">
        <f>B105/B106-1</f>
        <v>-5.4577464788733154E-3</v>
      </c>
      <c r="D106" s="43">
        <v>57527.1</v>
      </c>
      <c r="E106" s="52">
        <f>D105/D106-1</f>
        <v>8.0449040539154471E-3</v>
      </c>
    </row>
    <row r="107" spans="1:5">
      <c r="A107" s="40">
        <v>45016</v>
      </c>
      <c r="B107" s="41">
        <v>289.05</v>
      </c>
      <c r="C107" s="52">
        <f>B106/B107-1</f>
        <v>-1.7471025774087545E-2</v>
      </c>
      <c r="D107" s="43">
        <v>58991.519999999997</v>
      </c>
      <c r="E107" s="52">
        <f>D106/D107-1</f>
        <v>-2.482424592551602E-2</v>
      </c>
    </row>
    <row r="108" spans="1:5">
      <c r="A108" s="40">
        <v>45022</v>
      </c>
      <c r="B108" s="41">
        <v>340.4</v>
      </c>
      <c r="C108" s="52">
        <f>B107/B108-1</f>
        <v>-0.15085193889541704</v>
      </c>
      <c r="D108" s="43">
        <v>59832.97</v>
      </c>
      <c r="E108" s="52">
        <f>D107/D108-1</f>
        <v>-1.4063316596184428E-2</v>
      </c>
    </row>
    <row r="109" spans="1:5">
      <c r="A109" s="40">
        <v>45029</v>
      </c>
      <c r="B109" s="41">
        <v>369.25</v>
      </c>
      <c r="C109" s="52">
        <f>B108/B109-1</f>
        <v>-7.8131347325660183E-2</v>
      </c>
      <c r="D109" s="43">
        <v>60431</v>
      </c>
      <c r="E109" s="52">
        <f>D108/D109-1</f>
        <v>-9.8960798265790295E-3</v>
      </c>
    </row>
    <row r="110" spans="1:5">
      <c r="A110" s="40">
        <v>45037</v>
      </c>
      <c r="B110" s="41">
        <v>377.2</v>
      </c>
      <c r="C110" s="52">
        <f>B109/B110-1</f>
        <v>-2.1076352067868509E-2</v>
      </c>
      <c r="D110" s="43">
        <v>59655.06</v>
      </c>
      <c r="E110" s="52">
        <f>D109/D110-1</f>
        <v>1.3007111215712408E-2</v>
      </c>
    </row>
    <row r="111" spans="1:5">
      <c r="A111" s="40">
        <v>45044</v>
      </c>
      <c r="B111" s="41">
        <v>379.8</v>
      </c>
      <c r="C111" s="52">
        <f>B110/B111-1</f>
        <v>-6.8457082675092984E-3</v>
      </c>
      <c r="D111" s="43">
        <v>61112.44</v>
      </c>
      <c r="E111" s="52">
        <f>D110/D111-1</f>
        <v>-2.3847517788522343E-2</v>
      </c>
    </row>
    <row r="112" spans="1:5">
      <c r="A112" s="40">
        <v>45051</v>
      </c>
      <c r="B112" s="41">
        <v>377.05</v>
      </c>
      <c r="C112" s="52">
        <f>B111/B112-1</f>
        <v>7.2934624055165376E-3</v>
      </c>
      <c r="D112" s="43">
        <v>61054.29</v>
      </c>
      <c r="E112" s="52">
        <f>D111/D112-1</f>
        <v>9.5243102491249232E-4</v>
      </c>
    </row>
    <row r="113" spans="1:5">
      <c r="A113" s="40">
        <v>45058</v>
      </c>
      <c r="B113" s="41">
        <v>376.45</v>
      </c>
      <c r="C113" s="52">
        <f>B112/B113-1</f>
        <v>1.5938371629700132E-3</v>
      </c>
      <c r="D113" s="43">
        <v>62027.9</v>
      </c>
      <c r="E113" s="52">
        <f>D112/D113-1</f>
        <v>-1.5696323751086205E-2</v>
      </c>
    </row>
    <row r="114" spans="1:5">
      <c r="A114" s="40">
        <v>45065</v>
      </c>
      <c r="B114" s="41">
        <v>374.3</v>
      </c>
      <c r="C114" s="52">
        <f>B113/B114-1</f>
        <v>5.7440555703980323E-3</v>
      </c>
      <c r="D114" s="43">
        <v>61729.68</v>
      </c>
      <c r="E114" s="52">
        <f>D113/D114-1</f>
        <v>4.8310634365835714E-3</v>
      </c>
    </row>
    <row r="115" spans="1:5">
      <c r="A115" s="40">
        <v>45072</v>
      </c>
      <c r="B115" s="41">
        <v>374.6</v>
      </c>
      <c r="C115" s="52">
        <f>B114/B115-1</f>
        <v>-8.0085424452747134E-4</v>
      </c>
      <c r="D115" s="43">
        <v>62501.69</v>
      </c>
      <c r="E115" s="52">
        <f>D114/D115-1</f>
        <v>-1.2351826006624766E-2</v>
      </c>
    </row>
    <row r="116" spans="1:5">
      <c r="A116" s="40">
        <v>45079</v>
      </c>
      <c r="B116" s="41">
        <v>371.7</v>
      </c>
      <c r="C116" s="52">
        <f>B115/B116-1</f>
        <v>7.8019908528383919E-3</v>
      </c>
      <c r="D116" s="43">
        <v>62547.11</v>
      </c>
      <c r="E116" s="52">
        <f>D115/D116-1</f>
        <v>-7.261726401107671E-4</v>
      </c>
    </row>
    <row r="117" spans="1:5">
      <c r="A117" s="40">
        <v>45086</v>
      </c>
      <c r="B117" s="41">
        <v>371.45</v>
      </c>
      <c r="C117" s="52">
        <f>B116/B117-1</f>
        <v>6.7303809395613534E-4</v>
      </c>
      <c r="D117" s="43">
        <v>62625.63</v>
      </c>
      <c r="E117" s="52">
        <f>D116/D117-1</f>
        <v>-1.2537997621739905E-3</v>
      </c>
    </row>
    <row r="118" spans="1:5">
      <c r="A118" s="40">
        <v>45093</v>
      </c>
      <c r="B118" s="41">
        <v>369.15</v>
      </c>
      <c r="C118" s="52">
        <f>B117/B118-1</f>
        <v>6.230529595015577E-3</v>
      </c>
      <c r="D118" s="43">
        <v>63384.58</v>
      </c>
      <c r="E118" s="52">
        <f>D117/D118-1</f>
        <v>-1.1973732412520643E-2</v>
      </c>
    </row>
    <row r="119" spans="1:5">
      <c r="A119" s="40">
        <v>45100</v>
      </c>
      <c r="B119" s="41">
        <v>370.55</v>
      </c>
      <c r="C119" s="52">
        <f>B118/B119-1</f>
        <v>-3.7781675887195165E-3</v>
      </c>
      <c r="D119" s="43">
        <v>62979.37</v>
      </c>
      <c r="E119" s="52">
        <f>D118/D119-1</f>
        <v>6.4340116454006946E-3</v>
      </c>
    </row>
    <row r="120" spans="1:5">
      <c r="A120" s="40">
        <v>45107</v>
      </c>
      <c r="B120" s="41">
        <v>374.25</v>
      </c>
      <c r="C120" s="52">
        <f>B119/B120-1</f>
        <v>-9.8864395457581855E-3</v>
      </c>
      <c r="D120" s="43">
        <v>64718.559999999998</v>
      </c>
      <c r="E120" s="52">
        <f>D119/D120-1</f>
        <v>-2.6873125730856762E-2</v>
      </c>
    </row>
    <row r="121" spans="1:5">
      <c r="A121" s="40">
        <v>45114</v>
      </c>
      <c r="B121" s="41">
        <v>382.8</v>
      </c>
      <c r="C121" s="52">
        <f>B120/B121-1</f>
        <v>-2.2335423197492155E-2</v>
      </c>
      <c r="D121" s="43">
        <v>65280.45</v>
      </c>
      <c r="E121" s="52">
        <f>D120/D121-1</f>
        <v>-8.6073242448543308E-3</v>
      </c>
    </row>
    <row r="122" spans="1:5">
      <c r="A122" s="40">
        <v>45121</v>
      </c>
      <c r="B122" s="41">
        <v>385.3</v>
      </c>
      <c r="C122" s="52">
        <f>B121/B122-1</f>
        <v>-6.4884505580067309E-3</v>
      </c>
      <c r="D122" s="43">
        <v>66060.899999999994</v>
      </c>
      <c r="E122" s="52">
        <f>D121/D122-1</f>
        <v>-1.1814098808826334E-2</v>
      </c>
    </row>
    <row r="123" spans="1:5">
      <c r="A123" s="40">
        <v>45128</v>
      </c>
      <c r="B123" s="41">
        <v>380.5</v>
      </c>
      <c r="C123" s="52">
        <f>B122/B123-1</f>
        <v>1.2614980289093358E-2</v>
      </c>
      <c r="D123" s="43">
        <v>66684.259999999995</v>
      </c>
      <c r="E123" s="52">
        <f>D122/D123-1</f>
        <v>-9.3479330804601135E-3</v>
      </c>
    </row>
    <row r="124" spans="1:5">
      <c r="A124" s="40">
        <v>45135</v>
      </c>
      <c r="B124" s="41">
        <v>384.1</v>
      </c>
      <c r="C124" s="52">
        <f>B123/B124-1</f>
        <v>-9.3725592293674165E-3</v>
      </c>
      <c r="D124" s="43">
        <v>66160.2</v>
      </c>
      <c r="E124" s="52">
        <f>D123/D124-1</f>
        <v>7.9210764175441373E-3</v>
      </c>
    </row>
    <row r="125" spans="1:5">
      <c r="A125" s="40">
        <v>45142</v>
      </c>
      <c r="B125" s="41">
        <v>395.6</v>
      </c>
      <c r="C125" s="52">
        <f>B124/B125-1</f>
        <v>-2.9069767441860517E-2</v>
      </c>
      <c r="D125" s="43">
        <v>65721.25</v>
      </c>
      <c r="E125" s="52">
        <f>D124/D125-1</f>
        <v>6.678966087833027E-3</v>
      </c>
    </row>
    <row r="126" spans="1:5">
      <c r="A126" s="40">
        <v>45149</v>
      </c>
      <c r="B126" s="41">
        <v>407</v>
      </c>
      <c r="C126" s="52">
        <f>B125/B126-1</f>
        <v>-2.8009828009827986E-2</v>
      </c>
      <c r="D126" s="43">
        <v>65322.65</v>
      </c>
      <c r="E126" s="52">
        <f>D125/D126-1</f>
        <v>6.102018212672089E-3</v>
      </c>
    </row>
    <row r="127" spans="1:5">
      <c r="A127" s="40">
        <v>45156</v>
      </c>
      <c r="B127" s="41">
        <v>405.85</v>
      </c>
      <c r="C127" s="52">
        <f>B126/B127-1</f>
        <v>2.8335591967474372E-3</v>
      </c>
      <c r="D127" s="43">
        <v>64948.66</v>
      </c>
      <c r="E127" s="52">
        <f>D126/D127-1</f>
        <v>5.7582404317502167E-3</v>
      </c>
    </row>
    <row r="128" spans="1:5">
      <c r="A128" s="40">
        <v>45163</v>
      </c>
      <c r="B128" s="41">
        <v>412.8</v>
      </c>
      <c r="C128" s="52">
        <f>B127/B128-1</f>
        <v>-1.6836240310077466E-2</v>
      </c>
      <c r="D128" s="43">
        <v>64886.51</v>
      </c>
      <c r="E128" s="52">
        <f>D127/D128-1</f>
        <v>9.5782621071771601E-4</v>
      </c>
    </row>
    <row r="129" spans="1:5">
      <c r="A129" s="40">
        <v>45170</v>
      </c>
      <c r="B129" s="41">
        <v>417.25</v>
      </c>
      <c r="C129" s="52">
        <f>B128/B129-1</f>
        <v>-1.0665068903535024E-2</v>
      </c>
      <c r="D129" s="43">
        <v>65387.16</v>
      </c>
      <c r="E129" s="52">
        <f>D128/D129-1</f>
        <v>-7.6567020191732338E-3</v>
      </c>
    </row>
    <row r="130" spans="1:5">
      <c r="A130" s="40">
        <v>45177</v>
      </c>
      <c r="B130" s="41">
        <v>437.4</v>
      </c>
      <c r="C130" s="52">
        <f>B129/B130-1</f>
        <v>-4.6067672610882404E-2</v>
      </c>
      <c r="D130" s="43">
        <v>66598.91</v>
      </c>
      <c r="E130" s="52">
        <f>D129/D130-1</f>
        <v>-1.8194742226261607E-2</v>
      </c>
    </row>
    <row r="131" spans="1:5">
      <c r="A131" s="40">
        <v>45184</v>
      </c>
      <c r="B131" s="41">
        <v>414.3</v>
      </c>
      <c r="C131" s="52">
        <f>B130/B131-1</f>
        <v>5.5756698044894915E-2</v>
      </c>
      <c r="D131" s="43">
        <v>67838.63</v>
      </c>
      <c r="E131" s="52">
        <f>D130/D131-1</f>
        <v>-1.8274543574951285E-2</v>
      </c>
    </row>
    <row r="132" spans="1:5">
      <c r="A132" s="40">
        <v>45191</v>
      </c>
      <c r="B132" s="41">
        <v>416.6</v>
      </c>
      <c r="C132" s="52">
        <f>B131/B132-1</f>
        <v>-5.5208833413346037E-3</v>
      </c>
      <c r="D132" s="43">
        <v>66009.149999999994</v>
      </c>
      <c r="E132" s="52">
        <f>D131/D132-1</f>
        <v>2.7715551556110274E-2</v>
      </c>
    </row>
    <row r="133" spans="1:5">
      <c r="A133" s="40">
        <v>45198</v>
      </c>
      <c r="B133" s="41">
        <v>416.8</v>
      </c>
      <c r="C133" s="52">
        <f>B132/B133-1</f>
        <v>-4.798464491362342E-4</v>
      </c>
      <c r="D133" s="43">
        <v>65828.41</v>
      </c>
      <c r="E133" s="52">
        <f>D132/D133-1</f>
        <v>2.7456230524174341E-3</v>
      </c>
    </row>
    <row r="134" spans="1:5">
      <c r="A134" s="40">
        <v>45205</v>
      </c>
      <c r="B134" s="41">
        <v>418.55</v>
      </c>
      <c r="C134" s="52">
        <f>B133/B134-1</f>
        <v>-4.1811014215744624E-3</v>
      </c>
      <c r="D134" s="43">
        <v>65995.63</v>
      </c>
      <c r="E134" s="52">
        <f>D133/D134-1</f>
        <v>-2.5338041321827376E-3</v>
      </c>
    </row>
    <row r="135" spans="1:5">
      <c r="A135" s="40">
        <v>45212</v>
      </c>
      <c r="B135" s="41">
        <v>427.3</v>
      </c>
      <c r="C135" s="52">
        <f>B134/B135-1</f>
        <v>-2.0477416335127563E-2</v>
      </c>
      <c r="D135" s="43">
        <v>66282.740000000005</v>
      </c>
      <c r="E135" s="52">
        <f>D134/D135-1</f>
        <v>-4.3315952237339417E-3</v>
      </c>
    </row>
    <row r="136" spans="1:5">
      <c r="A136" s="40">
        <v>45219</v>
      </c>
      <c r="B136" s="41">
        <v>421.35</v>
      </c>
      <c r="C136" s="52">
        <f>B135/B136-1</f>
        <v>1.412127684822595E-2</v>
      </c>
      <c r="D136" s="43">
        <v>65397.62</v>
      </c>
      <c r="E136" s="52">
        <f>D135/D136-1</f>
        <v>1.3534437491761864E-2</v>
      </c>
    </row>
    <row r="137" spans="1:5">
      <c r="A137" s="40">
        <v>45226</v>
      </c>
      <c r="B137" s="41">
        <v>441.9</v>
      </c>
      <c r="C137" s="52">
        <f>B136/B137-1</f>
        <v>-4.6503733876442577E-2</v>
      </c>
      <c r="D137" s="43">
        <v>63782.8</v>
      </c>
      <c r="E137" s="52">
        <f>D136/D137-1</f>
        <v>2.5317483710342037E-2</v>
      </c>
    </row>
    <row r="138" spans="1:5">
      <c r="A138" s="40">
        <v>45233</v>
      </c>
      <c r="B138" s="41">
        <v>400.25</v>
      </c>
      <c r="C138" s="52">
        <f>B137/B138-1</f>
        <v>0.10405996252342287</v>
      </c>
      <c r="D138" s="43">
        <v>64363.78</v>
      </c>
      <c r="E138" s="52">
        <f>D137/D138-1</f>
        <v>-9.0265052798328416E-3</v>
      </c>
    </row>
    <row r="139" spans="1:5">
      <c r="A139" s="40">
        <v>45240</v>
      </c>
      <c r="B139" s="41">
        <v>408.85</v>
      </c>
      <c r="C139" s="52">
        <f>B138/B139-1</f>
        <v>-2.1034609269903415E-2</v>
      </c>
      <c r="D139" s="43">
        <v>64904.68</v>
      </c>
      <c r="E139" s="52">
        <f>D138/D139-1</f>
        <v>-8.3337595994619207E-3</v>
      </c>
    </row>
    <row r="140" spans="1:5">
      <c r="A140" s="40">
        <v>45247</v>
      </c>
      <c r="B140" s="41">
        <v>425.45</v>
      </c>
      <c r="C140" s="52">
        <f>B139/B140-1</f>
        <v>-3.9017510870842598E-2</v>
      </c>
      <c r="D140" s="43">
        <v>65794.73</v>
      </c>
      <c r="E140" s="52">
        <f>D139/D140-1</f>
        <v>-1.3527679192543163E-2</v>
      </c>
    </row>
    <row r="141" spans="1:5">
      <c r="A141" s="40">
        <v>45254</v>
      </c>
      <c r="B141" s="41">
        <v>415.25</v>
      </c>
      <c r="C141" s="52">
        <f>B140/B141-1</f>
        <v>2.456351595424433E-2</v>
      </c>
      <c r="D141" s="43">
        <v>65970.039999999994</v>
      </c>
      <c r="E141" s="52">
        <f>D140/D141-1</f>
        <v>-2.6574184281228375E-3</v>
      </c>
    </row>
    <row r="142" spans="1:5">
      <c r="A142" s="40">
        <v>45261</v>
      </c>
      <c r="B142" s="41">
        <v>418.5</v>
      </c>
      <c r="C142" s="52">
        <f>B141/B142-1</f>
        <v>-7.7658303464754885E-3</v>
      </c>
      <c r="D142" s="43">
        <v>67481.19</v>
      </c>
      <c r="E142" s="52">
        <f>D141/D142-1</f>
        <v>-2.2393647770586278E-2</v>
      </c>
    </row>
    <row r="143" spans="1:5">
      <c r="A143" s="40">
        <v>45268</v>
      </c>
      <c r="B143" s="41">
        <v>419.45</v>
      </c>
      <c r="C143" s="52">
        <f>B142/B143-1</f>
        <v>-2.2648706639646354E-3</v>
      </c>
      <c r="D143" s="43">
        <v>69825.600000000006</v>
      </c>
      <c r="E143" s="52">
        <f>D142/D143-1</f>
        <v>-3.357522169519489E-2</v>
      </c>
    </row>
    <row r="144" spans="1:5">
      <c r="A144" s="40">
        <v>45275</v>
      </c>
      <c r="B144" s="41">
        <v>422.95</v>
      </c>
      <c r="C144" s="52">
        <f>B143/B144-1</f>
        <v>-8.2752098356779769E-3</v>
      </c>
      <c r="D144" s="43">
        <v>71483.75</v>
      </c>
      <c r="E144" s="52">
        <f>D143/D144-1</f>
        <v>-2.3196180950215917E-2</v>
      </c>
    </row>
    <row r="145" spans="1:5">
      <c r="A145" s="40">
        <v>45282</v>
      </c>
      <c r="B145" s="41">
        <v>416.15</v>
      </c>
      <c r="C145" s="52">
        <f>B144/B145-1</f>
        <v>1.634026192478677E-2</v>
      </c>
      <c r="D145" s="43">
        <v>71106.960000000006</v>
      </c>
      <c r="E145" s="52">
        <f>D144/D145-1</f>
        <v>5.2989186993790405E-3</v>
      </c>
    </row>
    <row r="146" spans="1:5">
      <c r="A146" s="40">
        <v>45289</v>
      </c>
      <c r="B146" s="41">
        <v>406.9</v>
      </c>
      <c r="C146" s="52">
        <f>B145/B146-1</f>
        <v>2.2732858196117034E-2</v>
      </c>
      <c r="D146" s="43">
        <v>72240.259999999995</v>
      </c>
      <c r="E146" s="52">
        <f>D145/D146-1</f>
        <v>-1.5687928033481402E-2</v>
      </c>
    </row>
    <row r="147" spans="1:5">
      <c r="A147" s="40">
        <v>45296</v>
      </c>
      <c r="B147" s="41">
        <v>445.7</v>
      </c>
      <c r="C147" s="52">
        <f>B146/B147-1</f>
        <v>-8.7054072245905334E-2</v>
      </c>
      <c r="D147" s="43">
        <v>72026.149999999994</v>
      </c>
      <c r="E147" s="52">
        <f>D146/D147-1</f>
        <v>2.9726703426464773E-3</v>
      </c>
    </row>
    <row r="148" spans="1:5">
      <c r="A148" s="40">
        <v>45303</v>
      </c>
      <c r="B148" s="41">
        <v>459.25</v>
      </c>
      <c r="C148" s="52">
        <f>B147/B148-1</f>
        <v>-2.9504627109417592E-2</v>
      </c>
      <c r="D148" s="43">
        <v>72568.45</v>
      </c>
      <c r="E148" s="52">
        <f>D147/D148-1</f>
        <v>-7.4729445096319846E-3</v>
      </c>
    </row>
    <row r="149" spans="1:5">
      <c r="A149" s="40">
        <v>45311</v>
      </c>
      <c r="B149" s="41">
        <v>454.95</v>
      </c>
      <c r="C149" s="52">
        <f>B148/B149-1</f>
        <v>9.4515880866028468E-3</v>
      </c>
      <c r="D149" s="43">
        <v>71423.649999999994</v>
      </c>
      <c r="E149" s="52">
        <f>D148/D149-1</f>
        <v>1.6028304350169664E-2</v>
      </c>
    </row>
    <row r="150" spans="1:5">
      <c r="A150" s="40">
        <v>45316</v>
      </c>
      <c r="B150" s="41">
        <v>453.3</v>
      </c>
      <c r="C150" s="52">
        <f>B149/B150-1</f>
        <v>3.6399735274652567E-3</v>
      </c>
      <c r="D150" s="43">
        <v>70700.67</v>
      </c>
      <c r="E150" s="52">
        <f>D149/D150-1</f>
        <v>1.0225928552020758E-2</v>
      </c>
    </row>
    <row r="151" spans="1:5">
      <c r="A151" s="40">
        <v>45324</v>
      </c>
      <c r="B151" s="41">
        <v>466.1</v>
      </c>
      <c r="C151" s="52">
        <f>B150/B151-1</f>
        <v>-2.7461918043338307E-2</v>
      </c>
      <c r="D151" s="43">
        <v>72085.63</v>
      </c>
      <c r="E151" s="52">
        <f>D150/D151-1</f>
        <v>-1.9212705777836847E-2</v>
      </c>
    </row>
    <row r="152" spans="1:5">
      <c r="A152" s="40">
        <v>45331</v>
      </c>
      <c r="B152" s="41">
        <v>516.79999999999995</v>
      </c>
      <c r="C152" s="52">
        <f>B151/B152-1</f>
        <v>-9.8103715170278494E-2</v>
      </c>
      <c r="D152" s="43">
        <v>71595.490000000005</v>
      </c>
      <c r="E152" s="52">
        <f>D151/D152-1</f>
        <v>6.8459619453682397E-3</v>
      </c>
    </row>
    <row r="153" spans="1:5">
      <c r="A153" s="40">
        <v>45338</v>
      </c>
      <c r="B153" s="41">
        <v>550.1</v>
      </c>
      <c r="C153" s="52">
        <f>B152/B153-1</f>
        <v>-6.0534448282130615E-2</v>
      </c>
      <c r="D153" s="43">
        <v>72426.64</v>
      </c>
      <c r="E153" s="52">
        <f>D152/D153-1</f>
        <v>-1.1475749806977076E-2</v>
      </c>
    </row>
    <row r="154" spans="1:5">
      <c r="A154" s="40">
        <v>45345</v>
      </c>
      <c r="B154" s="41">
        <v>540.1</v>
      </c>
      <c r="C154" s="52">
        <f>B153/B154-1</f>
        <v>1.8515089798185613E-2</v>
      </c>
      <c r="D154" s="43">
        <v>73142.8</v>
      </c>
      <c r="E154" s="52">
        <f>D153/D154-1</f>
        <v>-9.7912576494201264E-3</v>
      </c>
    </row>
    <row r="155" spans="1:5">
      <c r="A155" s="40">
        <v>45353</v>
      </c>
      <c r="B155" s="41">
        <v>525.1</v>
      </c>
      <c r="C155" s="52">
        <f>B154/B155-1</f>
        <v>2.8565987430965611E-2</v>
      </c>
      <c r="D155" s="43">
        <v>73806.149999999994</v>
      </c>
      <c r="E155" s="52">
        <f>D154/D155-1</f>
        <v>-8.987733407039844E-3</v>
      </c>
    </row>
    <row r="156" spans="1:5">
      <c r="A156" s="40">
        <v>45358</v>
      </c>
      <c r="B156" s="41">
        <v>516.75</v>
      </c>
      <c r="C156" s="52">
        <f>B155/B156-1</f>
        <v>1.6158684083212416E-2</v>
      </c>
      <c r="D156" s="43">
        <v>74119.39</v>
      </c>
      <c r="E156" s="52">
        <f>D155/D156-1</f>
        <v>-4.2261545865394101E-3</v>
      </c>
    </row>
    <row r="157" spans="1:5">
      <c r="A157" s="40">
        <v>45366</v>
      </c>
      <c r="B157" s="41">
        <v>521.4</v>
      </c>
      <c r="C157" s="52">
        <f>B156/B157-1</f>
        <v>-8.9182968929804041E-3</v>
      </c>
      <c r="D157" s="43">
        <v>72643.429999999993</v>
      </c>
      <c r="E157" s="52">
        <f>D156/D157-1</f>
        <v>2.0317873206152415E-2</v>
      </c>
    </row>
    <row r="158" spans="1:5">
      <c r="A158" s="40">
        <v>45373</v>
      </c>
      <c r="B158" s="41">
        <v>495.2</v>
      </c>
      <c r="C158" s="52">
        <f>B157/B158-1</f>
        <v>5.2907915993537946E-2</v>
      </c>
      <c r="D158" s="43">
        <v>72831.94</v>
      </c>
      <c r="E158" s="52">
        <f>D157/D158-1</f>
        <v>-2.5882875013354401E-3</v>
      </c>
    </row>
    <row r="159" spans="1:5">
      <c r="A159" s="40">
        <v>45379</v>
      </c>
      <c r="B159" s="41">
        <v>488.5</v>
      </c>
      <c r="C159" s="52">
        <f>B158/B159-1</f>
        <v>1.3715455475946658E-2</v>
      </c>
      <c r="D159" s="43">
        <v>73651.350000000006</v>
      </c>
      <c r="E159" s="52">
        <f>D158/D159-1</f>
        <v>-1.1125525872913489E-2</v>
      </c>
    </row>
    <row r="160" spans="1:5">
      <c r="A160" s="40">
        <v>45387</v>
      </c>
      <c r="B160" s="41">
        <v>547.15</v>
      </c>
      <c r="C160" s="52">
        <f>B159/B160-1</f>
        <v>-0.10719181211733519</v>
      </c>
      <c r="D160" s="43">
        <v>74248.22</v>
      </c>
      <c r="E160" s="52">
        <f>D159/D160-1</f>
        <v>-8.0388459144205004E-3</v>
      </c>
    </row>
    <row r="161" spans="1:5">
      <c r="A161" s="40">
        <v>45394</v>
      </c>
      <c r="B161" s="41">
        <v>541.54999999999995</v>
      </c>
      <c r="C161" s="52">
        <f>B160/B161-1</f>
        <v>1.0340688763733841E-2</v>
      </c>
      <c r="D161" s="43">
        <v>74244.899999999994</v>
      </c>
      <c r="E161" s="52">
        <f>D160/D161-1</f>
        <v>4.4716876176131848E-5</v>
      </c>
    </row>
    <row r="162" spans="1:5">
      <c r="A162" s="40">
        <v>45401</v>
      </c>
      <c r="B162" s="41">
        <v>577.79999999999995</v>
      </c>
      <c r="C162" s="52">
        <f>B161/B162-1</f>
        <v>-6.2737971616476318E-2</v>
      </c>
      <c r="D162" s="43">
        <v>73088.33</v>
      </c>
      <c r="E162" s="52">
        <f>D161/D162-1</f>
        <v>1.5824277282022958E-2</v>
      </c>
    </row>
    <row r="163" spans="1:5">
      <c r="A163" s="40">
        <v>45408</v>
      </c>
      <c r="B163" s="41">
        <v>592.79999999999995</v>
      </c>
      <c r="C163" s="52">
        <f>B162/B163-1</f>
        <v>-2.5303643724696401E-2</v>
      </c>
      <c r="D163" s="43">
        <v>73730.16</v>
      </c>
      <c r="E163" s="52">
        <f>D162/D163-1</f>
        <v>-8.7051214862412518E-3</v>
      </c>
    </row>
    <row r="164" spans="1:5">
      <c r="A164" s="40">
        <v>45415</v>
      </c>
      <c r="B164" s="41">
        <v>600.95000000000005</v>
      </c>
      <c r="C164" s="52">
        <f>B163/B164-1</f>
        <v>-1.356186038771956E-2</v>
      </c>
      <c r="D164" s="43">
        <v>73878.149999999994</v>
      </c>
      <c r="E164" s="52">
        <f>D163/D164-1</f>
        <v>-2.0031633168939855E-3</v>
      </c>
    </row>
    <row r="165" spans="1:5">
      <c r="A165" s="40">
        <v>45422</v>
      </c>
      <c r="B165" s="41">
        <v>566.1</v>
      </c>
      <c r="C165" s="52">
        <f>B164/B165-1</f>
        <v>6.1561561561561673E-2</v>
      </c>
      <c r="D165" s="43">
        <v>72664.47</v>
      </c>
      <c r="E165" s="52">
        <f>D164/D165-1</f>
        <v>1.6702523255175405E-2</v>
      </c>
    </row>
    <row r="166" spans="1:5">
      <c r="A166" s="40">
        <v>45430</v>
      </c>
      <c r="B166" s="41">
        <v>557.79999999999995</v>
      </c>
      <c r="C166" s="52">
        <f>B165/B166-1</f>
        <v>1.4879885263535453E-2</v>
      </c>
      <c r="D166" s="43">
        <v>74005.94</v>
      </c>
      <c r="E166" s="52">
        <f>D165/D166-1</f>
        <v>-1.8126517952477883E-2</v>
      </c>
    </row>
    <row r="167" spans="1:5">
      <c r="A167" s="40">
        <v>45436</v>
      </c>
      <c r="B167" s="41">
        <v>554.1</v>
      </c>
      <c r="C167" s="52">
        <f>B166/B167-1</f>
        <v>6.6774950369967723E-3</v>
      </c>
      <c r="D167" s="43">
        <v>75410.39</v>
      </c>
      <c r="E167" s="52">
        <f>D166/D167-1</f>
        <v>-1.8624091454771619E-2</v>
      </c>
    </row>
    <row r="168" spans="1:5">
      <c r="A168" s="40">
        <v>45443</v>
      </c>
      <c r="B168" s="41">
        <v>542.1</v>
      </c>
      <c r="C168" s="52">
        <f>B167/B168-1</f>
        <v>2.2136137244050946E-2</v>
      </c>
      <c r="D168" s="43">
        <v>73961.31</v>
      </c>
      <c r="E168" s="52">
        <f>D167/D168-1</f>
        <v>1.959240581325572E-2</v>
      </c>
    </row>
    <row r="169" spans="1:5">
      <c r="A169" s="40">
        <v>45450</v>
      </c>
      <c r="B169" s="41">
        <v>544.85</v>
      </c>
      <c r="C169" s="52">
        <f>B168/B169-1</f>
        <v>-5.0472607139580017E-3</v>
      </c>
      <c r="D169" s="43">
        <v>76693.36</v>
      </c>
      <c r="E169" s="52">
        <f>D168/D169-1</f>
        <v>-3.5623031772242131E-2</v>
      </c>
    </row>
    <row r="170" spans="1:5">
      <c r="A170" s="40">
        <v>45457</v>
      </c>
      <c r="B170" s="41">
        <v>550.1</v>
      </c>
      <c r="C170" s="52">
        <f>B169/B170-1</f>
        <v>-9.5437193237593032E-3</v>
      </c>
      <c r="D170" s="43">
        <v>76992.77</v>
      </c>
      <c r="E170" s="52">
        <f>D169/D170-1</f>
        <v>-3.8888067022397887E-3</v>
      </c>
    </row>
    <row r="171" spans="1:5">
      <c r="A171" s="40">
        <v>45464</v>
      </c>
      <c r="B171" s="41">
        <v>535.29999999999995</v>
      </c>
      <c r="C171" s="52">
        <f>B170/B171-1</f>
        <v>2.764804782365049E-2</v>
      </c>
      <c r="D171" s="43">
        <v>77209.899999999994</v>
      </c>
      <c r="E171" s="52">
        <f>D170/D171-1</f>
        <v>-2.8122041344437188E-3</v>
      </c>
    </row>
    <row r="172" spans="1:5">
      <c r="A172" s="40">
        <v>45471</v>
      </c>
      <c r="B172" s="41">
        <v>531.95000000000005</v>
      </c>
      <c r="C172" s="52">
        <f>B171/B172-1</f>
        <v>6.2975843594321734E-3</v>
      </c>
      <c r="D172" s="43">
        <v>79032.73</v>
      </c>
      <c r="E172" s="52">
        <f>D171/D172-1</f>
        <v>-2.3064241865363933E-2</v>
      </c>
    </row>
    <row r="173" spans="1:5">
      <c r="A173" s="40">
        <v>45478</v>
      </c>
      <c r="B173" s="41">
        <v>534.70000000000005</v>
      </c>
      <c r="C173" s="52">
        <f>B172/B173-1</f>
        <v>-5.1430708808677394E-3</v>
      </c>
      <c r="D173" s="43">
        <v>79996.600000000006</v>
      </c>
      <c r="E173" s="52">
        <f>D172/D173-1</f>
        <v>-1.2048887077700909E-2</v>
      </c>
    </row>
    <row r="174" spans="1:5">
      <c r="A174" s="40">
        <v>45485</v>
      </c>
      <c r="B174" s="41">
        <v>531.04999999999995</v>
      </c>
      <c r="C174" s="52">
        <f>B173/B174-1</f>
        <v>6.8731757838247365E-3</v>
      </c>
      <c r="D174" s="43">
        <v>80519.34</v>
      </c>
      <c r="E174" s="52">
        <f>D173/D174-1</f>
        <v>-6.4921048781571011E-3</v>
      </c>
    </row>
    <row r="175" spans="1:5">
      <c r="A175" s="40">
        <v>45492</v>
      </c>
      <c r="B175" s="41">
        <v>519.45000000000005</v>
      </c>
      <c r="C175" s="52">
        <f>B174/B175-1</f>
        <v>2.2331311964577827E-2</v>
      </c>
      <c r="D175" s="43">
        <v>80604.649999999994</v>
      </c>
      <c r="E175" s="52">
        <f>D174/D175-1</f>
        <v>-1.0583756644312325E-3</v>
      </c>
    </row>
    <row r="176" spans="1:5">
      <c r="A176" s="40">
        <v>45499</v>
      </c>
      <c r="B176" s="41">
        <v>540.35</v>
      </c>
      <c r="C176" s="52">
        <f>B175/B176-1</f>
        <v>-3.8678634218561991E-2</v>
      </c>
      <c r="D176" s="43">
        <v>81332.72</v>
      </c>
      <c r="E176" s="52">
        <f>D175/D176-1</f>
        <v>-8.9517478328525746E-3</v>
      </c>
    </row>
    <row r="177" spans="1:5">
      <c r="A177" s="40">
        <v>45506</v>
      </c>
      <c r="B177" s="41">
        <v>580.54999999999995</v>
      </c>
      <c r="C177" s="52">
        <f>B176/B177-1</f>
        <v>-6.9244681767289484E-2</v>
      </c>
      <c r="D177" s="43">
        <v>80981.95</v>
      </c>
      <c r="E177" s="52">
        <f>D176/D177-1</f>
        <v>4.3314590473557679E-3</v>
      </c>
    </row>
    <row r="178" spans="1:5">
      <c r="A178" s="40">
        <v>45513</v>
      </c>
      <c r="B178" s="41">
        <v>558.35</v>
      </c>
      <c r="C178" s="52">
        <f>B177/B178-1</f>
        <v>3.9760007163965216E-2</v>
      </c>
      <c r="D178" s="43">
        <v>79705.91</v>
      </c>
      <c r="E178" s="52">
        <f>D177/D178-1</f>
        <v>1.6009352380519815E-2</v>
      </c>
    </row>
    <row r="179" spans="1:5">
      <c r="A179" s="40">
        <v>45520</v>
      </c>
      <c r="B179" s="41">
        <v>565.35</v>
      </c>
      <c r="C179" s="52">
        <f>B178/B179-1</f>
        <v>-1.2381710444857141E-2</v>
      </c>
      <c r="D179" s="43">
        <v>80436.84</v>
      </c>
      <c r="E179" s="52">
        <f>D178/D179-1</f>
        <v>-9.0870054069751571E-3</v>
      </c>
    </row>
    <row r="180" spans="1:5">
      <c r="A180" s="40">
        <v>45527</v>
      </c>
      <c r="B180" s="41">
        <v>596.20000000000005</v>
      </c>
      <c r="C180" s="52">
        <f>B179/B180-1</f>
        <v>-5.1744381080174429E-2</v>
      </c>
      <c r="D180" s="43">
        <v>81086.210000000006</v>
      </c>
      <c r="E180" s="52">
        <f>D179/D180-1</f>
        <v>-8.0083900826047882E-3</v>
      </c>
    </row>
    <row r="181" spans="1:5">
      <c r="A181" s="40">
        <v>45534</v>
      </c>
      <c r="B181" s="41">
        <v>578.65</v>
      </c>
      <c r="C181" s="52">
        <f>B180/B181-1</f>
        <v>3.0329214551110484E-2</v>
      </c>
      <c r="D181" s="43">
        <v>82365.77</v>
      </c>
      <c r="E181" s="52">
        <f>D180/D181-1</f>
        <v>-1.5535094250924808E-2</v>
      </c>
    </row>
    <row r="182" spans="1:5">
      <c r="A182" s="40">
        <v>45541</v>
      </c>
      <c r="B182" s="41">
        <v>572.54999999999995</v>
      </c>
      <c r="C182" s="52">
        <f>B181/B182-1</f>
        <v>1.0654091345734029E-2</v>
      </c>
      <c r="D182" s="43">
        <v>81183.929999999993</v>
      </c>
      <c r="E182" s="52">
        <f>D181/D182-1</f>
        <v>1.4557560837471284E-2</v>
      </c>
    </row>
    <row r="183" spans="1:5">
      <c r="A183" s="40">
        <v>45548</v>
      </c>
      <c r="B183" s="41">
        <v>655.65</v>
      </c>
      <c r="C183" s="52">
        <f>B182/B183-1</f>
        <v>-0.12674445207046448</v>
      </c>
      <c r="D183" s="43">
        <v>82890.94</v>
      </c>
      <c r="E183" s="52">
        <f>D182/D183-1</f>
        <v>-2.0593444832451069E-2</v>
      </c>
    </row>
    <row r="184" spans="1:5">
      <c r="A184" s="40">
        <v>45555</v>
      </c>
      <c r="B184" s="41">
        <v>644.75</v>
      </c>
      <c r="C184" s="52">
        <f>B183/B184-1</f>
        <v>1.6905777433113611E-2</v>
      </c>
      <c r="D184" s="43">
        <v>84544.31</v>
      </c>
      <c r="E184" s="52">
        <f>D183/D184-1</f>
        <v>-1.9556253992728756E-2</v>
      </c>
    </row>
    <row r="185" spans="1:5">
      <c r="A185" s="40">
        <v>45562</v>
      </c>
      <c r="B185" s="41">
        <v>645.95000000000005</v>
      </c>
      <c r="C185" s="52">
        <f>B184/B185-1</f>
        <v>-1.8577289263875807E-3</v>
      </c>
      <c r="D185" s="43">
        <v>85571.85</v>
      </c>
      <c r="E185" s="52">
        <f>D184/D185-1</f>
        <v>-1.2007920829104513E-2</v>
      </c>
    </row>
    <row r="186" spans="1:5">
      <c r="A186" s="40">
        <v>45569</v>
      </c>
      <c r="B186" s="41">
        <v>635.1</v>
      </c>
      <c r="C186" s="52">
        <f>B185/B186-1</f>
        <v>1.708392379152901E-2</v>
      </c>
      <c r="D186" s="43">
        <v>81688.45</v>
      </c>
      <c r="E186" s="52">
        <f>D185/D186-1</f>
        <v>4.7539156392366388E-2</v>
      </c>
    </row>
    <row r="187" spans="1:5">
      <c r="A187" s="40">
        <v>45576</v>
      </c>
      <c r="B187" s="41">
        <v>708.85</v>
      </c>
      <c r="C187" s="52">
        <f>B186/B187-1</f>
        <v>-0.10404175777668057</v>
      </c>
      <c r="D187" s="43">
        <v>81381.36</v>
      </c>
      <c r="E187" s="52">
        <f>D186/D187-1</f>
        <v>3.7734685190808914E-3</v>
      </c>
    </row>
    <row r="188" spans="1:5">
      <c r="A188" s="40">
        <v>45583</v>
      </c>
      <c r="B188" s="41">
        <v>729.95</v>
      </c>
      <c r="C188" s="52">
        <f>B187/B188-1</f>
        <v>-2.8906089458182072E-2</v>
      </c>
      <c r="D188" s="43">
        <v>81224.75</v>
      </c>
      <c r="E188" s="52">
        <f>D187/D188-1</f>
        <v>1.9281068886023434E-3</v>
      </c>
    </row>
    <row r="189" spans="1:5">
      <c r="A189" s="40">
        <v>45590</v>
      </c>
      <c r="B189" s="41">
        <v>766.15</v>
      </c>
      <c r="C189" s="52">
        <f>B188/B189-1</f>
        <v>-4.72492331788813E-2</v>
      </c>
      <c r="D189" s="43">
        <v>79402.289999999994</v>
      </c>
      <c r="E189" s="52">
        <f>D188/D189-1</f>
        <v>2.2952234752927181E-2</v>
      </c>
    </row>
    <row r="190" spans="1:5">
      <c r="A190" s="40">
        <v>45597</v>
      </c>
      <c r="B190" s="41">
        <v>857.35</v>
      </c>
      <c r="C190" s="52">
        <f>B189/B190-1</f>
        <v>-0.10637429287922096</v>
      </c>
      <c r="D190" s="43">
        <v>79724.12</v>
      </c>
      <c r="E190" s="52">
        <f>D189/D190-1</f>
        <v>-4.0367958906288859E-3</v>
      </c>
    </row>
    <row r="191" spans="1:5">
      <c r="A191" s="40">
        <v>45604</v>
      </c>
      <c r="B191" s="41">
        <v>900.55</v>
      </c>
      <c r="C191" s="52">
        <f>B190/B191-1</f>
        <v>-4.797068458164444E-2</v>
      </c>
      <c r="D191" s="43">
        <v>79486.320000000007</v>
      </c>
      <c r="E191" s="52">
        <f>D190/D191-1</f>
        <v>2.9917097684228899E-3</v>
      </c>
    </row>
    <row r="192" spans="1:5">
      <c r="A192" s="40">
        <v>45610</v>
      </c>
      <c r="B192" s="41">
        <v>894.7</v>
      </c>
      <c r="C192" s="52">
        <f>B191/B192-1</f>
        <v>6.5385045266568298E-3</v>
      </c>
      <c r="D192" s="43">
        <v>77580.31</v>
      </c>
      <c r="E192" s="52">
        <f>D191/D192-1</f>
        <v>2.4568218404902087E-2</v>
      </c>
    </row>
    <row r="193" spans="1:5">
      <c r="A193" s="40">
        <v>45618</v>
      </c>
      <c r="B193" s="41">
        <v>856.1</v>
      </c>
      <c r="C193" s="52">
        <f>B192/B193-1</f>
        <v>4.5088190631935587E-2</v>
      </c>
      <c r="D193" s="43">
        <v>79117.11</v>
      </c>
      <c r="E193" s="52">
        <f>D192/D193-1</f>
        <v>-1.9424369772859551E-2</v>
      </c>
    </row>
    <row r="194" spans="1:5">
      <c r="A194" s="40">
        <v>45625</v>
      </c>
      <c r="B194" s="41">
        <v>839.9</v>
      </c>
      <c r="C194" s="52">
        <f>B193/B194-1</f>
        <v>1.9288010477437778E-2</v>
      </c>
      <c r="D194" s="43">
        <v>79802.789999999994</v>
      </c>
      <c r="E194" s="52">
        <f>D193/D194-1</f>
        <v>-8.592180799693705E-3</v>
      </c>
    </row>
    <row r="195" spans="1:5">
      <c r="A195" s="40">
        <v>45632</v>
      </c>
      <c r="B195" s="41">
        <v>771.95</v>
      </c>
      <c r="C195" s="52">
        <f>B194/B195-1</f>
        <v>8.8023835740656642E-2</v>
      </c>
      <c r="D195" s="43">
        <v>81709.119999999995</v>
      </c>
      <c r="E195" s="52">
        <f>D194/D195-1</f>
        <v>-2.3330688177770176E-2</v>
      </c>
    </row>
    <row r="196" spans="1:5">
      <c r="A196" s="40">
        <v>45639</v>
      </c>
      <c r="B196" s="41">
        <v>782.5</v>
      </c>
      <c r="C196" s="52">
        <f>B195/B196-1</f>
        <v>-1.3482428115015876E-2</v>
      </c>
      <c r="D196" s="43">
        <v>82133.119999999995</v>
      </c>
      <c r="E196" s="52">
        <f>D195/D196-1</f>
        <v>-5.162351071041793E-3</v>
      </c>
    </row>
    <row r="197" spans="1:5">
      <c r="A197" s="40">
        <v>45646</v>
      </c>
      <c r="B197" s="41">
        <v>718.2</v>
      </c>
      <c r="C197" s="52">
        <f>B196/B197-1</f>
        <v>8.9529379003063125E-2</v>
      </c>
      <c r="D197" s="43">
        <v>78041.59</v>
      </c>
      <c r="E197" s="52">
        <f>D196/D197-1</f>
        <v>5.2427558177633227E-2</v>
      </c>
    </row>
    <row r="198" spans="1:5">
      <c r="A198" s="40">
        <v>45653</v>
      </c>
      <c r="B198" s="41">
        <v>718.8</v>
      </c>
      <c r="C198" s="52">
        <f>B197/B198-1</f>
        <v>-8.3472454090138815E-4</v>
      </c>
      <c r="D198" s="43">
        <v>78699.070000000007</v>
      </c>
      <c r="E198" s="52">
        <f>D197/D198-1</f>
        <v>-8.3543553945428783E-3</v>
      </c>
    </row>
    <row r="199" spans="1:5">
      <c r="A199" s="40">
        <v>45660</v>
      </c>
      <c r="B199" s="41">
        <v>724.5</v>
      </c>
      <c r="C199" s="52">
        <f>B198/B199-1</f>
        <v>-7.8674948240166076E-3</v>
      </c>
      <c r="D199" s="43">
        <v>79223.11</v>
      </c>
      <c r="E199" s="52">
        <f>D198/D199-1</f>
        <v>-6.6147365333170116E-3</v>
      </c>
    </row>
    <row r="200" spans="1:5">
      <c r="A200" s="40">
        <v>45667</v>
      </c>
      <c r="B200" s="41">
        <v>689.85</v>
      </c>
      <c r="C200" s="52">
        <f>B199/B200-1</f>
        <v>5.0228310502283158E-2</v>
      </c>
      <c r="D200" s="43">
        <v>77378.91</v>
      </c>
      <c r="E200" s="52">
        <f>D199/D200-1</f>
        <v>2.3833367515774029E-2</v>
      </c>
    </row>
    <row r="201" spans="1:5">
      <c r="A201" s="40">
        <v>45674</v>
      </c>
      <c r="B201" s="41">
        <v>707.65</v>
      </c>
      <c r="C201" s="52">
        <f>B200/B201-1</f>
        <v>-2.5153677665512575E-2</v>
      </c>
      <c r="D201" s="43">
        <v>76619.33</v>
      </c>
      <c r="E201" s="52">
        <f>D200/D201-1</f>
        <v>9.9136862721196373E-3</v>
      </c>
    </row>
    <row r="202" spans="1:5">
      <c r="A202" s="40">
        <v>45681</v>
      </c>
      <c r="B202" s="41">
        <v>731.2</v>
      </c>
      <c r="C202" s="52">
        <f>B201/B202-1</f>
        <v>-3.2207330415754964E-2</v>
      </c>
      <c r="D202" s="43">
        <v>76190.460000000006</v>
      </c>
      <c r="E202" s="52">
        <f>D201/D202-1</f>
        <v>5.6289199461454498E-3</v>
      </c>
    </row>
    <row r="203" spans="1:5">
      <c r="A203" s="40">
        <v>45689</v>
      </c>
      <c r="B203" s="41">
        <v>743.75</v>
      </c>
      <c r="C203" s="52">
        <f>B202/B203-1</f>
        <v>-1.6873949579831904E-2</v>
      </c>
      <c r="D203" s="43">
        <v>77505.960000000006</v>
      </c>
      <c r="E203" s="52">
        <f>D202/D203-1</f>
        <v>-1.6972888278527276E-2</v>
      </c>
    </row>
    <row r="204" spans="1:5">
      <c r="A204" s="40">
        <v>45695</v>
      </c>
      <c r="B204" s="41">
        <v>729.7</v>
      </c>
      <c r="C204" s="52">
        <f>B203/B204-1</f>
        <v>1.9254488145813209E-2</v>
      </c>
      <c r="D204" s="43">
        <v>77860.19</v>
      </c>
      <c r="E204" s="52">
        <f>D203/D204-1</f>
        <v>-4.5495650601417026E-3</v>
      </c>
    </row>
    <row r="205" spans="1:5">
      <c r="A205" s="40">
        <v>45702</v>
      </c>
      <c r="B205" s="41">
        <v>686.25</v>
      </c>
      <c r="C205" s="52">
        <f>B204/B205-1</f>
        <v>6.3315118397085701E-2</v>
      </c>
      <c r="D205" s="43">
        <v>75939.210000000006</v>
      </c>
      <c r="E205" s="52">
        <f>D204/D205-1</f>
        <v>2.5296286332185947E-2</v>
      </c>
    </row>
    <row r="206" spans="1:5">
      <c r="A206" s="40">
        <v>45709</v>
      </c>
      <c r="B206" s="41">
        <v>688.2</v>
      </c>
      <c r="C206" s="52">
        <f>B205/B206-1</f>
        <v>-2.8334786399303313E-3</v>
      </c>
      <c r="D206" s="43">
        <v>75311.06</v>
      </c>
      <c r="E206" s="52">
        <f>D205/D206-1</f>
        <v>8.3407403905881861E-3</v>
      </c>
    </row>
    <row r="207" spans="1:5">
      <c r="A207" s="40">
        <v>45716</v>
      </c>
      <c r="B207" s="41">
        <v>606.79999999999995</v>
      </c>
      <c r="C207" s="52">
        <f>B206/B207-1</f>
        <v>0.13414634146341475</v>
      </c>
      <c r="D207" s="43">
        <v>73198.100000000006</v>
      </c>
      <c r="E207" s="52">
        <f>D206/D207-1</f>
        <v>2.8866323032974872E-2</v>
      </c>
    </row>
    <row r="208" spans="1:5">
      <c r="A208" s="40">
        <v>45723</v>
      </c>
      <c r="B208" s="41">
        <v>685.45</v>
      </c>
      <c r="C208" s="52">
        <f>B207/B208-1</f>
        <v>-0.11474214019986884</v>
      </c>
      <c r="D208" s="43">
        <v>74332.58</v>
      </c>
      <c r="E208" s="52">
        <f>D207/D208-1</f>
        <v>-1.5262217455656701E-2</v>
      </c>
    </row>
    <row r="209" spans="1:5">
      <c r="A209" s="40">
        <v>45729</v>
      </c>
      <c r="B209" s="41">
        <v>639.65</v>
      </c>
      <c r="C209" s="52">
        <f>B208/B209-1</f>
        <v>7.1601657156257437E-2</v>
      </c>
      <c r="D209" s="43">
        <v>73828.91</v>
      </c>
      <c r="E209" s="52">
        <f>D208/D209-1</f>
        <v>6.8221242870847298E-3</v>
      </c>
    </row>
    <row r="210" spans="1:5">
      <c r="A210" s="40">
        <v>45737</v>
      </c>
      <c r="B210" s="41">
        <v>710.2</v>
      </c>
      <c r="C210" s="52">
        <f>B209/B210-1</f>
        <v>-9.9338214587440299E-2</v>
      </c>
      <c r="D210" s="43">
        <v>76905.509999999995</v>
      </c>
      <c r="E210" s="52">
        <f>D209/D210-1</f>
        <v>-4.0004935927217544E-2</v>
      </c>
    </row>
    <row r="211" spans="1:5">
      <c r="A211" s="40">
        <v>45744</v>
      </c>
      <c r="B211" s="41">
        <v>692.8</v>
      </c>
      <c r="C211" s="52">
        <f>B210/B211-1</f>
        <v>2.511547344110876E-2</v>
      </c>
      <c r="D211" s="43">
        <v>77414.92</v>
      </c>
      <c r="E211" s="52">
        <f>D210/D211-1</f>
        <v>-6.5802561056705899E-3</v>
      </c>
    </row>
    <row r="212" spans="1:5">
      <c r="A212" s="40">
        <v>45751</v>
      </c>
      <c r="B212" s="41">
        <v>660.4</v>
      </c>
      <c r="C212" s="52">
        <f>B211/B212-1</f>
        <v>4.9061175045427063E-2</v>
      </c>
      <c r="D212" s="43">
        <v>75364.69</v>
      </c>
      <c r="E212" s="52">
        <f>D211/D212-1</f>
        <v>2.7204119064246024E-2</v>
      </c>
    </row>
    <row r="213" spans="1:5">
      <c r="A213" s="40">
        <v>45758</v>
      </c>
      <c r="B213" s="41">
        <v>568.35</v>
      </c>
      <c r="C213" s="52">
        <f>B212/B213-1</f>
        <v>0.16196005982229256</v>
      </c>
      <c r="D213" s="43">
        <v>75157.259999999995</v>
      </c>
      <c r="E213" s="52">
        <f>D212/D213-1</f>
        <v>2.7599462779777095E-3</v>
      </c>
    </row>
    <row r="214" spans="1:5">
      <c r="A214" s="40">
        <v>45764</v>
      </c>
      <c r="B214" s="41">
        <v>614.35</v>
      </c>
      <c r="C214" s="52">
        <f>B213/B214-1</f>
        <v>-7.4875885081793769E-2</v>
      </c>
      <c r="D214" s="43">
        <v>78553.2</v>
      </c>
      <c r="E214" s="52">
        <f>D213/D214-1</f>
        <v>-4.3231084156978961E-2</v>
      </c>
    </row>
    <row r="215" spans="1:5">
      <c r="A215" s="40">
        <v>45772</v>
      </c>
      <c r="B215" s="41">
        <v>619.6</v>
      </c>
      <c r="C215" s="52">
        <f>B214/B215-1</f>
        <v>-8.4732085216268072E-3</v>
      </c>
      <c r="D215" s="43">
        <v>79212.53</v>
      </c>
      <c r="E215" s="52">
        <f>D214/D215-1</f>
        <v>-8.323556891820072E-3</v>
      </c>
    </row>
    <row r="216" spans="1:5">
      <c r="A216" s="40">
        <v>45779</v>
      </c>
      <c r="B216" s="41">
        <v>588.6</v>
      </c>
      <c r="C216" s="52">
        <f>B215/B216-1</f>
        <v>5.2667346245327984E-2</v>
      </c>
      <c r="D216" s="43">
        <v>80501.990000000005</v>
      </c>
      <c r="E216" s="52">
        <f>D215/D216-1</f>
        <v>-1.6017740679454051E-2</v>
      </c>
    </row>
    <row r="217" spans="1:5">
      <c r="A217" s="40">
        <v>45786</v>
      </c>
      <c r="B217" s="41">
        <v>555.5</v>
      </c>
      <c r="C217" s="52">
        <f>B216/B217-1</f>
        <v>5.9585958595859578E-2</v>
      </c>
      <c r="D217" s="43">
        <v>79454.47</v>
      </c>
      <c r="E217" s="52">
        <f>D216/D217-1</f>
        <v>1.3183902680365289E-2</v>
      </c>
    </row>
    <row r="218" spans="1:5">
      <c r="A218" s="40">
        <v>45793</v>
      </c>
      <c r="B218" s="41">
        <v>592.54999999999995</v>
      </c>
      <c r="C218" s="52">
        <f>B217/B218-1</f>
        <v>-6.2526369082777755E-2</v>
      </c>
      <c r="D218" s="43">
        <v>82330.59</v>
      </c>
      <c r="E218" s="52">
        <f>D217/D218-1</f>
        <v>-3.4933795567358317E-2</v>
      </c>
    </row>
    <row r="219" spans="1:5">
      <c r="A219" s="40">
        <v>45800</v>
      </c>
      <c r="B219" s="41">
        <v>642.15</v>
      </c>
      <c r="C219" s="52">
        <f>B218/B219-1</f>
        <v>-7.7240520127696111E-2</v>
      </c>
      <c r="D219" s="43">
        <v>81721.08</v>
      </c>
      <c r="E219" s="52">
        <f>D218/D219-1</f>
        <v>7.4584183175259167E-3</v>
      </c>
    </row>
    <row r="220" spans="1:5">
      <c r="A220" s="40">
        <v>45807</v>
      </c>
      <c r="B220" s="41">
        <v>599.1</v>
      </c>
      <c r="C220" s="52">
        <f>B219/B220-1</f>
        <v>7.1857786680019853E-2</v>
      </c>
      <c r="D220" s="43">
        <v>81451.009999999995</v>
      </c>
      <c r="E220" s="52">
        <f>D219/D220-1</f>
        <v>3.3157354340971334E-3</v>
      </c>
    </row>
    <row r="221" spans="1:5">
      <c r="A221" s="40">
        <v>45814</v>
      </c>
      <c r="B221" s="41">
        <v>592.70000000000005</v>
      </c>
      <c r="C221" s="52">
        <f>B220/B221-1</f>
        <v>1.0798042854732515E-2</v>
      </c>
      <c r="D221" s="43">
        <v>82188.990000000005</v>
      </c>
      <c r="E221" s="52">
        <f>D220/D221-1</f>
        <v>-8.9790615507017169E-3</v>
      </c>
    </row>
    <row r="222" spans="1:5">
      <c r="A222" s="40">
        <v>45821</v>
      </c>
      <c r="B222" s="41">
        <v>607.9</v>
      </c>
      <c r="C222" s="52">
        <f>B221/B222-1</f>
        <v>-2.5004112518506205E-2</v>
      </c>
      <c r="D222" s="43">
        <v>81118.600000000006</v>
      </c>
      <c r="E222" s="52">
        <f>D221/D222-1</f>
        <v>1.319537072878485E-2</v>
      </c>
    </row>
    <row r="223" spans="1:5">
      <c r="A223" s="40">
        <v>45828</v>
      </c>
      <c r="B223" s="41">
        <v>586.6</v>
      </c>
      <c r="C223" s="52">
        <f>B222/B223-1</f>
        <v>3.6310944425502756E-2</v>
      </c>
      <c r="D223" s="43">
        <v>82408.17</v>
      </c>
      <c r="E223" s="52">
        <f>D222/D223-1</f>
        <v>-1.5648569795931544E-2</v>
      </c>
    </row>
    <row r="224" spans="1:5">
      <c r="A224" s="40">
        <v>45835</v>
      </c>
      <c r="B224" s="41">
        <v>592.54999999999995</v>
      </c>
      <c r="C224" s="52">
        <f>B223/B224-1</f>
        <v>-1.0041346721795463E-2</v>
      </c>
      <c r="D224" s="43">
        <v>84058.9</v>
      </c>
      <c r="E224" s="52">
        <f>D223/D224-1</f>
        <v>-1.9637777796283284E-2</v>
      </c>
    </row>
    <row r="225" spans="1:5">
      <c r="A225" s="40">
        <v>45842</v>
      </c>
      <c r="B225" s="41">
        <v>595.79999999999995</v>
      </c>
      <c r="C225" s="52">
        <f>B224/B225-1</f>
        <v>-5.454850621013807E-3</v>
      </c>
      <c r="D225" s="43">
        <v>83432.89</v>
      </c>
      <c r="E225" s="52">
        <f>D224/D225-1</f>
        <v>7.5031561294351956E-3</v>
      </c>
    </row>
    <row r="226" spans="1:5">
      <c r="A226" s="40">
        <v>45849</v>
      </c>
      <c r="B226" s="41">
        <v>590.54999999999995</v>
      </c>
      <c r="C226" s="52">
        <f>B225/B226-1</f>
        <v>8.8900177800355085E-3</v>
      </c>
      <c r="D226" s="43">
        <v>82500.47</v>
      </c>
      <c r="E226" s="52">
        <f>D225/D226-1</f>
        <v>1.1301996218930688E-2</v>
      </c>
    </row>
    <row r="227" spans="1:5">
      <c r="A227" s="40">
        <v>45856</v>
      </c>
      <c r="B227" s="41">
        <v>629.25</v>
      </c>
      <c r="C227" s="52">
        <f>B226/B227-1</f>
        <v>-6.1501787842669908E-2</v>
      </c>
      <c r="D227" s="43">
        <v>81757.73</v>
      </c>
      <c r="E227" s="52">
        <f>D226/D227-1</f>
        <v>9.0846455741862009E-3</v>
      </c>
    </row>
    <row r="228" spans="1:5">
      <c r="A228" s="40">
        <v>45863</v>
      </c>
      <c r="B228" s="41">
        <v>632.79999999999995</v>
      </c>
      <c r="C228" s="52">
        <f>B227/B228-1</f>
        <v>-5.6099873577748482E-3</v>
      </c>
      <c r="D228" s="43">
        <v>81463.09</v>
      </c>
      <c r="E228" s="52">
        <f>D227/D228-1</f>
        <v>3.6168527366198244E-3</v>
      </c>
    </row>
    <row r="229" spans="1:5">
      <c r="A229" s="40">
        <v>45870</v>
      </c>
      <c r="B229" s="41">
        <v>608.45000000000005</v>
      </c>
      <c r="C229" s="52">
        <f>B228/B229-1</f>
        <v>4.0019722245048683E-2</v>
      </c>
      <c r="D229" s="43">
        <v>80599.91</v>
      </c>
      <c r="E229" s="52">
        <f>D228/D229-1</f>
        <v>1.0709441238829998E-2</v>
      </c>
    </row>
    <row r="230" spans="1:5">
      <c r="A230" s="40">
        <v>45877</v>
      </c>
      <c r="B230" s="41">
        <v>496.5</v>
      </c>
      <c r="C230" s="52">
        <f>B229/B230-1</f>
        <v>0.22547834843907366</v>
      </c>
      <c r="D230" s="43">
        <v>79857.789999999994</v>
      </c>
      <c r="E230" s="52">
        <f>D229/D230-1</f>
        <v>9.2930195037954633E-3</v>
      </c>
    </row>
    <row r="231" spans="1:5">
      <c r="A231" s="40">
        <v>45883</v>
      </c>
      <c r="B231" s="41">
        <v>504.25</v>
      </c>
      <c r="C231" s="52">
        <f>B230/B231-1</f>
        <v>-1.5369360436291557E-2</v>
      </c>
      <c r="D231" s="43">
        <v>80597.66</v>
      </c>
      <c r="E231" s="52">
        <f>D230/D231-1</f>
        <v>-9.1797950461590672E-3</v>
      </c>
    </row>
    <row r="232" spans="1:5">
      <c r="A232" s="40">
        <v>45891</v>
      </c>
      <c r="B232" s="41">
        <v>503.75</v>
      </c>
      <c r="C232" s="52">
        <f>B231/B232-1</f>
        <v>9.9255583126556246E-4</v>
      </c>
      <c r="D232" s="43">
        <v>81306.850000000006</v>
      </c>
      <c r="E232" s="52">
        <f>D231/D232-1</f>
        <v>-8.7223893189811719E-3</v>
      </c>
    </row>
    <row r="233" spans="1:5">
      <c r="A233" s="40">
        <v>45898</v>
      </c>
      <c r="B233" s="41">
        <v>501.85</v>
      </c>
      <c r="C233" s="52">
        <f>B232/B233-1</f>
        <v>3.785991830228097E-3</v>
      </c>
      <c r="D233" s="43">
        <v>79809.649999999994</v>
      </c>
      <c r="E233" s="52">
        <f>D232/D233-1</f>
        <v>1.8759636209405794E-2</v>
      </c>
    </row>
    <row r="234" spans="1:5">
      <c r="A234" s="40">
        <v>45905</v>
      </c>
      <c r="B234" s="41">
        <v>498.65</v>
      </c>
      <c r="C234" s="52">
        <f>B233/B234-1</f>
        <v>6.417326782312438E-3</v>
      </c>
      <c r="D234" s="43">
        <v>80710.759999999995</v>
      </c>
      <c r="E234" s="52">
        <f>D233/D234-1</f>
        <v>-1.116468237940027E-2</v>
      </c>
    </row>
    <row r="235" spans="1:5">
      <c r="A235" s="40">
        <v>45912</v>
      </c>
      <c r="B235" s="41">
        <v>504.5</v>
      </c>
      <c r="C235" s="52">
        <f>B234/B235-1</f>
        <v>-1.1595639246779088E-2</v>
      </c>
      <c r="D235" s="43">
        <v>81904.7</v>
      </c>
      <c r="E235" s="52">
        <f>D234/D235-1</f>
        <v>-1.4577185436244866E-2</v>
      </c>
    </row>
    <row r="236" spans="1:5">
      <c r="A236" s="40">
        <v>45919</v>
      </c>
      <c r="B236" s="41">
        <v>502.85</v>
      </c>
      <c r="C236" s="52">
        <f>B235/B236-1</f>
        <v>3.2812966093267448E-3</v>
      </c>
      <c r="D236" s="43">
        <v>82626.23</v>
      </c>
      <c r="E236" s="52">
        <f>D235/D236-1</f>
        <v>-8.7324569933784346E-3</v>
      </c>
    </row>
    <row r="237" spans="1:5">
      <c r="A237" s="40">
        <v>45926</v>
      </c>
      <c r="B237" s="41">
        <v>478.7</v>
      </c>
      <c r="C237" s="52">
        <f>B236/B237-1</f>
        <v>5.0449133068727781E-2</v>
      </c>
      <c r="D237" s="43">
        <v>80426.460000000006</v>
      </c>
      <c r="E237" s="52">
        <f>D236/D237-1</f>
        <v>2.7351321940565221E-2</v>
      </c>
    </row>
    <row r="238" spans="1:5">
      <c r="A238" s="40">
        <v>45933</v>
      </c>
      <c r="B238" s="41">
        <v>491.35</v>
      </c>
      <c r="C238" s="52">
        <f>B237/B238-1</f>
        <v>-2.5745395339371147E-2</v>
      </c>
      <c r="D238" s="43">
        <v>81207.17</v>
      </c>
      <c r="E238" s="52">
        <f>D237/D238-1</f>
        <v>-9.613806268584324E-3</v>
      </c>
    </row>
    <row r="239" spans="1:5">
      <c r="A239" s="40">
        <v>45940</v>
      </c>
      <c r="B239" s="41">
        <v>485.55</v>
      </c>
      <c r="C239" s="52">
        <f>B238/B239-1</f>
        <v>1.1945216764494004E-2</v>
      </c>
      <c r="D239" s="43">
        <v>82500.820000000007</v>
      </c>
      <c r="E239" s="52">
        <f>D238/D239-1</f>
        <v>-1.5680450206434382E-2</v>
      </c>
    </row>
    <row r="240" spans="1:5">
      <c r="A240" s="40">
        <v>45947</v>
      </c>
      <c r="B240" s="41">
        <v>464.55</v>
      </c>
      <c r="C240" s="52">
        <f>B239/B240-1</f>
        <v>4.5205037132709069E-2</v>
      </c>
      <c r="D240" s="43">
        <v>83952.19</v>
      </c>
      <c r="E240" s="52">
        <f>D239/D240-1</f>
        <v>-1.7288054069822256E-2</v>
      </c>
    </row>
    <row r="241" spans="1:5">
      <c r="A241" s="40">
        <v>45954</v>
      </c>
      <c r="B241" s="41">
        <v>470.2</v>
      </c>
      <c r="C241" s="52">
        <f>B240/B241-1</f>
        <v>-1.2016163334751084E-2</v>
      </c>
      <c r="D241" s="43">
        <v>84211.88</v>
      </c>
      <c r="E241" s="52">
        <f>D240/D241-1</f>
        <v>-3.083769178410467E-3</v>
      </c>
    </row>
    <row r="242" spans="1:5">
      <c r="A242" s="40">
        <v>45961</v>
      </c>
      <c r="B242" s="41">
        <v>469.75</v>
      </c>
      <c r="C242" s="52">
        <f>B241/B242-1</f>
        <v>9.5795635976569926E-4</v>
      </c>
      <c r="D242" s="43">
        <v>83938.71</v>
      </c>
      <c r="E242" s="52">
        <f>D241/D242-1</f>
        <v>3.2543983580399782E-3</v>
      </c>
    </row>
    <row r="243" spans="1:5">
      <c r="A243" s="40">
        <v>45968</v>
      </c>
      <c r="B243" s="41">
        <v>460.55</v>
      </c>
      <c r="C243" s="52">
        <f>B242/B243-1</f>
        <v>1.9976115514059201E-2</v>
      </c>
      <c r="D243" s="43">
        <v>83216.28</v>
      </c>
      <c r="E243" s="52">
        <f>D242/D243-1</f>
        <v>8.6813541773318459E-3</v>
      </c>
    </row>
    <row r="244" spans="1:5">
      <c r="A244" s="40">
        <v>45975</v>
      </c>
      <c r="B244" s="41">
        <v>464.4</v>
      </c>
      <c r="C244" s="52">
        <f>B243/B244-1</f>
        <v>-8.2902670111971721E-3</v>
      </c>
      <c r="D244" s="43">
        <v>84562.78</v>
      </c>
      <c r="E244" s="52">
        <f>D243/D244-1</f>
        <v>-1.5923081052917176E-2</v>
      </c>
    </row>
    <row r="245" spans="1:5">
      <c r="A245" s="40">
        <v>45982</v>
      </c>
      <c r="B245" s="41">
        <v>467.8</v>
      </c>
      <c r="C245" s="52">
        <f>B244/B245-1</f>
        <v>-7.2680632749039242E-3</v>
      </c>
      <c r="D245" s="43">
        <v>85231.92</v>
      </c>
      <c r="E245" s="52">
        <f>D244/D245-1</f>
        <v>-7.8508145774494054E-3</v>
      </c>
    </row>
    <row r="246" spans="1:5">
      <c r="A246" s="40">
        <v>45989</v>
      </c>
      <c r="B246" s="41">
        <v>472.7</v>
      </c>
      <c r="C246" s="52">
        <f>B245/B246-1</f>
        <v>-1.0365982652845274E-2</v>
      </c>
      <c r="D246" s="43">
        <v>85706.67</v>
      </c>
      <c r="E246" s="52">
        <f>D245/D246-1</f>
        <v>-5.5392421616660137E-3</v>
      </c>
    </row>
    <row r="247" spans="1:5">
      <c r="A247" s="40">
        <v>45996</v>
      </c>
      <c r="B247" s="41">
        <v>447.15</v>
      </c>
      <c r="C247" s="52">
        <f>B246/B247-1</f>
        <v>5.7139662305714101E-2</v>
      </c>
      <c r="D247" s="43">
        <v>85712.37</v>
      </c>
      <c r="E247" s="52">
        <f>D246/D247-1</f>
        <v>-6.6501486308156998E-5</v>
      </c>
    </row>
    <row r="248" spans="1:5">
      <c r="A248" s="40">
        <v>46003</v>
      </c>
      <c r="B248" s="41">
        <v>456.05</v>
      </c>
      <c r="C248" s="52">
        <f>B247/B248-1</f>
        <v>-1.9515404012718007E-2</v>
      </c>
      <c r="D248" s="43">
        <v>85267.66</v>
      </c>
      <c r="E248" s="52">
        <f>D247/D248-1</f>
        <v>5.2154591787787474E-3</v>
      </c>
    </row>
    <row r="249" spans="1:5">
      <c r="A249" s="40">
        <v>46010</v>
      </c>
      <c r="B249" s="41">
        <v>447.9</v>
      </c>
      <c r="C249" s="52">
        <f>B248/B249-1</f>
        <v>1.8196025898638224E-2</v>
      </c>
      <c r="D249" s="43">
        <v>84929.36</v>
      </c>
      <c r="E249" s="52">
        <f>D248/D249-1</f>
        <v>3.9833103652258117E-3</v>
      </c>
    </row>
    <row r="250" spans="1:5">
      <c r="A250" s="40">
        <v>46017</v>
      </c>
      <c r="B250" s="41">
        <v>444.55</v>
      </c>
      <c r="C250" s="52">
        <f>B249/B250-1</f>
        <v>7.5357102688111688E-3</v>
      </c>
      <c r="D250" s="43">
        <v>85041.45</v>
      </c>
      <c r="E250" s="52">
        <f>D249/D250-1</f>
        <v>-1.3180631327428527E-3</v>
      </c>
    </row>
    <row r="251" spans="1:5">
      <c r="A251" s="40">
        <v>46024</v>
      </c>
      <c r="B251" s="41">
        <v>443.05</v>
      </c>
      <c r="C251" s="52">
        <f>B250/B251-1</f>
        <v>3.3856223902493099E-3</v>
      </c>
      <c r="D251" s="43">
        <v>85762.01</v>
      </c>
      <c r="E251" s="52">
        <f>D250/D251-1</f>
        <v>-8.4018553203218937E-3</v>
      </c>
    </row>
    <row r="252" spans="1:5">
      <c r="A252" s="40">
        <v>46031</v>
      </c>
      <c r="B252" s="41">
        <v>415</v>
      </c>
      <c r="C252" s="52">
        <f>B251/B252-1</f>
        <v>6.759036144578312E-2</v>
      </c>
      <c r="D252" s="43">
        <v>83576.240000000005</v>
      </c>
      <c r="E252" s="52">
        <f>D251/D252-1</f>
        <v>2.6153007122598382E-2</v>
      </c>
    </row>
    <row r="253" spans="1:5">
      <c r="A253" s="40">
        <v>46038</v>
      </c>
      <c r="B253" s="41">
        <v>402.75</v>
      </c>
      <c r="C253" s="52">
        <f>B252/B253-1</f>
        <v>3.0415890751086305E-2</v>
      </c>
      <c r="D253" s="43">
        <v>83570.350000000006</v>
      </c>
      <c r="E253" s="52">
        <f>D252/D253-1</f>
        <v>7.0479542086498981E-5</v>
      </c>
    </row>
    <row r="254" spans="1:5">
      <c r="A254" s="40">
        <v>46045</v>
      </c>
      <c r="B254" s="41">
        <v>372.3</v>
      </c>
      <c r="C254" s="52">
        <f>B253/B254-1</f>
        <v>8.1788879935535741E-2</v>
      </c>
      <c r="D254" s="43">
        <v>81537.7</v>
      </c>
      <c r="E254" s="52">
        <f>D253/D254-1</f>
        <v>2.4928959242166648E-2</v>
      </c>
    </row>
    <row r="255" spans="1:5">
      <c r="A255" s="40">
        <v>46052</v>
      </c>
      <c r="B255" s="41">
        <v>374.4</v>
      </c>
      <c r="C255" s="52">
        <f>B254/B255-1</f>
        <v>-5.608974358974228E-3</v>
      </c>
      <c r="D255" s="43">
        <v>82269.78</v>
      </c>
      <c r="E255" s="52">
        <f>D254/D255-1</f>
        <v>-8.8985287185646689E-3</v>
      </c>
    </row>
    <row r="256" spans="1:5">
      <c r="A256" s="40">
        <v>46059</v>
      </c>
      <c r="B256" s="41">
        <v>399.05</v>
      </c>
      <c r="C256" s="52">
        <f>B255/B256-1</f>
        <v>-6.1771707806039466E-2</v>
      </c>
      <c r="D256" s="43">
        <v>83580.399999999994</v>
      </c>
      <c r="E256" s="52">
        <f>D255/D256-1</f>
        <v>-1.5680949122042875E-2</v>
      </c>
    </row>
    <row r="257" spans="1:5">
      <c r="A257" s="40">
        <v>46066</v>
      </c>
      <c r="B257" s="41">
        <v>376.6</v>
      </c>
      <c r="C257" s="52">
        <f>B256/B257-1</f>
        <v>5.9612320764736992E-2</v>
      </c>
      <c r="D257" s="43">
        <v>82626.759999999995</v>
      </c>
      <c r="E257" s="52">
        <f>D256/D257-1</f>
        <v>1.1541539326968664E-2</v>
      </c>
    </row>
    <row r="258" spans="1:5">
      <c r="A258" s="40">
        <v>46073</v>
      </c>
      <c r="B258" s="41">
        <v>368.95</v>
      </c>
      <c r="C258" s="52">
        <f>B257/B258-1</f>
        <v>2.0734516872205067E-2</v>
      </c>
      <c r="D258" s="43">
        <v>82814.710000000006</v>
      </c>
      <c r="E258" s="52">
        <f>D257/D258-1</f>
        <v>-2.2695243393354714E-3</v>
      </c>
    </row>
    <row r="259" spans="1:5">
      <c r="A259" s="40">
        <v>46080</v>
      </c>
      <c r="B259" s="41">
        <v>347.2</v>
      </c>
      <c r="C259" s="52">
        <f>B258/B259-1</f>
        <v>6.2644009216589858E-2</v>
      </c>
      <c r="D259" s="43">
        <v>81287.19</v>
      </c>
      <c r="E259" s="52">
        <f>D258/D259-1</f>
        <v>1.8791644784375006E-2</v>
      </c>
    </row>
    <row r="260" spans="1:5">
      <c r="A260" s="40">
        <v>46087</v>
      </c>
      <c r="B260" s="41">
        <v>324.05</v>
      </c>
      <c r="C260" s="52">
        <f>B259/B260-1</f>
        <v>7.1439592655454298E-2</v>
      </c>
      <c r="D260" s="43">
        <v>78918.899999999994</v>
      </c>
      <c r="E260" s="52">
        <f>D259/D260-1</f>
        <v>3.0009161303566234E-2</v>
      </c>
    </row>
    <row r="261" spans="1:5">
      <c r="A261" s="40">
        <v>46094</v>
      </c>
      <c r="B261" s="41">
        <v>322.2</v>
      </c>
      <c r="C261" s="52">
        <f>B260/B261-1</f>
        <v>5.7417752948480949E-3</v>
      </c>
      <c r="D261" s="43">
        <v>74563.92</v>
      </c>
      <c r="E261" s="52">
        <f>D260/D261-1</f>
        <v>5.8405995822107926E-2</v>
      </c>
    </row>
    <row r="262" spans="1:5">
      <c r="A262" s="40">
        <v>46101</v>
      </c>
      <c r="B262" s="41">
        <v>313.05</v>
      </c>
      <c r="C262" s="52">
        <f>B261/B262-1</f>
        <v>2.9228557738380401E-2</v>
      </c>
      <c r="D262" s="43">
        <v>74532.960000000006</v>
      </c>
      <c r="E262" s="52">
        <f>D261/D262-1</f>
        <v>4.1538669603347067E-4</v>
      </c>
    </row>
    <row r="263" spans="1:5">
      <c r="A263" s="40">
        <v>46108</v>
      </c>
      <c r="B263" s="41">
        <v>283.8</v>
      </c>
      <c r="C263" s="52">
        <f>B262/B263-1</f>
        <v>0.10306553911205074</v>
      </c>
      <c r="D263" s="43">
        <v>73583.22</v>
      </c>
      <c r="E263" s="52">
        <f>D262/D263-1</f>
        <v>1.2907018746937116E-2</v>
      </c>
    </row>
    <row r="264" spans="1:5">
      <c r="A264" s="40">
        <v>44393</v>
      </c>
      <c r="B264" s="41">
        <v>184.05</v>
      </c>
      <c r="C264" s="52"/>
      <c r="D264" s="43">
        <v>53140.06</v>
      </c>
      <c r="E264" s="52"/>
    </row>
    <row r="265" spans="1:5">
      <c r="A265" s="40">
        <v>44386</v>
      </c>
      <c r="B265" s="41">
        <v>182.1</v>
      </c>
      <c r="C265" s="52"/>
      <c r="D265" s="43">
        <v>52386.19</v>
      </c>
      <c r="E265" s="52"/>
    </row>
    <row r="266" spans="1:5">
      <c r="A266" s="40">
        <v>44379</v>
      </c>
      <c r="B266" s="41">
        <v>182.35</v>
      </c>
      <c r="C266" s="52"/>
      <c r="D266" s="43">
        <v>52484.67</v>
      </c>
      <c r="E266" s="52"/>
    </row>
    <row r="267" spans="1:5">
      <c r="A267" s="40">
        <v>44372</v>
      </c>
      <c r="B267" s="41">
        <v>182.7</v>
      </c>
      <c r="C267" s="52"/>
      <c r="D267" s="43">
        <v>52925.04</v>
      </c>
      <c r="E267" s="52"/>
    </row>
    <row r="268" spans="1:5">
      <c r="A268" s="40">
        <v>44365</v>
      </c>
      <c r="B268" s="41">
        <v>185</v>
      </c>
      <c r="C268" s="52"/>
      <c r="D268" s="43">
        <v>52344.45</v>
      </c>
      <c r="E268" s="52"/>
    </row>
    <row r="269" spans="1:5">
      <c r="A269" s="40">
        <v>44358</v>
      </c>
      <c r="B269" s="41">
        <v>191.55</v>
      </c>
      <c r="C269" s="52"/>
      <c r="D269" s="43">
        <v>52474.76</v>
      </c>
      <c r="E269" s="52"/>
    </row>
    <row r="270" spans="1:5">
      <c r="A270" s="40">
        <v>44351</v>
      </c>
      <c r="B270" s="41">
        <v>193.55</v>
      </c>
      <c r="C270" s="52"/>
      <c r="D270" s="43">
        <v>52100.05</v>
      </c>
      <c r="E270" s="52"/>
    </row>
    <row r="271" spans="1:5">
      <c r="A271" s="40">
        <v>44344</v>
      </c>
      <c r="B271" s="41">
        <v>191.95</v>
      </c>
      <c r="C271" s="52"/>
      <c r="D271" s="43">
        <v>51422.879999999997</v>
      </c>
      <c r="E271" s="52"/>
    </row>
    <row r="272" spans="1:5">
      <c r="A272" s="40">
        <v>44337</v>
      </c>
      <c r="B272" s="41">
        <v>187.1</v>
      </c>
      <c r="C272" s="52"/>
      <c r="D272" s="43">
        <v>50540.480000000003</v>
      </c>
      <c r="E272" s="52"/>
    </row>
    <row r="273" spans="1:5">
      <c r="A273" s="40">
        <v>44330</v>
      </c>
      <c r="B273" s="41">
        <v>181.45</v>
      </c>
      <c r="C273" s="52"/>
      <c r="D273" s="43">
        <v>48732.55</v>
      </c>
      <c r="E273" s="52"/>
    </row>
    <row r="274" spans="1:5">
      <c r="A274" s="40">
        <v>44323</v>
      </c>
      <c r="B274" s="41">
        <v>183.35</v>
      </c>
      <c r="C274" s="52"/>
      <c r="D274" s="43">
        <v>49206.47</v>
      </c>
      <c r="E274" s="52"/>
    </row>
    <row r="275" spans="1:5">
      <c r="A275" s="40">
        <v>44316</v>
      </c>
      <c r="B275" s="41">
        <v>177.9</v>
      </c>
      <c r="C275" s="52"/>
      <c r="D275" s="43">
        <v>48782.36</v>
      </c>
      <c r="E275" s="52"/>
    </row>
    <row r="276" spans="1:5">
      <c r="A276" s="40">
        <v>44309</v>
      </c>
      <c r="B276" s="41">
        <v>171.15</v>
      </c>
      <c r="C276" s="52"/>
      <c r="D276" s="43">
        <v>47878.45</v>
      </c>
      <c r="E276" s="52"/>
    </row>
    <row r="277" spans="1:5">
      <c r="A277" s="40">
        <v>44302</v>
      </c>
      <c r="B277" s="41">
        <v>177.55</v>
      </c>
      <c r="C277" s="52"/>
      <c r="D277" s="43">
        <v>48832.03</v>
      </c>
      <c r="E277" s="52"/>
    </row>
    <row r="278" spans="1:5">
      <c r="A278" s="40">
        <v>44295</v>
      </c>
      <c r="B278" s="41">
        <v>186.35</v>
      </c>
      <c r="C278" s="52"/>
      <c r="D278" s="43">
        <v>49591.32</v>
      </c>
      <c r="E278" s="52"/>
    </row>
    <row r="279" spans="1:5">
      <c r="A279" s="40">
        <v>44287</v>
      </c>
      <c r="B279" s="41">
        <v>185.9</v>
      </c>
      <c r="C279" s="52"/>
      <c r="D279" s="43">
        <v>50029.83</v>
      </c>
      <c r="E279" s="52"/>
    </row>
    <row r="280" spans="1:5">
      <c r="A280" s="40">
        <v>44281</v>
      </c>
      <c r="B280" s="41">
        <v>182.35</v>
      </c>
      <c r="C280" s="52"/>
      <c r="D280" s="43">
        <v>49008.5</v>
      </c>
      <c r="E280" s="52"/>
    </row>
    <row r="281" spans="1:5">
      <c r="A281" s="40">
        <v>44274</v>
      </c>
      <c r="B281" s="41">
        <v>187.15</v>
      </c>
      <c r="C281" s="52"/>
      <c r="D281" s="43">
        <v>49858.239999999998</v>
      </c>
      <c r="E281" s="52"/>
    </row>
    <row r="282" spans="1:5">
      <c r="A282" s="40">
        <v>44267</v>
      </c>
      <c r="B282" s="41">
        <v>201.45</v>
      </c>
      <c r="C282" s="52"/>
      <c r="D282" s="43">
        <v>50792.08</v>
      </c>
      <c r="E282" s="52"/>
    </row>
    <row r="283" spans="1:5">
      <c r="A283" s="40">
        <v>44260</v>
      </c>
      <c r="B283" s="41">
        <v>204.1</v>
      </c>
      <c r="C283" s="52"/>
      <c r="D283" s="43">
        <v>50405.32</v>
      </c>
      <c r="E283" s="52"/>
    </row>
    <row r="284" spans="1:5">
      <c r="A284" s="40">
        <v>44253</v>
      </c>
      <c r="B284" s="41">
        <v>202.5</v>
      </c>
      <c r="C284" s="52"/>
      <c r="D284" s="43">
        <v>49099.99</v>
      </c>
      <c r="E284" s="52"/>
    </row>
    <row r="285" spans="1:5">
      <c r="A285" s="40">
        <v>44246</v>
      </c>
      <c r="B285" s="41">
        <v>204.35</v>
      </c>
      <c r="C285" s="52"/>
      <c r="D285" s="43">
        <v>50889.760000000002</v>
      </c>
      <c r="E285" s="52"/>
    </row>
    <row r="286" spans="1:5">
      <c r="A286" s="40">
        <v>44239</v>
      </c>
      <c r="B286" s="41">
        <v>211.5</v>
      </c>
      <c r="C286" s="52"/>
      <c r="D286" s="43">
        <v>51544.3</v>
      </c>
      <c r="E286" s="52"/>
    </row>
    <row r="287" spans="1:5">
      <c r="A287" s="40">
        <v>44232</v>
      </c>
      <c r="B287" s="41">
        <v>203.95</v>
      </c>
      <c r="C287" s="52"/>
      <c r="D287" s="43">
        <v>50731.63</v>
      </c>
      <c r="E287" s="52"/>
    </row>
    <row r="288" spans="1:5">
      <c r="A288" s="40">
        <v>44225</v>
      </c>
      <c r="B288" s="41">
        <v>193.45</v>
      </c>
      <c r="C288" s="52"/>
      <c r="D288" s="43">
        <v>46285.77</v>
      </c>
      <c r="E288" s="52"/>
    </row>
    <row r="289" spans="1:5">
      <c r="A289" s="40">
        <v>44218</v>
      </c>
      <c r="B289" s="41">
        <v>200.55</v>
      </c>
      <c r="C289" s="52"/>
      <c r="D289" s="43">
        <v>48878.54</v>
      </c>
      <c r="E289" s="52"/>
    </row>
    <row r="290" spans="1:5">
      <c r="A290" s="40">
        <v>44211</v>
      </c>
      <c r="B290" s="41">
        <v>200.15</v>
      </c>
      <c r="C290" s="52"/>
      <c r="D290" s="43">
        <v>49034.67</v>
      </c>
      <c r="E290" s="52"/>
    </row>
  </sheetData>
  <mergeCells count="8">
    <mergeCell ref="R12:S12"/>
    <mergeCell ref="R17:S17"/>
    <mergeCell ref="G20:J20"/>
    <mergeCell ref="A1:E1"/>
    <mergeCell ref="G2:I2"/>
    <mergeCell ref="M2:N2"/>
    <mergeCell ref="M7:N7"/>
    <mergeCell ref="M11:N11"/>
  </mergeCells>
  <hyperlinks>
    <hyperlink ref="O3" r:id="rId1" xr:uid="{00000000-0004-0000-0100-000000000000}"/>
    <hyperlink ref="O8" r:id="rId2" xr:uid="{00000000-0004-0000-0100-000001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3"/>
  <sheetViews>
    <sheetView zoomScaleNormal="100" workbookViewId="0">
      <selection activeCell="M11" sqref="M11"/>
    </sheetView>
  </sheetViews>
  <sheetFormatPr defaultColWidth="8.7109375" defaultRowHeight="15" customHeight="1"/>
  <cols>
    <col min="1" max="1" width="36.5703125" customWidth="1"/>
    <col min="2" max="11" width="8.85546875" customWidth="1"/>
    <col min="13" max="13" width="107" customWidth="1"/>
  </cols>
  <sheetData>
    <row r="1" spans="1:13" ht="13.5" customHeight="1">
      <c r="A1" s="8" t="s">
        <v>98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3">
      <c r="A2" s="75" t="s">
        <v>99</v>
      </c>
      <c r="B2" s="75">
        <v>201703</v>
      </c>
      <c r="C2" s="75">
        <v>201803</v>
      </c>
      <c r="D2" s="75">
        <v>201903</v>
      </c>
      <c r="E2" s="75">
        <v>202003</v>
      </c>
      <c r="F2" s="75">
        <v>202103</v>
      </c>
      <c r="G2" s="75">
        <v>202203</v>
      </c>
      <c r="H2" s="75">
        <v>202303</v>
      </c>
      <c r="I2" s="75">
        <v>202403</v>
      </c>
      <c r="J2" s="75">
        <v>202503</v>
      </c>
      <c r="K2" s="75">
        <v>202603</v>
      </c>
    </row>
    <row r="3" spans="1:13">
      <c r="A3" s="76" t="s">
        <v>100</v>
      </c>
      <c r="B3" s="77"/>
      <c r="C3" s="77"/>
      <c r="D3" s="77"/>
      <c r="E3" s="77"/>
      <c r="F3" s="77"/>
      <c r="G3" s="77"/>
      <c r="H3" s="77"/>
      <c r="I3" s="77"/>
      <c r="J3" s="77"/>
      <c r="K3" s="77"/>
    </row>
    <row r="4" spans="1:13">
      <c r="A4" s="76" t="s">
        <v>101</v>
      </c>
      <c r="B4" s="78">
        <v>737.19</v>
      </c>
      <c r="C4" s="78">
        <v>812.6</v>
      </c>
      <c r="D4" s="78">
        <v>898.68</v>
      </c>
      <c r="E4" s="78">
        <v>1147.21</v>
      </c>
      <c r="F4" s="78">
        <v>1447.92</v>
      </c>
      <c r="G4" s="78">
        <v>1483.85</v>
      </c>
      <c r="H4" s="78">
        <v>1404.12</v>
      </c>
      <c r="I4" s="78">
        <v>1375.11</v>
      </c>
      <c r="J4" s="78">
        <v>1330.24</v>
      </c>
      <c r="K4" s="78">
        <v>1312.72</v>
      </c>
      <c r="M4" s="79" t="s">
        <v>102</v>
      </c>
    </row>
    <row r="5" spans="1:13">
      <c r="A5" s="76" t="s">
        <v>103</v>
      </c>
      <c r="B5" s="78">
        <v>484.03</v>
      </c>
      <c r="C5" s="78">
        <v>572.44000000000005</v>
      </c>
      <c r="D5" s="78">
        <v>804.5</v>
      </c>
      <c r="E5" s="78">
        <v>815.2</v>
      </c>
      <c r="F5" s="78">
        <v>832.81</v>
      </c>
      <c r="G5" s="78">
        <v>924.49</v>
      </c>
      <c r="H5" s="78">
        <v>1196.1199999999999</v>
      </c>
      <c r="I5" s="78">
        <v>1125.2</v>
      </c>
      <c r="J5" s="78">
        <v>1211.01</v>
      </c>
      <c r="K5" s="78">
        <v>1135.9000000000001</v>
      </c>
      <c r="M5" s="79" t="s">
        <v>104</v>
      </c>
    </row>
    <row r="6" spans="1:13">
      <c r="A6" s="76" t="s">
        <v>105</v>
      </c>
      <c r="B6" s="76">
        <v>249.98</v>
      </c>
      <c r="C6" s="76">
        <v>238.15</v>
      </c>
      <c r="D6" s="76">
        <v>92.39</v>
      </c>
      <c r="E6" s="76">
        <v>330.47</v>
      </c>
      <c r="F6" s="76">
        <v>567.5</v>
      </c>
      <c r="G6" s="76">
        <v>493.81</v>
      </c>
      <c r="H6" s="76">
        <v>147.44999999999999</v>
      </c>
      <c r="I6" s="78">
        <v>122.71</v>
      </c>
      <c r="J6" s="78">
        <v>30.67</v>
      </c>
      <c r="K6" s="78">
        <v>100.14</v>
      </c>
    </row>
    <row r="7" spans="1:13">
      <c r="A7" s="76" t="s">
        <v>106</v>
      </c>
      <c r="B7" s="76">
        <v>0</v>
      </c>
      <c r="C7" s="76">
        <v>0</v>
      </c>
      <c r="D7" s="76">
        <v>0</v>
      </c>
      <c r="E7" s="76">
        <v>0</v>
      </c>
      <c r="F7" s="76">
        <v>0</v>
      </c>
      <c r="G7" s="76">
        <v>64</v>
      </c>
      <c r="H7" s="76">
        <v>58.99</v>
      </c>
      <c r="I7" s="76">
        <v>69.290000000000006</v>
      </c>
      <c r="J7" s="76">
        <v>68.31</v>
      </c>
      <c r="K7" s="76">
        <v>67.8</v>
      </c>
    </row>
    <row r="8" spans="1:13">
      <c r="A8" s="76" t="s">
        <v>107</v>
      </c>
      <c r="B8" s="76">
        <v>3.19</v>
      </c>
      <c r="C8" s="76">
        <v>2.0099999999999998</v>
      </c>
      <c r="D8" s="76">
        <v>1.79</v>
      </c>
      <c r="E8" s="76">
        <v>1.55</v>
      </c>
      <c r="F8" s="76">
        <v>1.55</v>
      </c>
      <c r="G8" s="76">
        <v>1.55</v>
      </c>
      <c r="H8" s="76">
        <v>1.55</v>
      </c>
      <c r="I8" s="76">
        <v>57.91</v>
      </c>
      <c r="J8" s="76">
        <v>20.25</v>
      </c>
      <c r="K8" s="76">
        <v>8.8800000000000008</v>
      </c>
    </row>
    <row r="9" spans="1:13">
      <c r="A9" s="76" t="s">
        <v>108</v>
      </c>
      <c r="B9" s="76">
        <v>0</v>
      </c>
      <c r="C9" s="76">
        <v>0</v>
      </c>
      <c r="D9" s="76">
        <v>0</v>
      </c>
      <c r="E9" s="76">
        <v>0</v>
      </c>
      <c r="F9" s="76">
        <v>0</v>
      </c>
      <c r="G9" s="76">
        <v>0</v>
      </c>
      <c r="H9" s="76">
        <v>0</v>
      </c>
      <c r="I9" s="76">
        <v>0</v>
      </c>
      <c r="J9" s="76">
        <v>0</v>
      </c>
      <c r="K9" s="76">
        <v>0</v>
      </c>
    </row>
    <row r="10" spans="1:13">
      <c r="A10" s="76" t="s">
        <v>109</v>
      </c>
      <c r="B10" s="76">
        <v>0</v>
      </c>
      <c r="C10" s="76">
        <v>0</v>
      </c>
      <c r="D10" s="76">
        <v>0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</row>
    <row r="11" spans="1:13">
      <c r="A11" s="76" t="s">
        <v>110</v>
      </c>
      <c r="B11" s="76">
        <v>0</v>
      </c>
      <c r="C11" s="76">
        <v>0</v>
      </c>
      <c r="D11" s="76">
        <v>0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</row>
    <row r="12" spans="1:13">
      <c r="A12" s="76" t="s">
        <v>111</v>
      </c>
      <c r="B12" s="76">
        <v>0</v>
      </c>
      <c r="C12" s="76">
        <v>0</v>
      </c>
      <c r="D12" s="76">
        <v>0</v>
      </c>
      <c r="E12" s="76">
        <v>0</v>
      </c>
      <c r="F12" s="76">
        <v>0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</row>
    <row r="13" spans="1:13">
      <c r="A13" s="76" t="s">
        <v>112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</row>
    <row r="14" spans="1:13">
      <c r="A14" s="76" t="s">
        <v>113</v>
      </c>
      <c r="B14" s="76">
        <v>3.79</v>
      </c>
      <c r="C14" s="76">
        <v>3.72</v>
      </c>
      <c r="D14" s="76">
        <v>3.66</v>
      </c>
      <c r="E14" s="76">
        <v>3.6</v>
      </c>
      <c r="F14" s="76">
        <v>3.53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</row>
    <row r="15" spans="1:13" ht="23.85">
      <c r="A15" s="76" t="s">
        <v>114</v>
      </c>
      <c r="B15" s="76">
        <v>5.62</v>
      </c>
      <c r="C15" s="76">
        <v>5.4</v>
      </c>
      <c r="D15" s="76">
        <v>5.46</v>
      </c>
      <c r="E15" s="76">
        <v>6.27</v>
      </c>
      <c r="F15" s="76">
        <v>5.93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</row>
    <row r="16" spans="1:13">
      <c r="A16" s="76" t="s">
        <v>115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</row>
    <row r="17" spans="1:13">
      <c r="A17" s="76" t="s">
        <v>116</v>
      </c>
      <c r="B17" s="78">
        <v>0</v>
      </c>
      <c r="C17" s="78">
        <v>0</v>
      </c>
      <c r="D17" s="78">
        <v>0</v>
      </c>
      <c r="E17" s="78">
        <v>0</v>
      </c>
      <c r="F17" s="78">
        <v>0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</row>
    <row r="18" spans="1:13">
      <c r="A18" s="76" t="s">
        <v>117</v>
      </c>
      <c r="B18" s="76">
        <v>0.1</v>
      </c>
      <c r="C18" s="76">
        <v>0.09</v>
      </c>
      <c r="D18" s="76">
        <v>120.08</v>
      </c>
      <c r="E18" s="76">
        <v>124.51</v>
      </c>
      <c r="F18" s="76">
        <v>149.66</v>
      </c>
      <c r="G18" s="78">
        <v>0.28000000000000003</v>
      </c>
      <c r="H18" s="78">
        <v>0.16</v>
      </c>
      <c r="I18" s="78">
        <v>0.02</v>
      </c>
      <c r="J18" s="78">
        <v>0.02</v>
      </c>
      <c r="K18" s="78">
        <v>0.02</v>
      </c>
    </row>
    <row r="19" spans="1:13">
      <c r="A19" s="76" t="s">
        <v>118</v>
      </c>
      <c r="B19" s="76">
        <v>0.09</v>
      </c>
      <c r="C19" s="76">
        <v>7.0000000000000007E-2</v>
      </c>
      <c r="D19" s="76">
        <v>0.06</v>
      </c>
      <c r="E19" s="76">
        <v>0.08</v>
      </c>
      <c r="F19" s="76">
        <v>7.0000000000000007E-2</v>
      </c>
      <c r="G19" s="76">
        <v>0.12</v>
      </c>
      <c r="H19" s="76">
        <v>0.13</v>
      </c>
      <c r="I19" s="76">
        <v>0.13</v>
      </c>
      <c r="J19" s="76">
        <v>0.14000000000000001</v>
      </c>
      <c r="K19" s="76">
        <v>0.11</v>
      </c>
    </row>
    <row r="20" spans="1:13">
      <c r="A20" s="76" t="s">
        <v>119</v>
      </c>
      <c r="B20" s="76">
        <v>12.59</v>
      </c>
      <c r="C20" s="76">
        <v>9.41</v>
      </c>
      <c r="D20" s="76">
        <v>9.74</v>
      </c>
      <c r="E20" s="76">
        <v>10.029999999999999</v>
      </c>
      <c r="F20" s="76">
        <v>10.26</v>
      </c>
      <c r="G20" s="76">
        <v>8.1300000000000008</v>
      </c>
      <c r="H20" s="76">
        <v>6.32</v>
      </c>
      <c r="I20" s="76">
        <v>5.91</v>
      </c>
      <c r="J20" s="76">
        <v>8.27</v>
      </c>
      <c r="K20" s="76">
        <v>8.59</v>
      </c>
    </row>
    <row r="21" spans="1:13">
      <c r="A21" s="76" t="s">
        <v>120</v>
      </c>
      <c r="B21" s="76">
        <v>0</v>
      </c>
      <c r="C21" s="76">
        <v>0</v>
      </c>
      <c r="D21" s="76">
        <v>0</v>
      </c>
      <c r="E21" s="76">
        <v>0</v>
      </c>
      <c r="F21" s="76">
        <v>0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</row>
    <row r="22" spans="1:13">
      <c r="A22" s="76" t="s">
        <v>121</v>
      </c>
      <c r="B22" s="76">
        <v>0</v>
      </c>
      <c r="C22" s="76">
        <v>0</v>
      </c>
      <c r="D22" s="76">
        <v>0</v>
      </c>
      <c r="E22" s="76">
        <v>0</v>
      </c>
      <c r="F22" s="76">
        <v>0</v>
      </c>
      <c r="G22" s="76">
        <v>0</v>
      </c>
      <c r="H22" s="76">
        <v>0</v>
      </c>
      <c r="I22" s="76">
        <v>0</v>
      </c>
      <c r="J22" s="76">
        <v>0</v>
      </c>
      <c r="K22" s="76">
        <v>0</v>
      </c>
    </row>
    <row r="23" spans="1:13">
      <c r="A23" s="76" t="s">
        <v>122</v>
      </c>
      <c r="B23" s="76">
        <v>12.9</v>
      </c>
      <c r="C23" s="76">
        <v>22.31</v>
      </c>
      <c r="D23" s="76">
        <v>55.96</v>
      </c>
      <c r="E23" s="76">
        <v>114.31</v>
      </c>
      <c r="F23" s="76">
        <v>117.07</v>
      </c>
      <c r="G23" s="76">
        <v>173.65</v>
      </c>
      <c r="H23" s="76">
        <v>180.34</v>
      </c>
      <c r="I23" s="76">
        <v>140.33000000000001</v>
      </c>
      <c r="J23" s="76">
        <v>167</v>
      </c>
      <c r="K23" s="76">
        <v>184.85</v>
      </c>
    </row>
    <row r="24" spans="1:13">
      <c r="A24" s="76" t="s">
        <v>123</v>
      </c>
      <c r="B24" s="76">
        <v>5.91</v>
      </c>
      <c r="C24" s="76">
        <v>3.61</v>
      </c>
      <c r="D24" s="76">
        <v>16.68</v>
      </c>
      <c r="E24" s="76">
        <v>2.94</v>
      </c>
      <c r="F24" s="76">
        <v>13.95</v>
      </c>
      <c r="G24" s="76">
        <v>4.3600000000000003</v>
      </c>
      <c r="H24" s="76">
        <v>10.11</v>
      </c>
      <c r="I24" s="76">
        <v>6.78</v>
      </c>
      <c r="J24" s="76">
        <v>25.78</v>
      </c>
      <c r="K24" s="76">
        <v>30.56</v>
      </c>
    </row>
    <row r="25" spans="1:13">
      <c r="A25" s="76" t="s">
        <v>124</v>
      </c>
      <c r="B25" s="78">
        <v>778.19</v>
      </c>
      <c r="C25" s="78">
        <v>857.2</v>
      </c>
      <c r="D25" s="78">
        <v>1110.33</v>
      </c>
      <c r="E25" s="78">
        <v>1458.27</v>
      </c>
      <c r="F25" s="78">
        <v>1748.4</v>
      </c>
      <c r="G25" s="78">
        <v>1670.38</v>
      </c>
      <c r="H25" s="78">
        <v>1601.17</v>
      </c>
      <c r="I25" s="78">
        <v>1528.28</v>
      </c>
      <c r="J25" s="78">
        <v>1531.45</v>
      </c>
      <c r="K25" s="78">
        <v>1536.85</v>
      </c>
    </row>
    <row r="26" spans="1:13">
      <c r="A26" s="76" t="s">
        <v>125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</row>
    <row r="27" spans="1:13">
      <c r="A27" s="76" t="s">
        <v>126</v>
      </c>
      <c r="B27" s="78">
        <v>281.70999999999998</v>
      </c>
      <c r="C27" s="78">
        <v>272.86</v>
      </c>
      <c r="D27" s="78">
        <v>338.66</v>
      </c>
      <c r="E27" s="78">
        <v>396.54</v>
      </c>
      <c r="F27" s="78">
        <v>538.34</v>
      </c>
      <c r="G27" s="78">
        <v>600.22</v>
      </c>
      <c r="H27" s="78">
        <v>625.23</v>
      </c>
      <c r="I27" s="78">
        <v>736.26</v>
      </c>
      <c r="J27" s="78">
        <v>988.74</v>
      </c>
      <c r="K27" s="78">
        <v>974.97</v>
      </c>
    </row>
    <row r="28" spans="1:13">
      <c r="A28" s="76" t="s">
        <v>111</v>
      </c>
      <c r="B28" s="76">
        <v>0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</row>
    <row r="29" spans="1:13">
      <c r="A29" s="76" t="s">
        <v>115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</row>
    <row r="30" spans="1:13">
      <c r="A30" s="76" t="s">
        <v>127</v>
      </c>
      <c r="B30" s="78">
        <v>8</v>
      </c>
      <c r="C30" s="76">
        <v>895.55</v>
      </c>
      <c r="D30" s="78">
        <v>800.75</v>
      </c>
      <c r="E30" s="76">
        <v>419.1</v>
      </c>
      <c r="F30" s="78">
        <v>236.43</v>
      </c>
      <c r="G30" s="76">
        <v>263.58</v>
      </c>
      <c r="H30" s="76">
        <v>1.54</v>
      </c>
      <c r="I30" s="76">
        <v>1.34</v>
      </c>
      <c r="J30" s="76">
        <v>0</v>
      </c>
      <c r="K30" s="76">
        <v>0</v>
      </c>
    </row>
    <row r="31" spans="1:13">
      <c r="A31" s="76" t="s">
        <v>128</v>
      </c>
      <c r="B31" s="76">
        <v>315.32</v>
      </c>
      <c r="C31" s="78">
        <v>276.92</v>
      </c>
      <c r="D31" s="78">
        <v>436.05</v>
      </c>
      <c r="E31" s="78">
        <v>390.14</v>
      </c>
      <c r="F31" s="78">
        <v>250.27</v>
      </c>
      <c r="G31" s="78">
        <v>495.43</v>
      </c>
      <c r="H31" s="78">
        <v>588.62</v>
      </c>
      <c r="I31" s="78">
        <v>642.30999999999995</v>
      </c>
      <c r="J31" s="78">
        <v>778.81</v>
      </c>
      <c r="K31" s="78">
        <v>828.58</v>
      </c>
      <c r="M31" s="80"/>
    </row>
    <row r="32" spans="1:13">
      <c r="A32" s="76" t="s">
        <v>129</v>
      </c>
      <c r="B32" s="76">
        <v>11.21</v>
      </c>
      <c r="C32" s="76">
        <v>666.07</v>
      </c>
      <c r="D32" s="76">
        <v>197.05</v>
      </c>
      <c r="E32" s="76">
        <v>231.52</v>
      </c>
      <c r="F32" s="76">
        <v>77.459999999999994</v>
      </c>
      <c r="G32" s="76">
        <v>109.2</v>
      </c>
      <c r="H32" s="76">
        <v>183.75</v>
      </c>
      <c r="I32" s="76">
        <v>154.75</v>
      </c>
      <c r="J32" s="76">
        <v>89.58</v>
      </c>
      <c r="K32" s="76">
        <v>289.48</v>
      </c>
    </row>
    <row r="33" spans="1:11" ht="23.85">
      <c r="A33" s="76" t="s">
        <v>130</v>
      </c>
      <c r="B33" s="76">
        <v>4.93</v>
      </c>
      <c r="C33" s="76">
        <v>15.39</v>
      </c>
      <c r="D33" s="76">
        <v>3.94</v>
      </c>
      <c r="E33" s="76">
        <v>2.29</v>
      </c>
      <c r="F33" s="76">
        <v>4.99</v>
      </c>
      <c r="G33" s="76">
        <v>4.91</v>
      </c>
      <c r="H33" s="76">
        <v>1.61</v>
      </c>
      <c r="I33" s="76">
        <v>3.41</v>
      </c>
      <c r="J33" s="76">
        <v>28.05</v>
      </c>
      <c r="K33" s="76">
        <v>5.22</v>
      </c>
    </row>
    <row r="34" spans="1:11">
      <c r="A34" s="76" t="s">
        <v>131</v>
      </c>
      <c r="B34" s="76">
        <v>0.09</v>
      </c>
      <c r="C34" s="76">
        <v>0.05</v>
      </c>
      <c r="D34" s="76">
        <v>0.06</v>
      </c>
      <c r="E34" s="76">
        <v>0.04</v>
      </c>
      <c r="F34" s="76">
        <v>0.04</v>
      </c>
      <c r="G34" s="76">
        <v>0.05</v>
      </c>
      <c r="H34" s="76">
        <v>0.06</v>
      </c>
      <c r="I34" s="76">
        <v>0.04</v>
      </c>
      <c r="J34" s="76">
        <v>0.06</v>
      </c>
      <c r="K34" s="76">
        <v>0.06</v>
      </c>
    </row>
    <row r="35" spans="1:11">
      <c r="A35" s="76" t="s">
        <v>132</v>
      </c>
      <c r="B35" s="76">
        <v>2.4900000000000002</v>
      </c>
      <c r="C35" s="76">
        <v>29.25</v>
      </c>
      <c r="D35" s="76">
        <v>23.65</v>
      </c>
      <c r="E35" s="76">
        <v>15.33</v>
      </c>
      <c r="F35" s="76">
        <v>9.1999999999999993</v>
      </c>
      <c r="G35" s="76">
        <v>0.55000000000000004</v>
      </c>
      <c r="H35" s="76">
        <v>1.71</v>
      </c>
      <c r="I35" s="76">
        <v>0.23</v>
      </c>
      <c r="J35" s="76">
        <v>4.83</v>
      </c>
      <c r="K35" s="76">
        <v>4.42</v>
      </c>
    </row>
    <row r="36" spans="1:11">
      <c r="A36" s="76" t="s">
        <v>133</v>
      </c>
      <c r="B36" s="76">
        <v>0</v>
      </c>
      <c r="C36" s="76">
        <v>0</v>
      </c>
      <c r="D36" s="76">
        <v>0</v>
      </c>
      <c r="E36" s="76">
        <v>0</v>
      </c>
      <c r="F36" s="76">
        <v>0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</row>
    <row r="37" spans="1:11">
      <c r="A37" s="76" t="s">
        <v>121</v>
      </c>
      <c r="B37" s="76">
        <v>0</v>
      </c>
      <c r="C37" s="76">
        <v>0</v>
      </c>
      <c r="D37" s="76">
        <v>0</v>
      </c>
      <c r="E37" s="76">
        <v>0</v>
      </c>
      <c r="F37" s="76">
        <v>0</v>
      </c>
      <c r="G37" s="76">
        <v>0</v>
      </c>
      <c r="H37" s="76">
        <v>0</v>
      </c>
      <c r="I37" s="76">
        <v>0</v>
      </c>
      <c r="J37" s="76">
        <v>0</v>
      </c>
      <c r="K37" s="76">
        <v>0</v>
      </c>
    </row>
    <row r="38" spans="1:11">
      <c r="A38" s="76" t="s">
        <v>134</v>
      </c>
      <c r="B38" s="76">
        <v>124.71</v>
      </c>
      <c r="C38" s="76">
        <v>180.37</v>
      </c>
      <c r="D38" s="76">
        <v>238.25</v>
      </c>
      <c r="E38" s="76">
        <v>231.5</v>
      </c>
      <c r="F38" s="76">
        <v>260.58999999999997</v>
      </c>
      <c r="G38" s="76">
        <v>170.98</v>
      </c>
      <c r="H38" s="76">
        <v>185.95</v>
      </c>
      <c r="I38" s="76">
        <v>204.98</v>
      </c>
      <c r="J38" s="76">
        <v>139.4</v>
      </c>
      <c r="K38" s="76">
        <v>94.61</v>
      </c>
    </row>
    <row r="39" spans="1:11">
      <c r="A39" s="76" t="s">
        <v>135</v>
      </c>
      <c r="B39" s="76">
        <v>0</v>
      </c>
      <c r="C39" s="76">
        <v>0</v>
      </c>
      <c r="D39" s="76">
        <v>0</v>
      </c>
      <c r="E39" s="76">
        <v>0</v>
      </c>
      <c r="F39" s="76">
        <v>0</v>
      </c>
      <c r="G39" s="76">
        <v>3.47</v>
      </c>
      <c r="H39" s="76">
        <v>0</v>
      </c>
      <c r="I39" s="76">
        <v>0</v>
      </c>
      <c r="J39" s="76">
        <v>0</v>
      </c>
      <c r="K39" s="76">
        <v>3.25</v>
      </c>
    </row>
    <row r="40" spans="1:11">
      <c r="A40" s="76" t="s">
        <v>136</v>
      </c>
      <c r="B40" s="78">
        <v>748.46</v>
      </c>
      <c r="C40" s="78">
        <v>2336.4699999999998</v>
      </c>
      <c r="D40" s="78">
        <v>2038.41</v>
      </c>
      <c r="E40" s="78">
        <v>1686.47</v>
      </c>
      <c r="F40" s="78">
        <v>1377.32</v>
      </c>
      <c r="G40" s="78">
        <v>1648.39</v>
      </c>
      <c r="H40" s="78">
        <v>1588.47</v>
      </c>
      <c r="I40" s="78">
        <v>1743.32</v>
      </c>
      <c r="J40" s="78">
        <v>2029.47</v>
      </c>
      <c r="K40" s="78">
        <v>2197.34</v>
      </c>
    </row>
    <row r="41" spans="1:1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</row>
    <row r="42" spans="1:11" ht="23.85">
      <c r="A42" s="76" t="s">
        <v>137</v>
      </c>
      <c r="B42" s="76">
        <v>0</v>
      </c>
      <c r="C42" s="76">
        <v>0</v>
      </c>
      <c r="D42" s="76">
        <v>0</v>
      </c>
      <c r="E42" s="76">
        <v>0</v>
      </c>
      <c r="F42" s="76">
        <v>0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</row>
    <row r="43" spans="1:11">
      <c r="A43" s="76" t="s">
        <v>138</v>
      </c>
      <c r="B43" s="76">
        <v>0</v>
      </c>
      <c r="C43" s="76">
        <v>0</v>
      </c>
      <c r="D43" s="76">
        <v>0</v>
      </c>
      <c r="E43" s="76">
        <v>0</v>
      </c>
      <c r="F43" s="76">
        <v>0</v>
      </c>
      <c r="G43" s="76">
        <v>0</v>
      </c>
      <c r="H43" s="76">
        <v>0</v>
      </c>
      <c r="I43" s="76">
        <v>0</v>
      </c>
      <c r="J43" s="76">
        <v>0</v>
      </c>
      <c r="K43" s="76">
        <v>0</v>
      </c>
    </row>
    <row r="44" spans="1:11">
      <c r="A44" s="76" t="s">
        <v>139</v>
      </c>
      <c r="B44" s="76">
        <v>0</v>
      </c>
      <c r="C44" s="76">
        <v>0</v>
      </c>
      <c r="D44" s="76">
        <v>0.87</v>
      </c>
      <c r="E44" s="76">
        <v>0</v>
      </c>
      <c r="F44" s="76">
        <v>0</v>
      </c>
      <c r="G44" s="76">
        <v>0</v>
      </c>
      <c r="H44" s="76">
        <v>3.41</v>
      </c>
      <c r="I44" s="76">
        <v>3.35</v>
      </c>
      <c r="J44" s="76">
        <v>8.48</v>
      </c>
      <c r="K44" s="76">
        <v>3.25</v>
      </c>
    </row>
    <row r="45" spans="1:11" ht="23.85">
      <c r="A45" s="76" t="s">
        <v>140</v>
      </c>
      <c r="B45" s="76">
        <v>0</v>
      </c>
      <c r="C45" s="76">
        <v>0</v>
      </c>
      <c r="D45" s="76">
        <v>0.87</v>
      </c>
      <c r="E45" s="76">
        <v>0</v>
      </c>
      <c r="F45" s="76">
        <v>0</v>
      </c>
      <c r="G45" s="76">
        <v>0</v>
      </c>
      <c r="H45" s="76">
        <v>3.41</v>
      </c>
      <c r="I45" s="76">
        <v>3.35</v>
      </c>
      <c r="J45" s="76">
        <v>8.48</v>
      </c>
      <c r="K45" s="76">
        <v>3.25</v>
      </c>
    </row>
    <row r="46" spans="1:11">
      <c r="A46" s="76" t="s">
        <v>141</v>
      </c>
      <c r="B46" s="78">
        <v>778.19</v>
      </c>
      <c r="C46" s="78">
        <v>857.2</v>
      </c>
      <c r="D46" s="78">
        <v>1111.2</v>
      </c>
      <c r="E46" s="78">
        <v>1458.27</v>
      </c>
      <c r="F46" s="78">
        <v>1748.4</v>
      </c>
      <c r="G46" s="78">
        <v>1670.38</v>
      </c>
      <c r="H46" s="78">
        <v>1604.58</v>
      </c>
      <c r="I46" s="78">
        <v>1531.63</v>
      </c>
      <c r="J46" s="78">
        <v>1539.93</v>
      </c>
      <c r="K46" s="78">
        <v>1540.1</v>
      </c>
    </row>
    <row r="47" spans="1:11">
      <c r="A47" s="76" t="s">
        <v>142</v>
      </c>
      <c r="B47" s="78">
        <v>1526.65</v>
      </c>
      <c r="C47" s="78">
        <v>3193.67</v>
      </c>
      <c r="D47" s="78">
        <v>3149.61</v>
      </c>
      <c r="E47" s="78">
        <v>3144.74</v>
      </c>
      <c r="F47" s="78">
        <v>3125.71</v>
      </c>
      <c r="G47" s="78">
        <v>3318.77</v>
      </c>
      <c r="H47" s="78">
        <v>3193.05</v>
      </c>
      <c r="I47" s="78">
        <v>3274.95</v>
      </c>
      <c r="J47" s="78">
        <v>3569.4</v>
      </c>
      <c r="K47" s="78">
        <v>3737.44</v>
      </c>
    </row>
    <row r="48" spans="1:11">
      <c r="A48" s="76" t="s">
        <v>143</v>
      </c>
      <c r="B48" s="77"/>
      <c r="C48" s="77"/>
      <c r="D48" s="77"/>
      <c r="E48" s="77"/>
      <c r="F48" s="77"/>
      <c r="G48" s="77"/>
      <c r="H48" s="77"/>
      <c r="I48" s="77"/>
      <c r="J48" s="77"/>
      <c r="K48" s="77"/>
    </row>
    <row r="49" spans="1:11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</row>
    <row r="50" spans="1:11">
      <c r="A50" s="76" t="s">
        <v>144</v>
      </c>
      <c r="B50" s="76">
        <v>18.18</v>
      </c>
      <c r="C50" s="76">
        <v>14.07</v>
      </c>
      <c r="D50" s="76">
        <v>14.08</v>
      </c>
      <c r="E50" s="76">
        <v>14.08</v>
      </c>
      <c r="F50" s="76">
        <v>14.08</v>
      </c>
      <c r="G50" s="76">
        <v>14.08</v>
      </c>
      <c r="H50" s="76">
        <v>14.08</v>
      </c>
      <c r="I50" s="76">
        <v>14.08</v>
      </c>
      <c r="J50" s="76">
        <v>14.08</v>
      </c>
      <c r="K50" s="76">
        <v>14.08</v>
      </c>
    </row>
    <row r="51" spans="1:11" ht="23.85">
      <c r="A51" s="76" t="s">
        <v>145</v>
      </c>
      <c r="B51" s="76">
        <v>0</v>
      </c>
      <c r="C51" s="76">
        <v>2.06</v>
      </c>
      <c r="D51" s="76">
        <v>0</v>
      </c>
      <c r="E51" s="76">
        <v>0</v>
      </c>
      <c r="F51" s="76">
        <v>0</v>
      </c>
      <c r="G51" s="76">
        <v>0</v>
      </c>
      <c r="H51" s="76">
        <v>0</v>
      </c>
      <c r="I51" s="76">
        <v>0</v>
      </c>
      <c r="J51" s="76">
        <v>0</v>
      </c>
      <c r="K51" s="76">
        <v>0</v>
      </c>
    </row>
    <row r="52" spans="1:11" ht="23.85">
      <c r="A52" s="76" t="s">
        <v>146</v>
      </c>
      <c r="B52" s="76">
        <v>7.35</v>
      </c>
      <c r="C52" s="76">
        <v>7.35</v>
      </c>
      <c r="D52" s="76">
        <v>7.35</v>
      </c>
      <c r="E52" s="76">
        <v>0.73</v>
      </c>
      <c r="F52" s="76">
        <v>0.73</v>
      </c>
      <c r="G52" s="76">
        <v>0.73</v>
      </c>
      <c r="H52" s="76">
        <v>0.73</v>
      </c>
      <c r="I52" s="76">
        <v>0</v>
      </c>
      <c r="J52" s="76">
        <v>0.73</v>
      </c>
      <c r="K52" s="76">
        <v>0</v>
      </c>
    </row>
    <row r="53" spans="1:11">
      <c r="A53" s="76" t="s">
        <v>147</v>
      </c>
      <c r="B53" s="76">
        <v>9.09</v>
      </c>
      <c r="C53" s="76">
        <v>7.03</v>
      </c>
      <c r="D53" s="76">
        <v>7.04</v>
      </c>
      <c r="E53" s="76">
        <v>7.04</v>
      </c>
      <c r="F53" s="76">
        <v>7.04</v>
      </c>
      <c r="G53" s="76">
        <v>7.04</v>
      </c>
      <c r="H53" s="76">
        <v>7.04</v>
      </c>
      <c r="I53" s="76">
        <v>7.04</v>
      </c>
      <c r="J53" s="76">
        <v>7.04</v>
      </c>
      <c r="K53" s="76">
        <v>7.0405749999999996</v>
      </c>
    </row>
    <row r="54" spans="1:11">
      <c r="A54" s="76" t="s">
        <v>148</v>
      </c>
      <c r="B54" s="76">
        <v>18.18</v>
      </c>
      <c r="C54" s="76">
        <v>14.07</v>
      </c>
      <c r="D54" s="76">
        <v>14.08</v>
      </c>
      <c r="E54" s="76">
        <v>14.08</v>
      </c>
      <c r="F54" s="76">
        <v>14.08</v>
      </c>
      <c r="G54" s="76">
        <v>14.08</v>
      </c>
      <c r="H54" s="76">
        <v>14.08</v>
      </c>
      <c r="I54" s="76">
        <v>14.08</v>
      </c>
      <c r="J54" s="76">
        <v>14.08</v>
      </c>
      <c r="K54" s="76">
        <v>14.08</v>
      </c>
    </row>
    <row r="55" spans="1:11">
      <c r="A55" s="76" t="s">
        <v>149</v>
      </c>
      <c r="B55" s="76">
        <v>0</v>
      </c>
      <c r="C55" s="76">
        <v>0</v>
      </c>
      <c r="D55" s="76">
        <v>0</v>
      </c>
      <c r="E55" s="76">
        <v>0</v>
      </c>
      <c r="F55" s="76">
        <v>0</v>
      </c>
      <c r="G55" s="76">
        <v>0</v>
      </c>
      <c r="H55" s="76">
        <v>0</v>
      </c>
      <c r="I55" s="76">
        <v>0</v>
      </c>
      <c r="J55" s="76">
        <v>0</v>
      </c>
      <c r="K55" s="76">
        <v>0</v>
      </c>
    </row>
    <row r="56" spans="1:11" ht="23.85">
      <c r="A56" s="76" t="s">
        <v>150</v>
      </c>
      <c r="B56" s="76">
        <v>0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</row>
    <row r="57" spans="1:11" ht="23.85">
      <c r="A57" s="76" t="s">
        <v>151</v>
      </c>
      <c r="B57" s="76">
        <v>0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</row>
    <row r="58" spans="1:11">
      <c r="A58" s="76" t="s">
        <v>152</v>
      </c>
      <c r="B58" s="78">
        <v>1045.33</v>
      </c>
      <c r="C58" s="78">
        <v>2666.02</v>
      </c>
      <c r="D58" s="78">
        <v>2605.83</v>
      </c>
      <c r="E58" s="78">
        <v>2517.27</v>
      </c>
      <c r="F58" s="78">
        <v>2542.75</v>
      </c>
      <c r="G58" s="78">
        <v>2604.33</v>
      </c>
      <c r="H58" s="78">
        <v>2421.2199999999998</v>
      </c>
      <c r="I58" s="78">
        <v>2424.2199999999998</v>
      </c>
      <c r="J58" s="78">
        <v>2436.5100000000002</v>
      </c>
      <c r="K58" s="78">
        <v>2703.36</v>
      </c>
    </row>
    <row r="59" spans="1:11">
      <c r="A59" s="76" t="s">
        <v>153</v>
      </c>
      <c r="B59" s="76">
        <v>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</row>
    <row r="60" spans="1:11">
      <c r="A60" s="76" t="s">
        <v>154</v>
      </c>
      <c r="B60" s="76">
        <v>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0.81</v>
      </c>
    </row>
    <row r="61" spans="1:11">
      <c r="A61" s="76" t="s">
        <v>155</v>
      </c>
      <c r="B61" s="76">
        <v>0.12</v>
      </c>
      <c r="C61" s="76">
        <v>0</v>
      </c>
      <c r="D61" s="76">
        <v>0</v>
      </c>
      <c r="E61" s="76">
        <v>0</v>
      </c>
      <c r="F61" s="76">
        <v>0</v>
      </c>
      <c r="G61" s="76">
        <v>0</v>
      </c>
      <c r="H61" s="76">
        <v>0</v>
      </c>
      <c r="I61" s="76">
        <v>0</v>
      </c>
      <c r="J61" s="76">
        <v>0</v>
      </c>
      <c r="K61" s="76">
        <v>0</v>
      </c>
    </row>
    <row r="62" spans="1:11">
      <c r="A62" s="76" t="s">
        <v>156</v>
      </c>
      <c r="B62" s="78">
        <v>1063.6199999999999</v>
      </c>
      <c r="C62" s="78">
        <v>2680.08</v>
      </c>
      <c r="D62" s="78">
        <v>2619.91</v>
      </c>
      <c r="E62" s="78">
        <v>2531.35</v>
      </c>
      <c r="F62" s="78">
        <v>2556.83</v>
      </c>
      <c r="G62" s="78">
        <v>2618.41</v>
      </c>
      <c r="H62" s="78">
        <v>2435.3000000000002</v>
      </c>
      <c r="I62" s="78">
        <v>2438.3000000000002</v>
      </c>
      <c r="J62" s="78">
        <v>2450.59</v>
      </c>
      <c r="K62" s="78">
        <v>2717.44</v>
      </c>
    </row>
    <row r="63" spans="1:11">
      <c r="A63" s="76" t="s">
        <v>157</v>
      </c>
      <c r="B63" s="78">
        <v>1063.5</v>
      </c>
      <c r="C63" s="78">
        <v>2680.08</v>
      </c>
      <c r="D63" s="78">
        <v>2619.91</v>
      </c>
      <c r="E63" s="78">
        <v>2531.35</v>
      </c>
      <c r="F63" s="78">
        <v>2556.83</v>
      </c>
      <c r="G63" s="78">
        <v>2618.41</v>
      </c>
      <c r="H63" s="78">
        <v>2435.3000000000002</v>
      </c>
      <c r="I63" s="78">
        <v>2438.3000000000002</v>
      </c>
      <c r="J63" s="78">
        <v>2450.59</v>
      </c>
      <c r="K63" s="78">
        <v>2717.44</v>
      </c>
    </row>
    <row r="64" spans="1:11">
      <c r="A64" s="76" t="s">
        <v>9</v>
      </c>
      <c r="B64" s="76">
        <v>0</v>
      </c>
      <c r="C64" s="76">
        <v>0</v>
      </c>
      <c r="D64" s="76">
        <v>0</v>
      </c>
      <c r="E64" s="76">
        <v>0</v>
      </c>
      <c r="F64" s="76">
        <v>0</v>
      </c>
      <c r="G64" s="76">
        <v>0</v>
      </c>
      <c r="H64" s="76">
        <v>0</v>
      </c>
      <c r="I64" s="76">
        <v>0</v>
      </c>
      <c r="J64" s="76">
        <v>0</v>
      </c>
      <c r="K64" s="76">
        <v>0</v>
      </c>
    </row>
    <row r="65" spans="1:11">
      <c r="A65" s="76" t="s">
        <v>158</v>
      </c>
      <c r="B65" s="78">
        <v>1063.6199999999999</v>
      </c>
      <c r="C65" s="78">
        <v>2680.08</v>
      </c>
      <c r="D65" s="78">
        <v>2619.91</v>
      </c>
      <c r="E65" s="78">
        <v>2531.35</v>
      </c>
      <c r="F65" s="78">
        <v>2556.83</v>
      </c>
      <c r="G65" s="78">
        <v>2618.41</v>
      </c>
      <c r="H65" s="78">
        <v>2435.3000000000002</v>
      </c>
      <c r="I65" s="78">
        <v>2438.3000000000002</v>
      </c>
      <c r="J65" s="78">
        <v>2450.59</v>
      </c>
      <c r="K65" s="78">
        <v>2717.44</v>
      </c>
    </row>
    <row r="66" spans="1:11">
      <c r="A66" s="76" t="s">
        <v>159</v>
      </c>
      <c r="B66" s="77"/>
      <c r="C66" s="77"/>
      <c r="D66" s="77"/>
      <c r="E66" s="77"/>
      <c r="F66" s="77"/>
      <c r="G66" s="77"/>
      <c r="H66" s="77"/>
      <c r="I66" s="77"/>
      <c r="J66" s="77"/>
      <c r="K66" s="77"/>
    </row>
    <row r="67" spans="1:11">
      <c r="A67" s="76" t="s">
        <v>160</v>
      </c>
      <c r="B67" s="76">
        <v>0.44</v>
      </c>
      <c r="C67" s="76">
        <v>0.33</v>
      </c>
      <c r="D67" s="76">
        <v>0</v>
      </c>
      <c r="E67" s="76">
        <v>0</v>
      </c>
      <c r="F67" s="76">
        <v>0</v>
      </c>
      <c r="G67" s="76">
        <v>89.01</v>
      </c>
      <c r="H67" s="76">
        <v>63.65</v>
      </c>
      <c r="I67" s="76">
        <v>38.22</v>
      </c>
      <c r="J67" s="76">
        <v>60.81</v>
      </c>
      <c r="K67" s="76">
        <v>39.119999999999997</v>
      </c>
    </row>
    <row r="68" spans="1:11">
      <c r="A68" s="76" t="s">
        <v>161</v>
      </c>
      <c r="B68" s="76">
        <v>0</v>
      </c>
      <c r="C68" s="76">
        <v>0</v>
      </c>
      <c r="D68" s="76">
        <v>0</v>
      </c>
      <c r="E68" s="76">
        <v>0</v>
      </c>
      <c r="F68" s="76">
        <v>0</v>
      </c>
      <c r="G68" s="76">
        <v>4.22</v>
      </c>
      <c r="H68" s="76">
        <v>5.16</v>
      </c>
      <c r="I68" s="76">
        <v>4.21</v>
      </c>
      <c r="J68" s="76">
        <v>4.6100000000000003</v>
      </c>
      <c r="K68" s="76">
        <v>26</v>
      </c>
    </row>
    <row r="69" spans="1:11">
      <c r="A69" s="76" t="s">
        <v>162</v>
      </c>
      <c r="B69" s="78">
        <v>20.149999999999999</v>
      </c>
      <c r="C69" s="76">
        <v>0</v>
      </c>
      <c r="D69" s="76">
        <v>0</v>
      </c>
      <c r="E69" s="76">
        <v>0</v>
      </c>
      <c r="F69" s="76">
        <v>0</v>
      </c>
      <c r="G69" s="76">
        <v>0</v>
      </c>
      <c r="H69" s="76">
        <v>0</v>
      </c>
      <c r="I69" s="76">
        <v>0</v>
      </c>
      <c r="J69" s="76">
        <v>0</v>
      </c>
      <c r="K69" s="76">
        <v>0</v>
      </c>
    </row>
    <row r="70" spans="1:11">
      <c r="A70" s="76" t="s">
        <v>163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</row>
    <row r="71" spans="1:11">
      <c r="A71" s="76" t="s">
        <v>164</v>
      </c>
      <c r="B71" s="76">
        <v>25.33</v>
      </c>
      <c r="C71" s="76">
        <v>10.76</v>
      </c>
      <c r="D71" s="76">
        <v>14.6</v>
      </c>
      <c r="E71" s="76">
        <v>23.51</v>
      </c>
      <c r="F71" s="76">
        <v>30.41</v>
      </c>
      <c r="G71" s="76">
        <v>39.96</v>
      </c>
      <c r="H71" s="76">
        <v>41.91</v>
      </c>
      <c r="I71" s="76">
        <v>35.799999999999997</v>
      </c>
      <c r="J71" s="76">
        <v>37.86</v>
      </c>
      <c r="K71" s="76">
        <v>28.64</v>
      </c>
    </row>
    <row r="72" spans="1:11">
      <c r="A72" s="76" t="s">
        <v>165</v>
      </c>
      <c r="B72" s="76">
        <v>24.5</v>
      </c>
      <c r="C72" s="76">
        <v>34.29</v>
      </c>
      <c r="D72" s="76">
        <v>7.5</v>
      </c>
      <c r="E72" s="76">
        <v>0</v>
      </c>
      <c r="F72" s="76">
        <v>13.7</v>
      </c>
      <c r="G72" s="76">
        <v>0</v>
      </c>
      <c r="H72" s="76">
        <v>0</v>
      </c>
      <c r="I72" s="76">
        <v>0</v>
      </c>
      <c r="J72" s="76">
        <v>0</v>
      </c>
      <c r="K72" s="76">
        <v>39.880000000000003</v>
      </c>
    </row>
    <row r="73" spans="1:11">
      <c r="A73" s="76" t="s">
        <v>166</v>
      </c>
      <c r="B73" s="78">
        <v>0</v>
      </c>
      <c r="C73" s="78">
        <v>0</v>
      </c>
      <c r="D73" s="78">
        <v>0</v>
      </c>
      <c r="E73" s="78">
        <v>0</v>
      </c>
      <c r="F73" s="78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</row>
    <row r="74" spans="1:11">
      <c r="A74" s="76" t="s">
        <v>167</v>
      </c>
      <c r="B74" s="76">
        <v>0</v>
      </c>
      <c r="C74" s="78">
        <v>4.6900000000000004</v>
      </c>
      <c r="D74" s="78">
        <v>4.6900000000000004</v>
      </c>
      <c r="E74" s="76">
        <v>4.6900000000000004</v>
      </c>
      <c r="F74" s="76">
        <v>4.6900000000000004</v>
      </c>
      <c r="G74" s="76">
        <v>4.6900000000000004</v>
      </c>
      <c r="H74" s="76">
        <v>1.1000000000000001</v>
      </c>
      <c r="I74" s="76">
        <v>0.87</v>
      </c>
      <c r="J74" s="76">
        <v>0.64</v>
      </c>
      <c r="K74" s="76">
        <v>0.42</v>
      </c>
    </row>
    <row r="75" spans="1:11">
      <c r="A75" s="76" t="s">
        <v>168</v>
      </c>
      <c r="B75" s="78">
        <v>70.400000000000006</v>
      </c>
      <c r="C75" s="78">
        <v>50.07</v>
      </c>
      <c r="D75" s="78">
        <v>26.79</v>
      </c>
      <c r="E75" s="78">
        <v>46.66</v>
      </c>
      <c r="F75" s="78">
        <v>63.12</v>
      </c>
      <c r="G75" s="76">
        <v>148.24</v>
      </c>
      <c r="H75" s="76">
        <v>118.14</v>
      </c>
      <c r="I75" s="76">
        <v>99.05</v>
      </c>
      <c r="J75" s="78">
        <v>124.5</v>
      </c>
      <c r="K75" s="78">
        <v>134.06</v>
      </c>
    </row>
    <row r="76" spans="1:11">
      <c r="A76" s="76" t="s">
        <v>169</v>
      </c>
      <c r="B76" s="77"/>
      <c r="C76" s="77"/>
      <c r="D76" s="77"/>
      <c r="E76" s="77"/>
      <c r="F76" s="77"/>
      <c r="G76" s="77"/>
      <c r="H76" s="77"/>
      <c r="I76" s="77"/>
      <c r="J76" s="77"/>
      <c r="K76" s="77"/>
    </row>
    <row r="77" spans="1:11">
      <c r="A77" s="76" t="s">
        <v>170</v>
      </c>
      <c r="B77" s="76">
        <v>97.62</v>
      </c>
      <c r="C77" s="76">
        <v>150.29</v>
      </c>
      <c r="D77" s="76">
        <v>199.67</v>
      </c>
      <c r="E77" s="76">
        <v>184.03</v>
      </c>
      <c r="F77" s="76">
        <v>100.63</v>
      </c>
      <c r="G77" s="76">
        <v>241.35</v>
      </c>
      <c r="H77" s="76">
        <v>233.74</v>
      </c>
      <c r="I77" s="76">
        <v>180.93</v>
      </c>
      <c r="J77" s="76">
        <v>369.16</v>
      </c>
      <c r="K77" s="76">
        <v>429.66</v>
      </c>
    </row>
    <row r="78" spans="1:11">
      <c r="A78" s="76" t="s">
        <v>161</v>
      </c>
      <c r="B78" s="76">
        <v>0</v>
      </c>
      <c r="C78" s="76">
        <v>0</v>
      </c>
      <c r="D78" s="76">
        <v>0</v>
      </c>
      <c r="E78" s="76">
        <v>0</v>
      </c>
      <c r="F78" s="76">
        <v>0</v>
      </c>
      <c r="G78" s="76">
        <v>4.22</v>
      </c>
      <c r="H78" s="76">
        <v>5.16</v>
      </c>
      <c r="I78" s="76">
        <v>4.21</v>
      </c>
      <c r="J78" s="76">
        <v>4.6100000000000003</v>
      </c>
      <c r="K78" s="76">
        <v>5.37</v>
      </c>
    </row>
    <row r="79" spans="1:11">
      <c r="A79" s="76" t="s">
        <v>171</v>
      </c>
      <c r="B79" s="78">
        <v>210.73</v>
      </c>
      <c r="C79" s="78">
        <v>226.23</v>
      </c>
      <c r="D79" s="78">
        <v>221.41</v>
      </c>
      <c r="E79" s="78">
        <v>250.22</v>
      </c>
      <c r="F79" s="78">
        <v>210.08</v>
      </c>
      <c r="G79" s="78">
        <v>183.19</v>
      </c>
      <c r="H79" s="78">
        <v>290.69</v>
      </c>
      <c r="I79" s="78">
        <v>351.26</v>
      </c>
      <c r="J79" s="78">
        <v>386.94</v>
      </c>
      <c r="K79" s="78">
        <v>356.63</v>
      </c>
    </row>
    <row r="80" spans="1:11">
      <c r="A80" s="76" t="s">
        <v>172</v>
      </c>
      <c r="B80" s="76">
        <v>52.75</v>
      </c>
      <c r="C80" s="76">
        <v>42.02</v>
      </c>
      <c r="D80" s="76">
        <v>33.71</v>
      </c>
      <c r="E80" s="76">
        <v>72.7</v>
      </c>
      <c r="F80" s="76">
        <v>116.19</v>
      </c>
      <c r="G80" s="76">
        <v>52.53</v>
      </c>
      <c r="H80" s="76">
        <v>45.62</v>
      </c>
      <c r="I80" s="76">
        <v>29.18</v>
      </c>
      <c r="J80" s="76">
        <v>66.290000000000006</v>
      </c>
      <c r="K80" s="78">
        <v>59.66</v>
      </c>
    </row>
    <row r="81" spans="1:11">
      <c r="A81" s="76" t="s">
        <v>173</v>
      </c>
      <c r="B81" s="76">
        <v>1.68</v>
      </c>
      <c r="C81" s="76">
        <v>4.6100000000000003</v>
      </c>
      <c r="D81" s="76">
        <v>2.14</v>
      </c>
      <c r="E81" s="76">
        <v>0.63</v>
      </c>
      <c r="F81" s="76">
        <v>3.26</v>
      </c>
      <c r="G81" s="76">
        <v>2.1</v>
      </c>
      <c r="H81" s="76">
        <v>0.49</v>
      </c>
      <c r="I81" s="76">
        <v>2.21</v>
      </c>
      <c r="J81" s="76">
        <v>4.34</v>
      </c>
      <c r="K81" s="76">
        <v>0</v>
      </c>
    </row>
    <row r="82" spans="1:11">
      <c r="A82" s="76" t="s">
        <v>174</v>
      </c>
      <c r="B82" s="76">
        <v>14.57</v>
      </c>
      <c r="C82" s="76">
        <v>19.350000000000001</v>
      </c>
      <c r="D82" s="76">
        <v>11.25</v>
      </c>
      <c r="E82" s="76">
        <v>9.81</v>
      </c>
      <c r="F82" s="76">
        <v>14.83</v>
      </c>
      <c r="G82" s="76">
        <v>16.09</v>
      </c>
      <c r="H82" s="76">
        <v>12.01</v>
      </c>
      <c r="I82" s="76">
        <v>135.85</v>
      </c>
      <c r="J82" s="76">
        <v>137.63999999999999</v>
      </c>
      <c r="K82" s="76">
        <v>4.7</v>
      </c>
    </row>
    <row r="83" spans="1:11">
      <c r="A83" s="76" t="s">
        <v>166</v>
      </c>
      <c r="B83" s="76">
        <v>0</v>
      </c>
      <c r="C83" s="76">
        <v>0</v>
      </c>
      <c r="D83" s="76">
        <v>0</v>
      </c>
      <c r="E83" s="76">
        <v>0</v>
      </c>
      <c r="F83" s="78">
        <v>0</v>
      </c>
      <c r="G83" s="76">
        <v>0</v>
      </c>
      <c r="H83" s="76">
        <v>0</v>
      </c>
      <c r="I83" s="76">
        <v>0</v>
      </c>
      <c r="J83" s="76">
        <v>0</v>
      </c>
      <c r="K83" s="76">
        <v>0</v>
      </c>
    </row>
    <row r="84" spans="1:11">
      <c r="A84" s="76" t="s">
        <v>175</v>
      </c>
      <c r="B84" s="76">
        <v>15.26</v>
      </c>
      <c r="C84" s="76">
        <v>21.01</v>
      </c>
      <c r="D84" s="76">
        <v>34.74</v>
      </c>
      <c r="E84" s="76">
        <v>45.31</v>
      </c>
      <c r="F84" s="76">
        <v>56.63</v>
      </c>
      <c r="G84" s="76">
        <v>52.65</v>
      </c>
      <c r="H84" s="76">
        <v>51.89</v>
      </c>
      <c r="I84" s="76">
        <v>33.96</v>
      </c>
      <c r="J84" s="76">
        <v>22.99</v>
      </c>
      <c r="K84" s="76">
        <v>29.92</v>
      </c>
    </row>
    <row r="85" spans="1:11" ht="23.85">
      <c r="A85" s="76" t="s">
        <v>176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</row>
    <row r="86" spans="1:11">
      <c r="A86" s="76" t="s">
        <v>177</v>
      </c>
      <c r="B86" s="78">
        <v>392.62</v>
      </c>
      <c r="C86" s="78">
        <v>463.51</v>
      </c>
      <c r="D86" s="78">
        <v>502.92</v>
      </c>
      <c r="E86" s="78">
        <v>566.73</v>
      </c>
      <c r="F86" s="78">
        <v>505.76</v>
      </c>
      <c r="G86" s="78">
        <v>552.13</v>
      </c>
      <c r="H86" s="78">
        <v>639.6</v>
      </c>
      <c r="I86" s="78">
        <v>737.6</v>
      </c>
      <c r="J86" s="78">
        <v>991.97</v>
      </c>
      <c r="K86" s="78">
        <v>885.94</v>
      </c>
    </row>
    <row r="87" spans="1:11" ht="23.85">
      <c r="A87" s="76" t="s">
        <v>137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</row>
    <row r="88" spans="1:11">
      <c r="A88" s="76" t="s">
        <v>178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</row>
    <row r="89" spans="1:11">
      <c r="A89" s="76" t="s">
        <v>179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</row>
    <row r="90" spans="1:11" ht="23.85">
      <c r="A90" s="76" t="s">
        <v>180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2.34</v>
      </c>
      <c r="K90" s="76">
        <v>0</v>
      </c>
    </row>
    <row r="91" spans="1:11">
      <c r="A91" s="76" t="s">
        <v>181</v>
      </c>
      <c r="B91" s="78">
        <v>1526.65</v>
      </c>
      <c r="C91" s="78">
        <v>3193.67</v>
      </c>
      <c r="D91" s="78">
        <v>3149.61</v>
      </c>
      <c r="E91" s="78">
        <v>3144.74</v>
      </c>
      <c r="F91" s="78">
        <v>3125.71</v>
      </c>
      <c r="G91" s="78">
        <v>3318.77</v>
      </c>
      <c r="H91" s="78">
        <v>3193.05</v>
      </c>
      <c r="I91" s="78">
        <v>3274.95</v>
      </c>
      <c r="J91" s="78">
        <v>3569.4</v>
      </c>
      <c r="K91" s="78">
        <v>3737.44</v>
      </c>
    </row>
    <row r="92" spans="1:11" ht="23.85">
      <c r="A92" s="52" t="s">
        <v>182</v>
      </c>
      <c r="B92" s="52">
        <v>38.18</v>
      </c>
      <c r="C92" s="81">
        <v>24.4</v>
      </c>
      <c r="D92" s="81">
        <v>151.53</v>
      </c>
      <c r="E92" s="81">
        <v>182.04</v>
      </c>
      <c r="F92" s="81">
        <v>151.65</v>
      </c>
      <c r="G92" s="52">
        <v>145.38999999999999</v>
      </c>
      <c r="H92" s="52">
        <v>348.57</v>
      </c>
      <c r="I92" s="81">
        <v>471.15</v>
      </c>
      <c r="J92" s="52">
        <v>563.48</v>
      </c>
      <c r="K92" s="52">
        <v>0</v>
      </c>
    </row>
    <row r="93" spans="1:11">
      <c r="A93" s="52" t="s">
        <v>183</v>
      </c>
      <c r="B93" s="52">
        <v>117.03</v>
      </c>
      <c r="C93" s="52">
        <v>381.03</v>
      </c>
      <c r="D93" s="52">
        <v>372.23</v>
      </c>
      <c r="E93" s="52">
        <v>359.54</v>
      </c>
      <c r="F93" s="52">
        <v>363.16</v>
      </c>
      <c r="G93" s="52">
        <v>371.9</v>
      </c>
      <c r="H93" s="52">
        <v>345.9</v>
      </c>
      <c r="I93" s="52">
        <v>346.32</v>
      </c>
      <c r="J93" s="52">
        <v>348.07</v>
      </c>
      <c r="K93" s="52">
        <v>385.97</v>
      </c>
    </row>
  </sheetData>
  <mergeCells count="1">
    <mergeCell ref="A1:K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5"/>
  <sheetViews>
    <sheetView topLeftCell="A10" zoomScaleNormal="100" workbookViewId="0"/>
  </sheetViews>
  <sheetFormatPr defaultColWidth="8.7109375" defaultRowHeight="15" customHeight="1"/>
  <cols>
    <col min="1" max="1" width="83.42578125" customWidth="1"/>
    <col min="2" max="11" width="10.28515625" customWidth="1"/>
  </cols>
  <sheetData>
    <row r="1" spans="1:11" ht="13.5" customHeight="1">
      <c r="A1" s="8" t="s">
        <v>184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>
      <c r="A2" s="75" t="s">
        <v>99</v>
      </c>
      <c r="B2" s="75">
        <v>201703</v>
      </c>
      <c r="C2" s="75">
        <v>201803</v>
      </c>
      <c r="D2" s="75">
        <v>201903</v>
      </c>
      <c r="E2" s="75">
        <v>202003</v>
      </c>
      <c r="F2" s="75">
        <v>202103</v>
      </c>
      <c r="G2" s="75">
        <v>202203</v>
      </c>
      <c r="H2" s="75">
        <v>202303</v>
      </c>
      <c r="I2" s="75">
        <v>202403</v>
      </c>
      <c r="J2" s="75">
        <v>202503</v>
      </c>
      <c r="K2" s="75">
        <v>202603</v>
      </c>
    </row>
    <row r="3" spans="1:11">
      <c r="A3" s="76" t="s">
        <v>185</v>
      </c>
      <c r="B3" s="78">
        <v>698.67</v>
      </c>
      <c r="C3" s="78">
        <v>814.98</v>
      </c>
      <c r="D3" s="78">
        <v>1180.05</v>
      </c>
      <c r="E3" s="78">
        <v>1103.71</v>
      </c>
      <c r="F3" s="78">
        <v>1235.1400000000001</v>
      </c>
      <c r="G3" s="78">
        <v>1269.83</v>
      </c>
      <c r="H3" s="78">
        <v>1343.02</v>
      </c>
      <c r="I3" s="78">
        <v>1785.11</v>
      </c>
      <c r="J3" s="78">
        <v>2110.9699999999998</v>
      </c>
      <c r="K3" s="78">
        <v>2201.85</v>
      </c>
    </row>
    <row r="4" spans="1:11">
      <c r="A4" s="76" t="s">
        <v>186</v>
      </c>
      <c r="B4" s="76">
        <v>0.95</v>
      </c>
      <c r="C4" s="76">
        <v>0.39</v>
      </c>
      <c r="D4" s="76">
        <v>0</v>
      </c>
      <c r="E4" s="76">
        <v>0</v>
      </c>
      <c r="F4" s="76">
        <v>0</v>
      </c>
      <c r="G4" s="76">
        <v>0</v>
      </c>
      <c r="H4" s="76">
        <v>0</v>
      </c>
      <c r="I4" s="76">
        <v>0</v>
      </c>
      <c r="J4" s="76">
        <v>0</v>
      </c>
      <c r="K4" s="76">
        <v>0</v>
      </c>
    </row>
    <row r="5" spans="1:11">
      <c r="A5" s="76" t="s">
        <v>187</v>
      </c>
      <c r="B5" s="78">
        <v>697.71</v>
      </c>
      <c r="C5" s="78">
        <v>814.59</v>
      </c>
      <c r="D5" s="78">
        <v>1180.05</v>
      </c>
      <c r="E5" s="78">
        <v>1103.71</v>
      </c>
      <c r="F5" s="78">
        <v>1235.1400000000001</v>
      </c>
      <c r="G5" s="78">
        <v>1269.83</v>
      </c>
      <c r="H5" s="78">
        <v>1343.02</v>
      </c>
      <c r="I5" s="78">
        <v>1785.11</v>
      </c>
      <c r="J5" s="78">
        <v>2110.9699999999998</v>
      </c>
      <c r="K5" s="78">
        <v>2201.85</v>
      </c>
    </row>
    <row r="6" spans="1:11">
      <c r="A6" s="76" t="s">
        <v>188</v>
      </c>
      <c r="B6" s="76">
        <v>5.5</v>
      </c>
      <c r="C6" s="76">
        <v>60.88</v>
      </c>
      <c r="D6" s="76">
        <v>98.41</v>
      </c>
      <c r="E6" s="76">
        <v>91.31</v>
      </c>
      <c r="F6" s="76">
        <v>50.19</v>
      </c>
      <c r="G6" s="76">
        <v>47.51</v>
      </c>
      <c r="H6" s="76">
        <v>38.520000000000003</v>
      </c>
      <c r="I6" s="76">
        <v>31.59</v>
      </c>
      <c r="J6" s="76">
        <v>35.32</v>
      </c>
      <c r="K6" s="76">
        <v>63.06</v>
      </c>
    </row>
    <row r="7" spans="1:11">
      <c r="A7" s="76" t="s">
        <v>189</v>
      </c>
      <c r="B7" s="78">
        <v>703.22</v>
      </c>
      <c r="C7" s="78">
        <v>875.47</v>
      </c>
      <c r="D7" s="78">
        <v>1278.46</v>
      </c>
      <c r="E7" s="78">
        <v>1195.03</v>
      </c>
      <c r="F7" s="78">
        <v>1285.32</v>
      </c>
      <c r="G7" s="78">
        <v>1317.34</v>
      </c>
      <c r="H7" s="78">
        <v>1381.54</v>
      </c>
      <c r="I7" s="78">
        <v>1816.7</v>
      </c>
      <c r="J7" s="78">
        <v>2146.29</v>
      </c>
      <c r="K7" s="78">
        <v>2264.91</v>
      </c>
    </row>
    <row r="8" spans="1:11">
      <c r="A8" s="76" t="s">
        <v>190</v>
      </c>
      <c r="B8" s="77"/>
      <c r="C8" s="77"/>
      <c r="D8" s="77"/>
      <c r="E8" s="77"/>
      <c r="F8" s="77"/>
      <c r="G8" s="77"/>
      <c r="H8" s="77"/>
      <c r="I8" s="77"/>
      <c r="J8" s="77"/>
      <c r="K8" s="77"/>
    </row>
    <row r="9" spans="1:11">
      <c r="A9" s="76" t="s">
        <v>191</v>
      </c>
      <c r="B9" s="78">
        <v>262.42</v>
      </c>
      <c r="C9" s="78">
        <v>387.57</v>
      </c>
      <c r="D9" s="78">
        <v>476.92</v>
      </c>
      <c r="E9" s="78">
        <v>421.88</v>
      </c>
      <c r="F9" s="78">
        <v>466.99</v>
      </c>
      <c r="G9" s="78">
        <v>456.01</v>
      </c>
      <c r="H9" s="78">
        <v>532.20000000000005</v>
      </c>
      <c r="I9" s="78">
        <v>762.83</v>
      </c>
      <c r="J9" s="78">
        <v>888.24</v>
      </c>
      <c r="K9" s="78">
        <v>768.83</v>
      </c>
    </row>
    <row r="10" spans="1:11">
      <c r="A10" s="76" t="s">
        <v>192</v>
      </c>
      <c r="B10" s="76">
        <v>0</v>
      </c>
      <c r="C10" s="76">
        <v>0</v>
      </c>
      <c r="D10" s="76">
        <v>0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</row>
    <row r="11" spans="1:11">
      <c r="A11" s="76" t="s">
        <v>193</v>
      </c>
      <c r="B11" s="76">
        <v>0</v>
      </c>
      <c r="C11" s="76">
        <v>0.16</v>
      </c>
      <c r="D11" s="76">
        <v>0.21</v>
      </c>
      <c r="E11" s="76">
        <v>1.04</v>
      </c>
      <c r="F11" s="76">
        <v>0.54</v>
      </c>
      <c r="G11" s="76">
        <v>1.35</v>
      </c>
      <c r="H11" s="76">
        <v>1.53</v>
      </c>
      <c r="I11" s="76">
        <v>80.83</v>
      </c>
      <c r="J11" s="76">
        <v>175.78</v>
      </c>
      <c r="K11" s="76">
        <v>231.51</v>
      </c>
    </row>
    <row r="12" spans="1:11">
      <c r="A12" s="76" t="s">
        <v>194</v>
      </c>
      <c r="B12" s="76">
        <v>-3.25</v>
      </c>
      <c r="C12" s="76">
        <v>-29.48</v>
      </c>
      <c r="D12" s="76">
        <v>-32.479999999999997</v>
      </c>
      <c r="E12" s="76">
        <v>-35.76</v>
      </c>
      <c r="F12" s="76">
        <v>-88.14</v>
      </c>
      <c r="G12" s="76">
        <v>-41.53</v>
      </c>
      <c r="H12" s="76">
        <v>17.2</v>
      </c>
      <c r="I12" s="76">
        <v>-106.96</v>
      </c>
      <c r="J12" s="76">
        <v>-200.35</v>
      </c>
      <c r="K12" s="76">
        <v>-200.35</v>
      </c>
    </row>
    <row r="13" spans="1:11">
      <c r="A13" s="76" t="s">
        <v>195</v>
      </c>
      <c r="B13" s="76">
        <v>169.04</v>
      </c>
      <c r="C13" s="76">
        <v>200.64</v>
      </c>
      <c r="D13" s="78">
        <v>238.52</v>
      </c>
      <c r="E13" s="78">
        <v>273.27999999999997</v>
      </c>
      <c r="F13" s="76">
        <v>306.97000000000003</v>
      </c>
      <c r="G13" s="76">
        <v>330.49</v>
      </c>
      <c r="H13" s="78">
        <v>356.41</v>
      </c>
      <c r="I13" s="78">
        <v>403.2</v>
      </c>
      <c r="J13" s="78">
        <v>402.21</v>
      </c>
      <c r="K13" s="78">
        <v>396.63</v>
      </c>
    </row>
    <row r="14" spans="1:11">
      <c r="A14" s="76" t="s">
        <v>196</v>
      </c>
      <c r="B14" s="76">
        <v>3.36</v>
      </c>
      <c r="C14" s="76">
        <v>8.01</v>
      </c>
      <c r="D14" s="76">
        <v>7.52</v>
      </c>
      <c r="E14" s="76">
        <v>7.85</v>
      </c>
      <c r="F14" s="76">
        <v>5.12</v>
      </c>
      <c r="G14" s="76">
        <v>6.11</v>
      </c>
      <c r="H14" s="76">
        <v>17.309999999999999</v>
      </c>
      <c r="I14" s="76">
        <v>22.66</v>
      </c>
      <c r="J14" s="76">
        <v>21.03</v>
      </c>
      <c r="K14" s="76">
        <v>31.59</v>
      </c>
    </row>
    <row r="15" spans="1:11">
      <c r="A15" s="76" t="s">
        <v>197</v>
      </c>
      <c r="B15" s="76">
        <v>43.52</v>
      </c>
      <c r="C15" s="76">
        <v>50.51</v>
      </c>
      <c r="D15" s="76">
        <v>67.37</v>
      </c>
      <c r="E15" s="76">
        <v>81.67</v>
      </c>
      <c r="F15" s="76">
        <v>84.36</v>
      </c>
      <c r="G15" s="76">
        <v>91.17</v>
      </c>
      <c r="H15" s="76">
        <v>113.44</v>
      </c>
      <c r="I15" s="76">
        <v>123.16</v>
      </c>
      <c r="J15" s="76">
        <v>124.56</v>
      </c>
      <c r="K15" s="76">
        <v>125.12</v>
      </c>
    </row>
    <row r="16" spans="1:11">
      <c r="A16" s="76" t="s">
        <v>198</v>
      </c>
      <c r="B16" s="78">
        <v>310.89999999999998</v>
      </c>
      <c r="C16" s="78">
        <v>387.59</v>
      </c>
      <c r="D16" s="78">
        <v>580.37</v>
      </c>
      <c r="E16" s="78">
        <v>494.09</v>
      </c>
      <c r="F16" s="78">
        <v>457.67</v>
      </c>
      <c r="G16" s="78">
        <v>450.72</v>
      </c>
      <c r="H16" s="78">
        <v>481.24</v>
      </c>
      <c r="I16" s="78">
        <v>558.33000000000004</v>
      </c>
      <c r="J16" s="78">
        <v>580.23</v>
      </c>
      <c r="K16" s="78">
        <v>600.5</v>
      </c>
    </row>
    <row r="17" spans="1:11">
      <c r="A17" s="76" t="s">
        <v>199</v>
      </c>
      <c r="B17" s="78">
        <v>785.98</v>
      </c>
      <c r="C17" s="78">
        <v>1005</v>
      </c>
      <c r="D17" s="78">
        <v>1338.43</v>
      </c>
      <c r="E17" s="78">
        <v>1244.05</v>
      </c>
      <c r="F17" s="78">
        <v>1233.5</v>
      </c>
      <c r="G17" s="78">
        <v>1294.31</v>
      </c>
      <c r="H17" s="78">
        <v>1519.33</v>
      </c>
      <c r="I17" s="78">
        <v>1844.05</v>
      </c>
      <c r="J17" s="78">
        <v>1991.7</v>
      </c>
      <c r="K17" s="78">
        <v>2174.39</v>
      </c>
    </row>
    <row r="18" spans="1:11">
      <c r="A18" s="76" t="s">
        <v>200</v>
      </c>
      <c r="B18" s="76">
        <v>0.19</v>
      </c>
      <c r="C18" s="76">
        <v>-0.22</v>
      </c>
      <c r="D18" s="76">
        <v>7.0000000000000007E-2</v>
      </c>
      <c r="E18" s="76">
        <v>0.81</v>
      </c>
      <c r="F18" s="76">
        <v>-0.34</v>
      </c>
      <c r="G18" s="76">
        <v>-1.06</v>
      </c>
      <c r="H18" s="76">
        <v>0</v>
      </c>
      <c r="I18" s="76">
        <v>0</v>
      </c>
      <c r="J18" s="76">
        <v>0</v>
      </c>
      <c r="K18" s="76">
        <v>0</v>
      </c>
    </row>
    <row r="19" spans="1:11">
      <c r="A19" s="76" t="s">
        <v>201</v>
      </c>
      <c r="B19" s="76">
        <v>0</v>
      </c>
      <c r="C19" s="76">
        <v>0</v>
      </c>
      <c r="D19" s="76">
        <v>0</v>
      </c>
      <c r="E19" s="76">
        <v>0</v>
      </c>
      <c r="F19" s="76">
        <v>0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</row>
    <row r="20" spans="1:11">
      <c r="A20" s="76" t="s">
        <v>202</v>
      </c>
      <c r="B20" s="78">
        <v>-82.58</v>
      </c>
      <c r="C20" s="78">
        <v>-129.76</v>
      </c>
      <c r="D20" s="78">
        <v>-59.91</v>
      </c>
      <c r="E20" s="76">
        <v>-48.21</v>
      </c>
      <c r="F20" s="76">
        <v>51.48</v>
      </c>
      <c r="G20" s="76">
        <v>21.97</v>
      </c>
      <c r="H20" s="78">
        <v>-137.80000000000001</v>
      </c>
      <c r="I20" s="78">
        <v>-27.35</v>
      </c>
      <c r="J20" s="78">
        <v>154.59</v>
      </c>
      <c r="K20" s="78">
        <v>90.52</v>
      </c>
    </row>
    <row r="21" spans="1:11">
      <c r="A21" s="76" t="s">
        <v>203</v>
      </c>
      <c r="B21" s="76">
        <v>0</v>
      </c>
      <c r="C21" s="76">
        <v>0</v>
      </c>
      <c r="D21" s="76">
        <v>0</v>
      </c>
      <c r="E21" s="76">
        <v>0</v>
      </c>
      <c r="F21" s="76">
        <v>0</v>
      </c>
      <c r="G21" s="76">
        <v>0</v>
      </c>
      <c r="H21" s="76">
        <v>-38.57</v>
      </c>
      <c r="I21" s="76">
        <v>-57.61</v>
      </c>
      <c r="J21" s="76">
        <v>0</v>
      </c>
      <c r="K21" s="76">
        <v>201.86</v>
      </c>
    </row>
    <row r="22" spans="1:11">
      <c r="A22" s="76" t="s">
        <v>204</v>
      </c>
      <c r="B22" s="78">
        <v>-82.58</v>
      </c>
      <c r="C22" s="78">
        <v>-129.76</v>
      </c>
      <c r="D22" s="78">
        <v>-59.91</v>
      </c>
      <c r="E22" s="76">
        <v>-48.21</v>
      </c>
      <c r="F22" s="76">
        <v>51.48</v>
      </c>
      <c r="G22" s="76">
        <v>21.97</v>
      </c>
      <c r="H22" s="78">
        <v>-176.36</v>
      </c>
      <c r="I22" s="78">
        <v>-84.96</v>
      </c>
      <c r="J22" s="78">
        <v>154.59</v>
      </c>
      <c r="K22" s="78">
        <v>292.38</v>
      </c>
    </row>
    <row r="23" spans="1:11">
      <c r="A23" s="76" t="s">
        <v>205</v>
      </c>
      <c r="B23" s="76">
        <v>0</v>
      </c>
      <c r="C23" s="76">
        <v>0</v>
      </c>
      <c r="D23" s="76">
        <v>0</v>
      </c>
      <c r="E23" s="76">
        <v>0</v>
      </c>
      <c r="F23" s="76">
        <v>0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</row>
    <row r="24" spans="1:11">
      <c r="A24" s="76" t="s">
        <v>206</v>
      </c>
      <c r="B24" s="76">
        <v>0</v>
      </c>
      <c r="C24" s="76">
        <v>0</v>
      </c>
      <c r="D24" s="76">
        <v>0</v>
      </c>
      <c r="E24" s="76">
        <v>0</v>
      </c>
      <c r="F24" s="76">
        <v>0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</row>
    <row r="25" spans="1:11">
      <c r="A25" s="76" t="s">
        <v>207</v>
      </c>
      <c r="B25" s="76">
        <v>0</v>
      </c>
      <c r="C25" s="76">
        <v>0</v>
      </c>
      <c r="D25" s="76">
        <v>0</v>
      </c>
      <c r="E25" s="76">
        <v>0</v>
      </c>
      <c r="F25" s="76">
        <v>0</v>
      </c>
      <c r="G25" s="76">
        <v>0</v>
      </c>
      <c r="H25" s="76">
        <v>0</v>
      </c>
      <c r="I25" s="76">
        <v>0</v>
      </c>
      <c r="J25" s="76">
        <v>0</v>
      </c>
      <c r="K25" s="76">
        <v>0</v>
      </c>
    </row>
    <row r="26" spans="1:11">
      <c r="A26" s="76" t="s">
        <v>208</v>
      </c>
      <c r="B26" s="78">
        <v>-82.58</v>
      </c>
      <c r="C26" s="78">
        <v>-129.76</v>
      </c>
      <c r="D26" s="78">
        <v>-59.91</v>
      </c>
      <c r="E26" s="76">
        <v>-48.21</v>
      </c>
      <c r="F26" s="76">
        <v>51.48</v>
      </c>
      <c r="G26" s="76">
        <v>21.97</v>
      </c>
      <c r="H26" s="78">
        <v>-176.36</v>
      </c>
      <c r="I26" s="78">
        <v>-84.96</v>
      </c>
      <c r="J26" s="78">
        <v>154.59</v>
      </c>
      <c r="K26" s="78">
        <v>292.38</v>
      </c>
    </row>
    <row r="27" spans="1:11">
      <c r="A27" s="76" t="s">
        <v>209</v>
      </c>
      <c r="B27" s="76">
        <v>-11.85</v>
      </c>
      <c r="C27" s="76">
        <v>3.34</v>
      </c>
      <c r="D27" s="76">
        <v>-34.35</v>
      </c>
      <c r="E27" s="76">
        <v>11.97</v>
      </c>
      <c r="F27" s="76">
        <v>17.149999999999999</v>
      </c>
      <c r="G27" s="76">
        <v>-11.09</v>
      </c>
      <c r="H27" s="76">
        <v>25.86</v>
      </c>
      <c r="I27" s="76">
        <v>8.8000000000000007</v>
      </c>
      <c r="J27" s="76">
        <v>17.07</v>
      </c>
      <c r="K27" s="76">
        <v>39.54</v>
      </c>
    </row>
    <row r="28" spans="1:11">
      <c r="A28" s="76" t="s">
        <v>210</v>
      </c>
      <c r="B28" s="76">
        <v>-13.66</v>
      </c>
      <c r="C28" s="76">
        <v>1.1499999999999999</v>
      </c>
      <c r="D28" s="76">
        <v>7.14</v>
      </c>
      <c r="E28" s="76">
        <v>5.47</v>
      </c>
      <c r="F28" s="76">
        <v>16.68</v>
      </c>
      <c r="G28" s="76">
        <v>10.51</v>
      </c>
      <c r="H28" s="76">
        <v>11.06</v>
      </c>
      <c r="I28" s="76">
        <v>7.94</v>
      </c>
      <c r="J28" s="76">
        <v>18.39</v>
      </c>
      <c r="K28" s="76">
        <v>3.57</v>
      </c>
    </row>
    <row r="29" spans="1:11">
      <c r="A29" s="76" t="s">
        <v>211</v>
      </c>
      <c r="B29" s="76">
        <v>1.81</v>
      </c>
      <c r="C29" s="76">
        <v>14.91</v>
      </c>
      <c r="D29" s="76">
        <v>-40.24</v>
      </c>
      <c r="E29" s="76">
        <v>6.5</v>
      </c>
      <c r="F29" s="76">
        <v>-0.15</v>
      </c>
      <c r="G29" s="76">
        <v>-21.84</v>
      </c>
      <c r="H29" s="76">
        <v>15.35</v>
      </c>
      <c r="I29" s="76">
        <v>0.86</v>
      </c>
      <c r="J29" s="76">
        <v>-1.2</v>
      </c>
      <c r="K29" s="76">
        <v>35.53</v>
      </c>
    </row>
    <row r="30" spans="1:11">
      <c r="A30" s="76" t="s">
        <v>212</v>
      </c>
      <c r="B30" s="76">
        <v>0</v>
      </c>
      <c r="C30" s="76">
        <v>-12.72</v>
      </c>
      <c r="D30" s="76">
        <v>-1.24</v>
      </c>
      <c r="E30" s="76">
        <v>0</v>
      </c>
      <c r="F30" s="76">
        <v>0.62</v>
      </c>
      <c r="G30" s="76">
        <v>0.24</v>
      </c>
      <c r="H30" s="76">
        <v>-0.54</v>
      </c>
      <c r="I30" s="76">
        <v>0</v>
      </c>
      <c r="J30" s="76">
        <v>-0.12</v>
      </c>
      <c r="K30" s="76">
        <v>0.44</v>
      </c>
    </row>
    <row r="31" spans="1:11">
      <c r="A31" s="76" t="s">
        <v>213</v>
      </c>
      <c r="B31" s="76">
        <v>0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</row>
    <row r="32" spans="1:11">
      <c r="A32" s="76" t="s">
        <v>214</v>
      </c>
      <c r="B32" s="76">
        <v>0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</row>
    <row r="33" spans="1:11">
      <c r="A33" s="76" t="s">
        <v>215</v>
      </c>
      <c r="B33" s="76">
        <v>0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</row>
    <row r="34" spans="1:11">
      <c r="A34" s="76" t="s">
        <v>216</v>
      </c>
      <c r="B34" s="76">
        <v>0</v>
      </c>
      <c r="C34" s="76">
        <v>-12.72</v>
      </c>
      <c r="D34" s="76">
        <v>-1.24</v>
      </c>
      <c r="E34" s="76">
        <v>0</v>
      </c>
      <c r="F34" s="76">
        <v>0.62</v>
      </c>
      <c r="G34" s="76">
        <v>0.24</v>
      </c>
      <c r="H34" s="76">
        <v>-0.54</v>
      </c>
      <c r="I34" s="76">
        <v>0</v>
      </c>
      <c r="J34" s="76">
        <v>-0.12</v>
      </c>
      <c r="K34" s="76">
        <v>0.44</v>
      </c>
    </row>
    <row r="35" spans="1:11">
      <c r="A35" s="76" t="s">
        <v>217</v>
      </c>
      <c r="B35" s="76">
        <v>0</v>
      </c>
      <c r="C35" s="76">
        <v>0</v>
      </c>
      <c r="D35" s="76">
        <v>0</v>
      </c>
      <c r="E35" s="76">
        <v>0</v>
      </c>
      <c r="F35" s="76">
        <v>0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</row>
    <row r="36" spans="1:11">
      <c r="A36" s="76" t="s">
        <v>218</v>
      </c>
      <c r="B36" s="76">
        <v>-70.72</v>
      </c>
      <c r="C36" s="76">
        <v>-133.1</v>
      </c>
      <c r="D36" s="76">
        <v>-25.56</v>
      </c>
      <c r="E36" s="76">
        <v>-60.18</v>
      </c>
      <c r="F36" s="76">
        <v>34.32</v>
      </c>
      <c r="G36" s="76">
        <v>33.06</v>
      </c>
      <c r="H36" s="76">
        <v>-202.23</v>
      </c>
      <c r="I36" s="76">
        <v>-93.76</v>
      </c>
      <c r="J36" s="76">
        <v>137.52000000000001</v>
      </c>
      <c r="K36" s="76">
        <v>252.84</v>
      </c>
    </row>
    <row r="37" spans="1:11">
      <c r="A37" s="52" t="s">
        <v>219</v>
      </c>
      <c r="B37" s="52">
        <v>0</v>
      </c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</row>
    <row r="38" spans="1:11">
      <c r="A38" s="52" t="s">
        <v>220</v>
      </c>
      <c r="B38" s="52">
        <v>0</v>
      </c>
      <c r="C38" s="52">
        <v>0</v>
      </c>
      <c r="D38" s="52">
        <v>0</v>
      </c>
      <c r="E38" s="52">
        <v>0</v>
      </c>
      <c r="F38" s="52">
        <v>0</v>
      </c>
      <c r="G38" s="52">
        <v>0</v>
      </c>
      <c r="H38" s="52">
        <v>0</v>
      </c>
      <c r="I38" s="52">
        <v>0</v>
      </c>
      <c r="J38" s="52">
        <v>0</v>
      </c>
      <c r="K38" s="52">
        <v>0</v>
      </c>
    </row>
    <row r="39" spans="1:11">
      <c r="A39" s="52" t="s">
        <v>221</v>
      </c>
      <c r="B39" s="52">
        <v>0</v>
      </c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</row>
    <row r="40" spans="1:11">
      <c r="A40" s="52" t="s">
        <v>222</v>
      </c>
      <c r="B40" s="52">
        <v>-70.72</v>
      </c>
      <c r="C40" s="52">
        <v>-133.1</v>
      </c>
      <c r="D40" s="52">
        <v>-25.56</v>
      </c>
      <c r="E40" s="52">
        <v>-60.18</v>
      </c>
      <c r="F40" s="52">
        <v>34.32</v>
      </c>
      <c r="G40" s="52">
        <v>33.06</v>
      </c>
      <c r="H40" s="52">
        <v>-202.23</v>
      </c>
      <c r="I40" s="52">
        <v>-93.76</v>
      </c>
      <c r="J40" s="52">
        <v>137.52000000000001</v>
      </c>
      <c r="K40" s="52">
        <v>252.84</v>
      </c>
    </row>
    <row r="41" spans="1:11">
      <c r="A41" s="52" t="s">
        <v>223</v>
      </c>
      <c r="B41" s="52">
        <v>0</v>
      </c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</row>
    <row r="42" spans="1:11">
      <c r="A42" s="52" t="s">
        <v>224</v>
      </c>
      <c r="B42" s="52">
        <v>-70.72</v>
      </c>
      <c r="C42" s="52">
        <v>-133.1</v>
      </c>
      <c r="D42" s="52">
        <v>-25.56</v>
      </c>
      <c r="E42" s="52">
        <v>-60.18</v>
      </c>
      <c r="F42" s="52">
        <v>34.32</v>
      </c>
      <c r="G42" s="52">
        <v>33.06</v>
      </c>
      <c r="H42" s="52">
        <v>-202.23</v>
      </c>
      <c r="I42" s="52">
        <v>-93.76</v>
      </c>
      <c r="J42" s="52">
        <v>137.52000000000001</v>
      </c>
      <c r="K42" s="52">
        <v>252.84</v>
      </c>
    </row>
    <row r="43" spans="1:11">
      <c r="A43" s="52" t="s">
        <v>225</v>
      </c>
      <c r="B43" s="52">
        <v>179.4</v>
      </c>
      <c r="C43" s="52">
        <v>2678.01</v>
      </c>
      <c r="D43" s="52">
        <v>1.76</v>
      </c>
      <c r="E43" s="52">
        <v>0</v>
      </c>
      <c r="F43" s="52">
        <v>0</v>
      </c>
      <c r="G43" s="81">
        <v>0</v>
      </c>
      <c r="H43" s="52">
        <v>0</v>
      </c>
      <c r="I43" s="52">
        <v>0</v>
      </c>
      <c r="J43" s="52">
        <v>0</v>
      </c>
      <c r="K43" s="52">
        <v>0</v>
      </c>
    </row>
    <row r="44" spans="1:11">
      <c r="A44" s="52" t="s">
        <v>226</v>
      </c>
      <c r="B44" s="52">
        <v>223.83</v>
      </c>
      <c r="C44" s="52">
        <v>3370.89</v>
      </c>
      <c r="D44" s="52">
        <v>2.4700000000000002</v>
      </c>
      <c r="E44" s="52">
        <v>0</v>
      </c>
      <c r="F44" s="52">
        <v>0</v>
      </c>
      <c r="G44" s="81">
        <v>0</v>
      </c>
      <c r="H44" s="52">
        <v>0</v>
      </c>
      <c r="I44" s="52">
        <v>0</v>
      </c>
      <c r="J44" s="52">
        <v>0</v>
      </c>
      <c r="K44" s="52">
        <v>0</v>
      </c>
    </row>
    <row r="45" spans="1:11">
      <c r="A45" s="52" t="s">
        <v>227</v>
      </c>
      <c r="B45" s="52">
        <v>-44.43</v>
      </c>
      <c r="C45" s="52">
        <v>-692.88</v>
      </c>
      <c r="D45" s="52">
        <v>-0.71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</row>
    <row r="46" spans="1:11">
      <c r="A46" s="52" t="s">
        <v>228</v>
      </c>
      <c r="B46" s="52">
        <v>0</v>
      </c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</row>
    <row r="47" spans="1:11">
      <c r="A47" s="52" t="s">
        <v>229</v>
      </c>
      <c r="B47" s="52">
        <v>108.68</v>
      </c>
      <c r="C47" s="52">
        <v>2544.91</v>
      </c>
      <c r="D47" s="52">
        <v>-23.8</v>
      </c>
      <c r="E47" s="52">
        <v>-60.18</v>
      </c>
      <c r="F47" s="52">
        <v>34.32</v>
      </c>
      <c r="G47" s="81">
        <v>33.06</v>
      </c>
      <c r="H47" s="52">
        <v>-202.23</v>
      </c>
      <c r="I47" s="52">
        <v>-93.76</v>
      </c>
      <c r="J47" s="52">
        <v>137.52000000000001</v>
      </c>
      <c r="K47" s="52">
        <v>252.84</v>
      </c>
    </row>
    <row r="48" spans="1:11">
      <c r="A48" s="52" t="s">
        <v>230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</row>
    <row r="49" spans="1:11">
      <c r="A49" s="52" t="s">
        <v>231</v>
      </c>
      <c r="B49" s="52">
        <v>0</v>
      </c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</row>
    <row r="50" spans="1:11">
      <c r="A50" s="52" t="s">
        <v>232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</row>
    <row r="51" spans="1:11">
      <c r="A51" s="52" t="s">
        <v>233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</row>
    <row r="52" spans="1:11">
      <c r="A52" s="52" t="s">
        <v>234</v>
      </c>
      <c r="B52" s="52">
        <v>0</v>
      </c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</row>
    <row r="53" spans="1:11">
      <c r="A53" s="52" t="s">
        <v>235</v>
      </c>
      <c r="B53" s="52">
        <v>0</v>
      </c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</row>
    <row r="54" spans="1:11">
      <c r="A54" s="52" t="s">
        <v>236</v>
      </c>
      <c r="B54" s="52">
        <v>108.68</v>
      </c>
      <c r="C54" s="52">
        <v>2544.91</v>
      </c>
      <c r="D54" s="52">
        <v>-23.8</v>
      </c>
      <c r="E54" s="52">
        <v>-60.18</v>
      </c>
      <c r="F54" s="52">
        <v>34.32</v>
      </c>
      <c r="G54" s="81">
        <v>33.06</v>
      </c>
      <c r="H54" s="52">
        <v>-202.23</v>
      </c>
      <c r="I54" s="52">
        <v>-93.76</v>
      </c>
      <c r="J54" s="52">
        <v>137.52000000000001</v>
      </c>
      <c r="K54" s="52">
        <v>252.84</v>
      </c>
    </row>
    <row r="55" spans="1:11">
      <c r="A55" s="52" t="s">
        <v>237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</row>
    <row r="56" spans="1:11">
      <c r="A56" s="52" t="s">
        <v>238</v>
      </c>
      <c r="B56" s="52">
        <v>0</v>
      </c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</row>
    <row r="57" spans="1:11">
      <c r="A57" s="52" t="s">
        <v>239</v>
      </c>
      <c r="B57" s="52">
        <v>0</v>
      </c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</row>
    <row r="58" spans="1:11">
      <c r="A58" s="52" t="s">
        <v>240</v>
      </c>
      <c r="B58" s="52">
        <v>108.68</v>
      </c>
      <c r="C58" s="52">
        <v>2544.91</v>
      </c>
      <c r="D58" s="52">
        <v>-23.8</v>
      </c>
      <c r="E58" s="52">
        <v>-60.18</v>
      </c>
      <c r="F58" s="52">
        <v>34.32</v>
      </c>
      <c r="G58" s="81">
        <v>33.06</v>
      </c>
      <c r="H58" s="52">
        <v>-202.23</v>
      </c>
      <c r="I58" s="52">
        <v>-93.76</v>
      </c>
      <c r="J58" s="52">
        <v>137.52000000000001</v>
      </c>
      <c r="K58" s="52">
        <v>252.84</v>
      </c>
    </row>
    <row r="59" spans="1:11">
      <c r="A59" s="52" t="s">
        <v>241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</row>
    <row r="60" spans="1:11">
      <c r="A60" s="52" t="s">
        <v>242</v>
      </c>
      <c r="B60" s="52">
        <v>0</v>
      </c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</row>
    <row r="61" spans="1:11">
      <c r="A61" s="52" t="s">
        <v>243</v>
      </c>
      <c r="B61" s="52">
        <v>0</v>
      </c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</row>
    <row r="62" spans="1:11">
      <c r="A62" s="52" t="s">
        <v>244</v>
      </c>
      <c r="B62" s="52">
        <v>0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</row>
    <row r="63" spans="1:11">
      <c r="A63" s="52" t="s">
        <v>245</v>
      </c>
      <c r="B63" s="52">
        <v>108.68</v>
      </c>
      <c r="C63" s="52">
        <v>2544.91</v>
      </c>
      <c r="D63" s="52">
        <v>-23.8</v>
      </c>
      <c r="E63" s="52">
        <v>-60.18</v>
      </c>
      <c r="F63" s="52">
        <v>34.32</v>
      </c>
      <c r="G63" s="81">
        <v>33.06</v>
      </c>
      <c r="H63" s="52">
        <v>-202.23</v>
      </c>
      <c r="I63" s="52">
        <v>-93.76</v>
      </c>
      <c r="J63" s="52">
        <v>137.52000000000001</v>
      </c>
      <c r="K63" s="52">
        <v>252.84</v>
      </c>
    </row>
    <row r="64" spans="1:11">
      <c r="A64" s="52" t="s">
        <v>246</v>
      </c>
      <c r="B64" s="82"/>
      <c r="C64" s="82"/>
      <c r="D64" s="82"/>
      <c r="E64" s="82"/>
      <c r="F64" s="82"/>
      <c r="G64" s="82"/>
      <c r="H64" s="82"/>
      <c r="I64" s="82"/>
      <c r="J64" s="82"/>
      <c r="K64" s="82"/>
    </row>
    <row r="65" spans="1:11">
      <c r="A65" s="52" t="s">
        <v>247</v>
      </c>
      <c r="B65" s="52">
        <v>-1.24</v>
      </c>
      <c r="C65" s="52">
        <v>-1.8</v>
      </c>
      <c r="D65" s="52">
        <v>-0.28000000000000003</v>
      </c>
      <c r="E65" s="52">
        <v>3</v>
      </c>
      <c r="F65" s="52">
        <v>21.3</v>
      </c>
      <c r="G65" s="52">
        <v>55.37</v>
      </c>
      <c r="H65" s="52">
        <v>38.729999999999997</v>
      </c>
      <c r="I65" s="81">
        <v>-0.28000000000000003</v>
      </c>
      <c r="J65" s="52">
        <v>1.38</v>
      </c>
      <c r="K65" s="52">
        <v>7.6</v>
      </c>
    </row>
    <row r="66" spans="1:11">
      <c r="A66" s="52" t="s">
        <v>248</v>
      </c>
      <c r="B66" s="52">
        <v>0.9</v>
      </c>
      <c r="C66" s="52">
        <v>-2.79</v>
      </c>
      <c r="D66" s="52">
        <v>2.15</v>
      </c>
      <c r="E66" s="52">
        <v>0.06</v>
      </c>
      <c r="F66" s="52">
        <v>-4.91</v>
      </c>
      <c r="G66" s="52">
        <v>-1.62</v>
      </c>
      <c r="H66" s="52">
        <v>7.2</v>
      </c>
      <c r="I66" s="52">
        <v>-5.37</v>
      </c>
      <c r="J66" s="52">
        <v>-8.35</v>
      </c>
      <c r="K66" s="52">
        <v>4.3899999999999997</v>
      </c>
    </row>
    <row r="67" spans="1:11">
      <c r="A67" s="52" t="s">
        <v>249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</row>
    <row r="68" spans="1:11">
      <c r="A68" s="52" t="s">
        <v>250</v>
      </c>
      <c r="B68" s="52">
        <v>0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</row>
    <row r="69" spans="1:11">
      <c r="A69" s="52" t="s">
        <v>251</v>
      </c>
      <c r="B69" s="52">
        <v>108.34</v>
      </c>
      <c r="C69" s="52">
        <v>2540.3200000000002</v>
      </c>
      <c r="D69" s="52">
        <v>-21.93</v>
      </c>
      <c r="E69" s="52">
        <v>-57.13</v>
      </c>
      <c r="F69" s="52">
        <v>50.72</v>
      </c>
      <c r="G69" s="81">
        <v>86.81</v>
      </c>
      <c r="H69" s="52">
        <v>-156.30000000000001</v>
      </c>
      <c r="I69" s="81">
        <v>-99.41</v>
      </c>
      <c r="J69" s="81">
        <v>130.55000000000001</v>
      </c>
      <c r="K69" s="52">
        <v>264.83</v>
      </c>
    </row>
    <row r="70" spans="1:11">
      <c r="A70" s="52" t="s">
        <v>252</v>
      </c>
      <c r="B70" s="82"/>
      <c r="C70" s="82"/>
      <c r="D70" s="82"/>
      <c r="E70" s="82"/>
      <c r="F70" s="82"/>
      <c r="G70" s="82"/>
      <c r="H70" s="82"/>
      <c r="I70" s="82"/>
      <c r="J70" s="82"/>
      <c r="K70" s="82"/>
    </row>
    <row r="71" spans="1:11">
      <c r="A71" s="52" t="s">
        <v>253</v>
      </c>
      <c r="B71" s="52">
        <v>108.34</v>
      </c>
      <c r="C71" s="52">
        <v>2540.3200000000002</v>
      </c>
      <c r="D71" s="52">
        <v>-21.93</v>
      </c>
      <c r="E71" s="52">
        <v>-57.13</v>
      </c>
      <c r="F71" s="52">
        <v>50.72</v>
      </c>
      <c r="G71" s="52">
        <v>86.81</v>
      </c>
      <c r="H71" s="52">
        <v>-156.30000000000001</v>
      </c>
      <c r="I71" s="52">
        <v>-99.41</v>
      </c>
      <c r="J71" s="52">
        <v>130.55000000000001</v>
      </c>
      <c r="K71" s="52">
        <v>252.84</v>
      </c>
    </row>
    <row r="72" spans="1:11">
      <c r="A72" s="52" t="s">
        <v>254</v>
      </c>
      <c r="B72" s="52">
        <v>0</v>
      </c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</row>
    <row r="73" spans="1:11">
      <c r="A73" s="52" t="s">
        <v>255</v>
      </c>
      <c r="B73" s="82"/>
      <c r="C73" s="82"/>
      <c r="D73" s="82"/>
      <c r="E73" s="82"/>
      <c r="F73" s="82"/>
      <c r="G73" s="82"/>
      <c r="H73" s="82"/>
      <c r="I73" s="82"/>
      <c r="J73" s="82"/>
      <c r="K73" s="82"/>
    </row>
    <row r="74" spans="1:11">
      <c r="A74" s="52" t="s">
        <v>253</v>
      </c>
      <c r="B74" s="52">
        <v>108.34</v>
      </c>
      <c r="C74" s="52">
        <v>2540.3200000000002</v>
      </c>
      <c r="D74" s="52">
        <v>-21.93</v>
      </c>
      <c r="E74" s="52">
        <v>-57.13</v>
      </c>
      <c r="F74" s="52">
        <v>50.72</v>
      </c>
      <c r="G74" s="81">
        <v>86.81</v>
      </c>
      <c r="H74" s="52">
        <v>-156.30000000000001</v>
      </c>
      <c r="I74" s="81">
        <v>-99.41</v>
      </c>
      <c r="J74" s="52">
        <v>130.55000000000001</v>
      </c>
      <c r="K74" s="52">
        <v>264.83</v>
      </c>
    </row>
    <row r="75" spans="1:11">
      <c r="A75" s="52" t="s">
        <v>254</v>
      </c>
      <c r="B75" s="52">
        <v>0</v>
      </c>
      <c r="C75" s="52">
        <v>0</v>
      </c>
      <c r="D75" s="52">
        <v>0</v>
      </c>
      <c r="E75" s="52">
        <v>0</v>
      </c>
      <c r="F75" s="52">
        <v>0</v>
      </c>
      <c r="G75" s="52">
        <v>0</v>
      </c>
      <c r="H75" s="52">
        <v>0</v>
      </c>
      <c r="I75" s="52">
        <v>0</v>
      </c>
      <c r="J75" s="52">
        <v>0</v>
      </c>
      <c r="K75" s="52">
        <v>0</v>
      </c>
    </row>
    <row r="76" spans="1:11">
      <c r="A76" s="52" t="s">
        <v>256</v>
      </c>
      <c r="B76" s="82"/>
      <c r="C76" s="82"/>
      <c r="D76" s="82"/>
      <c r="E76" s="82"/>
      <c r="F76" s="82"/>
      <c r="G76" s="82"/>
      <c r="H76" s="82"/>
      <c r="I76" s="82"/>
      <c r="J76" s="82"/>
      <c r="K76" s="82"/>
    </row>
    <row r="77" spans="1:11">
      <c r="A77" s="52" t="s">
        <v>253</v>
      </c>
      <c r="B77" s="52">
        <v>108.34</v>
      </c>
      <c r="C77" s="52">
        <v>2540.3200000000002</v>
      </c>
      <c r="D77" s="52">
        <v>-21.93</v>
      </c>
      <c r="E77" s="52">
        <v>-57.13</v>
      </c>
      <c r="F77" s="52">
        <v>50.72</v>
      </c>
      <c r="G77" s="81">
        <v>86.81</v>
      </c>
      <c r="H77" s="52">
        <v>-156.30000000000001</v>
      </c>
      <c r="I77" s="81">
        <v>-99.41</v>
      </c>
      <c r="J77" s="81">
        <v>130.55000000000001</v>
      </c>
      <c r="K77" s="52">
        <v>264.83</v>
      </c>
    </row>
    <row r="78" spans="1:11">
      <c r="A78" s="52" t="s">
        <v>254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</row>
    <row r="79" spans="1:11">
      <c r="A79" s="52" t="s">
        <v>257</v>
      </c>
      <c r="B79" s="52">
        <v>11.96</v>
      </c>
      <c r="C79" s="52">
        <v>280.60000000000002</v>
      </c>
      <c r="D79" s="52">
        <v>-3.38</v>
      </c>
      <c r="E79" s="52">
        <v>-8.5500000000000007</v>
      </c>
      <c r="F79" s="52">
        <v>4.88</v>
      </c>
      <c r="G79" s="52">
        <v>4.7</v>
      </c>
      <c r="H79" s="52">
        <v>-28.72</v>
      </c>
      <c r="I79" s="52">
        <v>-13.32</v>
      </c>
      <c r="J79" s="52">
        <v>19.53</v>
      </c>
      <c r="K79" s="52">
        <v>35.909999999999997</v>
      </c>
    </row>
    <row r="80" spans="1:11">
      <c r="A80" s="52" t="s">
        <v>258</v>
      </c>
      <c r="B80" s="52">
        <v>11.94</v>
      </c>
      <c r="C80" s="52">
        <v>280.41000000000003</v>
      </c>
      <c r="D80" s="52">
        <v>-3.38</v>
      </c>
      <c r="E80" s="52">
        <v>-8.5500000000000007</v>
      </c>
      <c r="F80" s="52">
        <v>4.88</v>
      </c>
      <c r="G80" s="52">
        <v>4.68</v>
      </c>
      <c r="H80" s="52">
        <v>-28.72</v>
      </c>
      <c r="I80" s="52">
        <v>-13.32</v>
      </c>
      <c r="J80" s="52">
        <v>19.47</v>
      </c>
      <c r="K80" s="52">
        <v>35.85</v>
      </c>
    </row>
    <row r="81" spans="1:11">
      <c r="A81" s="52" t="s">
        <v>259</v>
      </c>
      <c r="B81" s="82"/>
      <c r="C81" s="82"/>
      <c r="D81" s="82"/>
      <c r="E81" s="82"/>
      <c r="F81" s="82"/>
      <c r="G81" s="82"/>
      <c r="H81" s="82"/>
      <c r="I81" s="82"/>
      <c r="J81" s="82"/>
      <c r="K81" s="82">
        <v>0</v>
      </c>
    </row>
    <row r="82" spans="1:11">
      <c r="A82" s="52" t="s">
        <v>260</v>
      </c>
      <c r="B82" s="52">
        <v>0</v>
      </c>
      <c r="C82" s="52">
        <v>0</v>
      </c>
      <c r="D82" s="52">
        <v>0</v>
      </c>
      <c r="E82" s="52">
        <v>0</v>
      </c>
      <c r="F82" s="52">
        <v>0</v>
      </c>
      <c r="G82" s="52">
        <v>0</v>
      </c>
      <c r="H82" s="52">
        <v>0</v>
      </c>
      <c r="I82" s="52">
        <v>0</v>
      </c>
      <c r="J82" s="52">
        <v>0</v>
      </c>
      <c r="K82" s="52">
        <v>0</v>
      </c>
    </row>
    <row r="83" spans="1:11">
      <c r="A83" s="52" t="s">
        <v>261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0</v>
      </c>
      <c r="K83" s="52">
        <v>0</v>
      </c>
    </row>
    <row r="84" spans="1:11">
      <c r="A84" s="52" t="s">
        <v>262</v>
      </c>
      <c r="B84" s="52">
        <v>0</v>
      </c>
      <c r="C84" s="52">
        <v>0</v>
      </c>
      <c r="D84" s="52">
        <v>0</v>
      </c>
      <c r="E84" s="52">
        <v>0</v>
      </c>
      <c r="F84" s="52">
        <v>0</v>
      </c>
      <c r="G84" s="52">
        <v>0</v>
      </c>
      <c r="H84" s="52">
        <v>0</v>
      </c>
      <c r="I84" s="52">
        <v>0</v>
      </c>
      <c r="J84" s="52">
        <v>0</v>
      </c>
      <c r="K84" s="52">
        <v>0</v>
      </c>
    </row>
    <row r="85" spans="1:11">
      <c r="A85" s="52" t="s">
        <v>263</v>
      </c>
      <c r="B85" s="52">
        <v>0</v>
      </c>
      <c r="C85" s="52">
        <v>0</v>
      </c>
      <c r="D85" s="52">
        <v>0</v>
      </c>
      <c r="E85" s="52">
        <v>0</v>
      </c>
      <c r="F85" s="52">
        <v>0</v>
      </c>
      <c r="G85" s="52">
        <v>0</v>
      </c>
      <c r="H85" s="52">
        <v>0</v>
      </c>
      <c r="I85" s="52">
        <v>0</v>
      </c>
      <c r="J85" s="52">
        <v>0</v>
      </c>
      <c r="K85" s="52">
        <v>0</v>
      </c>
    </row>
    <row r="86" spans="1:11">
      <c r="A86" s="52" t="s">
        <v>264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</row>
    <row r="87" spans="1:11">
      <c r="A87" s="52" t="s">
        <v>265</v>
      </c>
      <c r="B87" s="52">
        <v>150</v>
      </c>
      <c r="C87" s="52">
        <v>250</v>
      </c>
      <c r="D87" s="52">
        <v>200</v>
      </c>
      <c r="E87" s="52">
        <v>200</v>
      </c>
      <c r="F87" s="52">
        <v>200</v>
      </c>
      <c r="G87" s="52">
        <v>200</v>
      </c>
      <c r="H87" s="52">
        <v>200</v>
      </c>
      <c r="I87" s="52">
        <v>0</v>
      </c>
      <c r="J87" s="52">
        <v>0</v>
      </c>
      <c r="K87" s="52">
        <v>0</v>
      </c>
    </row>
    <row r="88" spans="1:11">
      <c r="A88" s="52" t="s">
        <v>266</v>
      </c>
      <c r="B88" s="52">
        <v>3</v>
      </c>
      <c r="C88" s="52">
        <v>5</v>
      </c>
      <c r="D88" s="52">
        <v>4</v>
      </c>
      <c r="E88" s="52">
        <v>4</v>
      </c>
      <c r="F88" s="52">
        <v>4</v>
      </c>
      <c r="G88" s="52">
        <v>4</v>
      </c>
      <c r="H88" s="52">
        <v>4</v>
      </c>
      <c r="I88" s="52">
        <v>0</v>
      </c>
      <c r="J88" s="52">
        <v>0</v>
      </c>
      <c r="K88" s="52">
        <v>0</v>
      </c>
    </row>
    <row r="89" spans="1:11">
      <c r="A89" s="52" t="s">
        <v>267</v>
      </c>
      <c r="B89" s="82"/>
      <c r="C89" s="82"/>
      <c r="D89" s="82"/>
      <c r="E89" s="82"/>
      <c r="F89" s="82"/>
      <c r="G89" s="82"/>
      <c r="H89" s="82"/>
      <c r="I89" s="82"/>
      <c r="J89" s="82"/>
      <c r="K89" s="82">
        <v>0</v>
      </c>
    </row>
    <row r="90" spans="1:11">
      <c r="A90" s="52" t="s">
        <v>260</v>
      </c>
      <c r="B90" s="52">
        <v>0</v>
      </c>
      <c r="C90" s="52">
        <v>0</v>
      </c>
      <c r="D90" s="52">
        <v>0</v>
      </c>
      <c r="E90" s="52">
        <v>0</v>
      </c>
      <c r="F90" s="52">
        <v>0</v>
      </c>
      <c r="G90" s="52">
        <v>0</v>
      </c>
      <c r="H90" s="52">
        <v>0</v>
      </c>
      <c r="I90" s="52">
        <v>0</v>
      </c>
      <c r="J90" s="52">
        <v>0</v>
      </c>
      <c r="K90" s="52">
        <v>0</v>
      </c>
    </row>
    <row r="91" spans="1:11">
      <c r="A91" s="52" t="s">
        <v>261</v>
      </c>
      <c r="B91" s="52">
        <v>0</v>
      </c>
      <c r="C91" s="52">
        <v>0</v>
      </c>
      <c r="D91" s="52">
        <v>0</v>
      </c>
      <c r="E91" s="52">
        <v>0</v>
      </c>
      <c r="F91" s="52">
        <v>0</v>
      </c>
      <c r="G91" s="52">
        <v>0</v>
      </c>
      <c r="H91" s="52">
        <v>0</v>
      </c>
      <c r="I91" s="52">
        <v>0</v>
      </c>
      <c r="J91" s="52">
        <v>0</v>
      </c>
      <c r="K91" s="52">
        <v>0</v>
      </c>
    </row>
    <row r="92" spans="1:11">
      <c r="A92" s="52" t="s">
        <v>262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</row>
    <row r="93" spans="1:11">
      <c r="A93" s="52" t="s">
        <v>263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</row>
    <row r="94" spans="1:11">
      <c r="A94" s="52" t="s">
        <v>264</v>
      </c>
      <c r="B94" s="52">
        <v>0</v>
      </c>
      <c r="C94" s="52">
        <v>0</v>
      </c>
      <c r="D94" s="52">
        <v>0</v>
      </c>
      <c r="E94" s="52">
        <v>0</v>
      </c>
      <c r="F94" s="52">
        <v>0</v>
      </c>
      <c r="G94" s="52">
        <v>0</v>
      </c>
      <c r="H94" s="52">
        <v>0</v>
      </c>
      <c r="I94" s="52">
        <v>0</v>
      </c>
      <c r="J94" s="52">
        <v>0</v>
      </c>
      <c r="K94" s="52">
        <v>0</v>
      </c>
    </row>
    <row r="95" spans="1:11">
      <c r="A95" s="52" t="s">
        <v>265</v>
      </c>
      <c r="B95" s="52">
        <v>150</v>
      </c>
      <c r="C95" s="52">
        <v>250</v>
      </c>
      <c r="D95" s="52">
        <v>200</v>
      </c>
      <c r="E95" s="52">
        <v>200</v>
      </c>
      <c r="F95" s="52">
        <v>200</v>
      </c>
      <c r="G95" s="52">
        <v>200</v>
      </c>
      <c r="H95" s="52">
        <v>200</v>
      </c>
      <c r="I95" s="52">
        <v>0</v>
      </c>
      <c r="J95" s="52">
        <v>0</v>
      </c>
      <c r="K95" s="52">
        <v>0</v>
      </c>
    </row>
    <row r="96" spans="1:11">
      <c r="A96" s="52" t="s">
        <v>268</v>
      </c>
      <c r="B96" s="52">
        <v>150</v>
      </c>
      <c r="C96" s="52">
        <v>250</v>
      </c>
      <c r="D96" s="52">
        <v>200</v>
      </c>
      <c r="E96" s="52">
        <v>200</v>
      </c>
      <c r="F96" s="52">
        <v>200</v>
      </c>
      <c r="G96" s="52">
        <v>200</v>
      </c>
      <c r="H96" s="52">
        <v>200</v>
      </c>
      <c r="I96" s="52">
        <v>0</v>
      </c>
      <c r="J96" s="52">
        <v>0</v>
      </c>
      <c r="K96" s="52">
        <v>0</v>
      </c>
    </row>
    <row r="97" spans="1:11">
      <c r="A97" s="52" t="s">
        <v>269</v>
      </c>
      <c r="B97" s="52">
        <v>32.81</v>
      </c>
      <c r="C97" s="52">
        <v>35.17</v>
      </c>
      <c r="D97" s="52">
        <v>28.15</v>
      </c>
      <c r="E97" s="52">
        <v>28.16</v>
      </c>
      <c r="F97" s="52">
        <v>28.16</v>
      </c>
      <c r="G97" s="52">
        <v>28.16</v>
      </c>
      <c r="H97" s="52">
        <v>0.28000000000000003</v>
      </c>
      <c r="I97" s="52">
        <v>0</v>
      </c>
      <c r="J97" s="52">
        <v>0</v>
      </c>
      <c r="K97" s="52">
        <v>0</v>
      </c>
    </row>
    <row r="98" spans="1:11">
      <c r="A98" s="52" t="s">
        <v>234</v>
      </c>
      <c r="B98" s="52">
        <v>0</v>
      </c>
      <c r="C98" s="52">
        <v>0</v>
      </c>
      <c r="D98" s="52">
        <v>0</v>
      </c>
      <c r="E98" s="52">
        <v>0</v>
      </c>
      <c r="F98" s="52">
        <v>0</v>
      </c>
      <c r="G98" s="52">
        <v>0</v>
      </c>
      <c r="H98" s="52">
        <v>0</v>
      </c>
      <c r="I98" s="52">
        <v>0</v>
      </c>
      <c r="J98" s="52">
        <v>0</v>
      </c>
      <c r="K98" s="52">
        <v>0</v>
      </c>
    </row>
    <row r="99" spans="1:11">
      <c r="A99" s="52" t="s">
        <v>270</v>
      </c>
      <c r="B99" s="52">
        <v>9.09</v>
      </c>
      <c r="C99" s="52">
        <v>9.07</v>
      </c>
      <c r="D99" s="52">
        <v>7.04</v>
      </c>
      <c r="E99" s="52">
        <v>7.04</v>
      </c>
      <c r="F99" s="52">
        <v>7.04</v>
      </c>
      <c r="G99" s="52">
        <v>7.04</v>
      </c>
      <c r="H99" s="52">
        <v>7.04</v>
      </c>
      <c r="I99" s="52">
        <v>7.04</v>
      </c>
      <c r="J99" s="52">
        <v>7.04</v>
      </c>
      <c r="K99" s="52">
        <v>7.0405749999999996</v>
      </c>
    </row>
    <row r="100" spans="1:11">
      <c r="A100" s="52" t="s">
        <v>271</v>
      </c>
      <c r="B100" s="52">
        <v>9.1</v>
      </c>
      <c r="C100" s="52">
        <v>9.08</v>
      </c>
      <c r="D100" s="52">
        <v>7.04</v>
      </c>
      <c r="E100" s="52">
        <v>7.04</v>
      </c>
      <c r="F100" s="52">
        <v>7.04</v>
      </c>
      <c r="G100" s="52">
        <v>7.06</v>
      </c>
      <c r="H100" s="52">
        <v>7.04</v>
      </c>
      <c r="I100" s="52">
        <v>7.04</v>
      </c>
      <c r="J100" s="52">
        <v>7.06</v>
      </c>
      <c r="K100" s="52">
        <v>7.0405749999999996</v>
      </c>
    </row>
    <row r="101" spans="1:11">
      <c r="A101" s="52" t="s">
        <v>272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</row>
    <row r="102" spans="1:11">
      <c r="A102" s="52" t="s">
        <v>273</v>
      </c>
      <c r="B102" s="52">
        <v>32.81</v>
      </c>
      <c r="C102" s="52">
        <v>35.17</v>
      </c>
      <c r="D102" s="52">
        <v>28.15</v>
      </c>
      <c r="E102" s="52">
        <v>28.16</v>
      </c>
      <c r="F102" s="52">
        <v>28.16</v>
      </c>
      <c r="G102" s="52">
        <v>28.16</v>
      </c>
      <c r="H102" s="52">
        <v>0.28000000000000003</v>
      </c>
      <c r="I102" s="52">
        <v>0</v>
      </c>
      <c r="J102" s="52">
        <v>0</v>
      </c>
      <c r="K102" s="52">
        <v>0</v>
      </c>
    </row>
    <row r="103" spans="1:11">
      <c r="A103" s="52" t="s">
        <v>274</v>
      </c>
      <c r="B103" s="52">
        <v>0</v>
      </c>
      <c r="C103" s="52">
        <v>0</v>
      </c>
      <c r="D103" s="52">
        <v>0</v>
      </c>
      <c r="E103" s="52">
        <v>0</v>
      </c>
      <c r="F103" s="52">
        <v>0</v>
      </c>
      <c r="G103" s="52">
        <v>0</v>
      </c>
      <c r="H103" s="52">
        <v>0</v>
      </c>
      <c r="I103" s="52">
        <v>0</v>
      </c>
      <c r="J103" s="52">
        <v>0</v>
      </c>
      <c r="K103" s="52">
        <v>0</v>
      </c>
    </row>
    <row r="104" spans="1:11">
      <c r="A104" s="52" t="s">
        <v>275</v>
      </c>
      <c r="B104" s="52">
        <v>0</v>
      </c>
      <c r="C104" s="52">
        <v>0</v>
      </c>
      <c r="D104" s="52">
        <v>0</v>
      </c>
      <c r="E104" s="52">
        <v>0</v>
      </c>
      <c r="F104" s="52">
        <v>0</v>
      </c>
      <c r="G104" s="52">
        <v>0</v>
      </c>
      <c r="H104" s="52">
        <v>0</v>
      </c>
      <c r="I104" s="52">
        <v>0</v>
      </c>
      <c r="J104" s="52">
        <v>0</v>
      </c>
      <c r="K104" s="52">
        <v>0</v>
      </c>
    </row>
    <row r="105" spans="1:11">
      <c r="A105" s="52" t="s">
        <v>276</v>
      </c>
      <c r="B105" s="52">
        <v>0</v>
      </c>
      <c r="C105" s="52">
        <v>0</v>
      </c>
      <c r="D105" s="52">
        <v>0</v>
      </c>
      <c r="E105" s="52">
        <v>0</v>
      </c>
      <c r="F105" s="52">
        <v>0</v>
      </c>
      <c r="G105" s="52">
        <v>0</v>
      </c>
      <c r="H105" s="52">
        <v>0</v>
      </c>
      <c r="I105" s="52">
        <v>0</v>
      </c>
      <c r="J105" s="52">
        <v>0</v>
      </c>
      <c r="K105" s="52">
        <v>0</v>
      </c>
    </row>
  </sheetData>
  <mergeCells count="1">
    <mergeCell ref="A1:K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83"/>
  <sheetViews>
    <sheetView zoomScaleNormal="100" workbookViewId="0">
      <selection activeCell="N17" sqref="N17"/>
    </sheetView>
  </sheetViews>
  <sheetFormatPr defaultColWidth="8.7109375" defaultRowHeight="15" customHeight="1"/>
  <cols>
    <col min="1" max="1" width="49.7109375" customWidth="1"/>
    <col min="2" max="3" width="8" customWidth="1"/>
    <col min="4" max="7" width="8.5703125" customWidth="1"/>
    <col min="8" max="8" width="8" customWidth="1"/>
    <col min="9" max="10" width="8.5703125" customWidth="1"/>
    <col min="11" max="11" width="8.42578125" customWidth="1"/>
  </cols>
  <sheetData>
    <row r="1" spans="1:11" ht="13.5" customHeight="1">
      <c r="A1" s="8" t="s">
        <v>277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>
      <c r="A2" s="75" t="s">
        <v>99</v>
      </c>
      <c r="B2" s="75">
        <v>201703</v>
      </c>
      <c r="C2" s="75">
        <v>201803</v>
      </c>
      <c r="D2" s="75">
        <v>201903</v>
      </c>
      <c r="E2" s="75">
        <v>202003</v>
      </c>
      <c r="F2" s="75">
        <v>202103</v>
      </c>
      <c r="G2" s="75">
        <v>202203</v>
      </c>
      <c r="H2" s="75">
        <v>202303</v>
      </c>
      <c r="I2" s="75">
        <v>202403</v>
      </c>
      <c r="J2" s="75">
        <v>202503</v>
      </c>
      <c r="K2" s="75">
        <v>202603</v>
      </c>
    </row>
    <row r="3" spans="1:11">
      <c r="A3" s="76" t="s">
        <v>278</v>
      </c>
      <c r="B3" s="77"/>
      <c r="C3" s="77"/>
      <c r="D3" s="77"/>
      <c r="E3" s="77"/>
      <c r="F3" s="77"/>
      <c r="G3" s="77"/>
      <c r="H3" s="77"/>
      <c r="I3" s="77"/>
      <c r="J3" s="77"/>
      <c r="K3" s="77"/>
    </row>
    <row r="4" spans="1:11">
      <c r="A4" s="76" t="s">
        <v>279</v>
      </c>
      <c r="B4" s="76">
        <v>11.67</v>
      </c>
      <c r="C4" s="76">
        <v>11.21</v>
      </c>
      <c r="D4" s="76">
        <v>813.24</v>
      </c>
      <c r="E4" s="76">
        <v>309.91000000000003</v>
      </c>
      <c r="F4" s="76">
        <v>231.52</v>
      </c>
      <c r="G4" s="76">
        <v>77.459999999999994</v>
      </c>
      <c r="H4" s="76">
        <v>109.2</v>
      </c>
      <c r="I4" s="76">
        <v>183.75</v>
      </c>
      <c r="J4" s="76">
        <v>154.75</v>
      </c>
      <c r="K4" s="76">
        <v>89.58</v>
      </c>
    </row>
    <row r="5" spans="1:11">
      <c r="A5" s="76" t="s">
        <v>280</v>
      </c>
      <c r="B5" s="76">
        <v>68.19</v>
      </c>
      <c r="C5" s="76">
        <v>-112.34</v>
      </c>
      <c r="D5" s="78">
        <v>-327.77</v>
      </c>
      <c r="E5" s="78">
        <v>19.82</v>
      </c>
      <c r="F5" s="78">
        <v>32.979999999999997</v>
      </c>
      <c r="G5" s="76">
        <v>-259.61</v>
      </c>
      <c r="H5" s="76">
        <v>-85.09</v>
      </c>
      <c r="I5" s="78">
        <v>14</v>
      </c>
      <c r="J5" s="78">
        <v>-7.02</v>
      </c>
      <c r="K5" s="78">
        <v>3.64</v>
      </c>
    </row>
    <row r="6" spans="1:11">
      <c r="A6" s="76" t="s">
        <v>281</v>
      </c>
      <c r="B6" s="76">
        <v>141.25</v>
      </c>
      <c r="C6" s="76">
        <v>3241.14</v>
      </c>
      <c r="D6" s="76">
        <v>-57.44</v>
      </c>
      <c r="E6" s="76">
        <v>-48.21</v>
      </c>
      <c r="F6" s="76">
        <v>51.48</v>
      </c>
      <c r="G6" s="76">
        <v>21.97</v>
      </c>
      <c r="H6" s="76">
        <v>-176.36</v>
      </c>
      <c r="I6" s="76">
        <v>-84.96</v>
      </c>
      <c r="J6" s="76">
        <v>154.59</v>
      </c>
      <c r="K6" s="76">
        <v>90.52</v>
      </c>
    </row>
    <row r="7" spans="1:11">
      <c r="A7" s="76" t="s">
        <v>5</v>
      </c>
      <c r="B7" s="76">
        <v>45.18</v>
      </c>
      <c r="C7" s="76">
        <v>51.77</v>
      </c>
      <c r="D7" s="76">
        <v>67.430000000000007</v>
      </c>
      <c r="E7" s="76">
        <v>81.72</v>
      </c>
      <c r="F7" s="76">
        <v>84.42</v>
      </c>
      <c r="G7" s="76">
        <v>91.23</v>
      </c>
      <c r="H7" s="76">
        <v>113.44</v>
      </c>
      <c r="I7" s="76">
        <v>123.16</v>
      </c>
      <c r="J7" s="76">
        <v>124.56</v>
      </c>
      <c r="K7" s="76">
        <v>125.12</v>
      </c>
    </row>
    <row r="8" spans="1:11">
      <c r="A8" s="76" t="s">
        <v>282</v>
      </c>
      <c r="B8" s="76">
        <v>0.88</v>
      </c>
      <c r="C8" s="76">
        <v>-5.52</v>
      </c>
      <c r="D8" s="76">
        <v>-37.46</v>
      </c>
      <c r="E8" s="76">
        <v>-30.84</v>
      </c>
      <c r="F8" s="76">
        <v>-17.82</v>
      </c>
      <c r="G8" s="76">
        <v>-0.37</v>
      </c>
      <c r="H8" s="76">
        <v>16.8</v>
      </c>
      <c r="I8" s="76">
        <v>21.99</v>
      </c>
      <c r="J8" s="76">
        <v>18.18</v>
      </c>
      <c r="K8" s="76">
        <v>26.17</v>
      </c>
    </row>
    <row r="9" spans="1:11">
      <c r="A9" s="76" t="s">
        <v>283</v>
      </c>
      <c r="B9" s="76">
        <v>0</v>
      </c>
      <c r="C9" s="76">
        <v>18.399999999999999</v>
      </c>
      <c r="D9" s="76">
        <v>10.99</v>
      </c>
      <c r="E9" s="76">
        <v>1.58</v>
      </c>
      <c r="F9" s="76">
        <v>0</v>
      </c>
      <c r="G9" s="76">
        <v>10.01</v>
      </c>
      <c r="H9" s="76">
        <v>0.01</v>
      </c>
      <c r="I9" s="76">
        <v>0</v>
      </c>
      <c r="J9" s="76">
        <v>0</v>
      </c>
      <c r="K9" s="76">
        <v>0</v>
      </c>
    </row>
    <row r="10" spans="1:11">
      <c r="A10" s="76" t="s">
        <v>284</v>
      </c>
      <c r="B10" s="76">
        <v>0</v>
      </c>
      <c r="C10" s="76">
        <v>5.03</v>
      </c>
      <c r="D10" s="76">
        <v>10.28</v>
      </c>
      <c r="E10" s="76">
        <v>1.86</v>
      </c>
      <c r="F10" s="76">
        <v>0.52</v>
      </c>
      <c r="G10" s="76">
        <v>0.23</v>
      </c>
      <c r="H10" s="76">
        <v>-1.28</v>
      </c>
      <c r="I10" s="76">
        <v>-4.8600000000000003</v>
      </c>
      <c r="J10" s="76">
        <v>-0.95</v>
      </c>
      <c r="K10" s="76">
        <v>-274.29000000000002</v>
      </c>
    </row>
    <row r="11" spans="1:11">
      <c r="A11" s="76" t="s">
        <v>285</v>
      </c>
      <c r="B11" s="76">
        <v>0</v>
      </c>
      <c r="C11" s="76">
        <v>0</v>
      </c>
      <c r="D11" s="76">
        <v>1.95</v>
      </c>
      <c r="E11" s="76">
        <v>0</v>
      </c>
      <c r="F11" s="76">
        <v>0</v>
      </c>
      <c r="G11" s="76">
        <v>0</v>
      </c>
      <c r="H11" s="76">
        <v>5.0199999999999996</v>
      </c>
      <c r="I11" s="76">
        <v>-64.78</v>
      </c>
      <c r="J11" s="76">
        <v>-0.02</v>
      </c>
      <c r="K11" s="76">
        <v>0</v>
      </c>
    </row>
    <row r="12" spans="1:11">
      <c r="A12" s="76" t="s">
        <v>286</v>
      </c>
      <c r="B12" s="76">
        <v>-0.38</v>
      </c>
      <c r="C12" s="76">
        <v>1.68</v>
      </c>
      <c r="D12" s="76">
        <v>-3.31</v>
      </c>
      <c r="E12" s="76">
        <v>-0.75</v>
      </c>
      <c r="F12" s="76">
        <v>-0.15</v>
      </c>
      <c r="G12" s="76">
        <v>6.13</v>
      </c>
      <c r="H12" s="76">
        <v>4.22</v>
      </c>
      <c r="I12" s="76">
        <v>126.17</v>
      </c>
      <c r="J12" s="76">
        <v>0.12</v>
      </c>
      <c r="K12" s="76">
        <v>-0.69</v>
      </c>
    </row>
    <row r="13" spans="1:11">
      <c r="A13" s="76" t="s">
        <v>287</v>
      </c>
      <c r="B13" s="76">
        <v>7.82</v>
      </c>
      <c r="C13" s="76">
        <v>-11.2</v>
      </c>
      <c r="D13" s="76">
        <v>4.04</v>
      </c>
      <c r="E13" s="76">
        <v>-5.49</v>
      </c>
      <c r="F13" s="76">
        <v>7.61</v>
      </c>
      <c r="G13" s="76">
        <v>-7.22</v>
      </c>
      <c r="H13" s="76">
        <v>2.66</v>
      </c>
      <c r="I13" s="76">
        <v>-1</v>
      </c>
      <c r="J13" s="76">
        <v>4.01</v>
      </c>
      <c r="K13" s="76">
        <v>-5.88</v>
      </c>
    </row>
    <row r="14" spans="1:11">
      <c r="A14" s="76" t="s">
        <v>288</v>
      </c>
      <c r="B14" s="76">
        <v>0.01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</row>
    <row r="15" spans="1:11">
      <c r="A15" s="76" t="s">
        <v>217</v>
      </c>
      <c r="B15" s="76">
        <v>63.01</v>
      </c>
      <c r="C15" s="76">
        <v>-840.42</v>
      </c>
      <c r="D15" s="76">
        <v>0</v>
      </c>
      <c r="E15" s="76">
        <v>0</v>
      </c>
      <c r="F15" s="76">
        <v>0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</row>
    <row r="16" spans="1:11">
      <c r="A16" s="76" t="s">
        <v>289</v>
      </c>
      <c r="B16" s="76">
        <v>53.31</v>
      </c>
      <c r="C16" s="76">
        <v>-3207.66</v>
      </c>
      <c r="D16" s="76">
        <v>6.8</v>
      </c>
      <c r="E16" s="76">
        <v>18.79</v>
      </c>
      <c r="F16" s="76">
        <v>65.650000000000006</v>
      </c>
      <c r="G16" s="76">
        <v>80.459999999999994</v>
      </c>
      <c r="H16" s="76">
        <v>132.84</v>
      </c>
      <c r="I16" s="76">
        <v>197.32</v>
      </c>
      <c r="J16" s="76">
        <v>148.69999999999999</v>
      </c>
      <c r="K16" s="76">
        <v>-73.040000000000006</v>
      </c>
    </row>
    <row r="17" spans="1:11">
      <c r="A17" s="76" t="s">
        <v>290</v>
      </c>
      <c r="B17" s="76">
        <v>194.56</v>
      </c>
      <c r="C17" s="76">
        <v>33.47</v>
      </c>
      <c r="D17" s="76">
        <v>-50.64</v>
      </c>
      <c r="E17" s="76">
        <v>-29.42</v>
      </c>
      <c r="F17" s="76">
        <v>117.13</v>
      </c>
      <c r="G17" s="76">
        <v>102.43</v>
      </c>
      <c r="H17" s="76">
        <v>-43.52</v>
      </c>
      <c r="I17" s="76">
        <v>112.36</v>
      </c>
      <c r="J17" s="76">
        <v>303.29000000000002</v>
      </c>
      <c r="K17" s="76">
        <v>219.34</v>
      </c>
    </row>
    <row r="18" spans="1:11">
      <c r="A18" s="76" t="s">
        <v>291</v>
      </c>
      <c r="B18" s="76">
        <v>-123.22</v>
      </c>
      <c r="C18" s="76">
        <v>-98.74</v>
      </c>
      <c r="D18" s="76">
        <v>-197.89</v>
      </c>
      <c r="E18" s="76">
        <v>63.09</v>
      </c>
      <c r="F18" s="76">
        <v>95.08</v>
      </c>
      <c r="G18" s="76">
        <v>-277.10000000000002</v>
      </c>
      <c r="H18" s="76">
        <v>-123.61</v>
      </c>
      <c r="I18" s="76">
        <v>-5.39</v>
      </c>
      <c r="J18" s="76">
        <v>-39.04</v>
      </c>
      <c r="K18" s="76">
        <v>-20.88</v>
      </c>
    </row>
    <row r="19" spans="1:11">
      <c r="A19" s="76" t="s">
        <v>292</v>
      </c>
      <c r="B19" s="76">
        <v>-51.14</v>
      </c>
      <c r="C19" s="76">
        <v>-95.87</v>
      </c>
      <c r="D19" s="76">
        <v>-65.8</v>
      </c>
      <c r="E19" s="76">
        <v>-57.88</v>
      </c>
      <c r="F19" s="76">
        <v>-141.80000000000001</v>
      </c>
      <c r="G19" s="76">
        <v>-61.88</v>
      </c>
      <c r="H19" s="76">
        <v>-25.01</v>
      </c>
      <c r="I19" s="76">
        <v>-79.45</v>
      </c>
      <c r="J19" s="76">
        <v>-252.48</v>
      </c>
      <c r="K19" s="76">
        <v>13.77</v>
      </c>
    </row>
    <row r="20" spans="1:11">
      <c r="A20" s="76" t="s">
        <v>293</v>
      </c>
      <c r="B20" s="76">
        <v>75.709999999999994</v>
      </c>
      <c r="C20" s="76">
        <v>47.94</v>
      </c>
      <c r="D20" s="76">
        <v>-1.25</v>
      </c>
      <c r="E20" s="76">
        <v>48.36</v>
      </c>
      <c r="F20" s="76">
        <v>-23.06</v>
      </c>
      <c r="G20" s="76">
        <v>-15.45</v>
      </c>
      <c r="H20" s="76">
        <v>119.26</v>
      </c>
      <c r="I20" s="76">
        <v>-7.15</v>
      </c>
      <c r="J20" s="76">
        <v>-2.37</v>
      </c>
      <c r="K20" s="76">
        <v>-201.02</v>
      </c>
    </row>
    <row r="21" spans="1:11">
      <c r="A21" s="76" t="s">
        <v>294</v>
      </c>
      <c r="B21" s="76">
        <v>0</v>
      </c>
      <c r="C21" s="76">
        <v>0</v>
      </c>
      <c r="D21" s="76">
        <v>0</v>
      </c>
      <c r="E21" s="76">
        <v>0</v>
      </c>
      <c r="F21" s="76">
        <v>0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</row>
    <row r="22" spans="1:11">
      <c r="A22" s="76" t="s">
        <v>295</v>
      </c>
      <c r="B22" s="76">
        <v>0</v>
      </c>
      <c r="C22" s="76">
        <v>0</v>
      </c>
      <c r="D22" s="76">
        <v>0</v>
      </c>
      <c r="E22" s="76">
        <v>0</v>
      </c>
      <c r="F22" s="76">
        <v>0</v>
      </c>
      <c r="G22" s="76">
        <v>0</v>
      </c>
      <c r="H22" s="76">
        <v>0</v>
      </c>
      <c r="I22" s="76">
        <v>0</v>
      </c>
      <c r="J22" s="76">
        <v>0</v>
      </c>
      <c r="K22" s="76">
        <v>0</v>
      </c>
    </row>
    <row r="23" spans="1:11">
      <c r="A23" s="76" t="s">
        <v>296</v>
      </c>
      <c r="B23" s="76">
        <v>0</v>
      </c>
      <c r="C23" s="76">
        <v>0</v>
      </c>
      <c r="D23" s="76">
        <v>0</v>
      </c>
      <c r="E23" s="76">
        <v>0</v>
      </c>
      <c r="F23" s="76">
        <v>0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</row>
    <row r="24" spans="1:11">
      <c r="A24" s="76" t="s">
        <v>297</v>
      </c>
      <c r="B24" s="76">
        <v>0</v>
      </c>
      <c r="C24" s="76">
        <v>0</v>
      </c>
      <c r="D24" s="76">
        <v>0</v>
      </c>
      <c r="E24" s="76">
        <v>0</v>
      </c>
      <c r="F24" s="76">
        <v>0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</row>
    <row r="25" spans="1:11">
      <c r="A25" s="76" t="s">
        <v>298</v>
      </c>
      <c r="B25" s="76">
        <v>0</v>
      </c>
      <c r="C25" s="76">
        <v>0</v>
      </c>
      <c r="D25" s="76">
        <v>0</v>
      </c>
      <c r="E25" s="76">
        <v>0</v>
      </c>
      <c r="F25" s="76">
        <v>0</v>
      </c>
      <c r="G25" s="76">
        <v>0</v>
      </c>
      <c r="H25" s="76">
        <v>0</v>
      </c>
      <c r="I25" s="76">
        <v>0</v>
      </c>
      <c r="J25" s="76">
        <v>0</v>
      </c>
      <c r="K25" s="76">
        <v>0</v>
      </c>
    </row>
    <row r="26" spans="1:11">
      <c r="A26" s="76" t="s">
        <v>299</v>
      </c>
      <c r="B26" s="76">
        <v>0</v>
      </c>
      <c r="C26" s="76">
        <v>0</v>
      </c>
      <c r="D26" s="76">
        <v>0</v>
      </c>
      <c r="E26" s="76">
        <v>0</v>
      </c>
      <c r="F26" s="76">
        <v>0</v>
      </c>
      <c r="G26" s="76">
        <v>0</v>
      </c>
      <c r="H26" s="76">
        <v>0</v>
      </c>
      <c r="I26" s="76">
        <v>0</v>
      </c>
      <c r="J26" s="76">
        <v>0</v>
      </c>
      <c r="K26" s="76">
        <v>75.33</v>
      </c>
    </row>
    <row r="27" spans="1:11">
      <c r="A27" s="76" t="s">
        <v>300</v>
      </c>
      <c r="B27" s="76">
        <v>0</v>
      </c>
      <c r="C27" s="76">
        <v>0</v>
      </c>
      <c r="D27" s="76">
        <v>0</v>
      </c>
      <c r="E27" s="76">
        <v>0</v>
      </c>
      <c r="F27" s="76">
        <v>0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</row>
    <row r="28" spans="1:11">
      <c r="A28" s="76" t="s">
        <v>217</v>
      </c>
      <c r="B28" s="76">
        <v>63.01</v>
      </c>
      <c r="C28" s="76">
        <v>-840.42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</row>
    <row r="29" spans="1:11">
      <c r="A29" s="76" t="s">
        <v>301</v>
      </c>
      <c r="B29" s="76">
        <v>-98.65</v>
      </c>
      <c r="C29" s="76">
        <v>-146.66999999999999</v>
      </c>
      <c r="D29" s="76">
        <v>-264.94</v>
      </c>
      <c r="E29" s="76">
        <v>53.58</v>
      </c>
      <c r="F29" s="76">
        <v>-69.78</v>
      </c>
      <c r="G29" s="76">
        <v>-354.43</v>
      </c>
      <c r="H29" s="76">
        <v>-29.36</v>
      </c>
      <c r="I29" s="76">
        <v>-91.99</v>
      </c>
      <c r="J29" s="76">
        <v>-293.89</v>
      </c>
      <c r="K29" s="76">
        <v>-208.13</v>
      </c>
    </row>
    <row r="30" spans="1:11">
      <c r="A30" s="76" t="s">
        <v>302</v>
      </c>
      <c r="B30" s="76">
        <v>95.91</v>
      </c>
      <c r="C30" s="76">
        <v>-113.2</v>
      </c>
      <c r="D30" s="76">
        <v>-315.57</v>
      </c>
      <c r="E30" s="76">
        <v>24.15</v>
      </c>
      <c r="F30" s="76">
        <v>47.35</v>
      </c>
      <c r="G30" s="76">
        <v>-252</v>
      </c>
      <c r="H30" s="76">
        <v>-72.88</v>
      </c>
      <c r="I30" s="76">
        <v>20.37</v>
      </c>
      <c r="J30" s="76">
        <v>9.4</v>
      </c>
      <c r="K30" s="76">
        <v>11.21</v>
      </c>
    </row>
    <row r="31" spans="1:11">
      <c r="A31" s="76" t="s">
        <v>303</v>
      </c>
      <c r="B31" s="76">
        <v>0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-24.93</v>
      </c>
    </row>
    <row r="32" spans="1:11">
      <c r="A32" s="76" t="s">
        <v>304</v>
      </c>
      <c r="B32" s="76">
        <v>-27.72</v>
      </c>
      <c r="C32" s="76">
        <v>0.86</v>
      </c>
      <c r="D32" s="76">
        <v>-12.2</v>
      </c>
      <c r="E32" s="76">
        <v>-4.34</v>
      </c>
      <c r="F32" s="76">
        <v>-14.36</v>
      </c>
      <c r="G32" s="76">
        <v>-7.62</v>
      </c>
      <c r="H32" s="76">
        <v>-12.21</v>
      </c>
      <c r="I32" s="76">
        <v>-6.37</v>
      </c>
      <c r="J32" s="76">
        <v>-16.420000000000002</v>
      </c>
      <c r="K32" s="76">
        <v>-7.57</v>
      </c>
    </row>
    <row r="33" spans="1:11">
      <c r="A33" s="76" t="s">
        <v>305</v>
      </c>
      <c r="B33" s="76">
        <v>0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</row>
    <row r="34" spans="1:11">
      <c r="A34" s="76" t="s">
        <v>217</v>
      </c>
      <c r="B34" s="76">
        <v>63.01</v>
      </c>
      <c r="C34" s="76">
        <v>-840.42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</row>
    <row r="35" spans="1:11">
      <c r="A35" s="76" t="s">
        <v>306</v>
      </c>
      <c r="B35" s="76">
        <v>-27.72</v>
      </c>
      <c r="C35" s="76">
        <v>0.86</v>
      </c>
      <c r="D35" s="76">
        <v>-12.2</v>
      </c>
      <c r="E35" s="76">
        <v>-4.34</v>
      </c>
      <c r="F35" s="76">
        <v>-14.36</v>
      </c>
      <c r="G35" s="76">
        <v>-7.62</v>
      </c>
      <c r="H35" s="76">
        <v>-12.21</v>
      </c>
      <c r="I35" s="76">
        <v>-6.37</v>
      </c>
      <c r="J35" s="76">
        <v>-16.420000000000002</v>
      </c>
      <c r="K35" s="76">
        <v>-7.57</v>
      </c>
    </row>
    <row r="36" spans="1:11">
      <c r="A36" s="76" t="s">
        <v>307</v>
      </c>
      <c r="B36" s="76">
        <v>68.19</v>
      </c>
      <c r="C36" s="76">
        <v>-112.34</v>
      </c>
      <c r="D36" s="76">
        <v>-327.77</v>
      </c>
      <c r="E36" s="76">
        <v>19.82</v>
      </c>
      <c r="F36" s="76">
        <v>32.979999999999997</v>
      </c>
      <c r="G36" s="76">
        <v>-259.61</v>
      </c>
      <c r="H36" s="76">
        <v>-85.09</v>
      </c>
      <c r="I36" s="76">
        <v>14</v>
      </c>
      <c r="J36" s="76">
        <v>-7.02</v>
      </c>
      <c r="K36" s="76">
        <v>3.64</v>
      </c>
    </row>
    <row r="37" spans="1:11">
      <c r="A37" s="76" t="s">
        <v>308</v>
      </c>
      <c r="B37" s="76">
        <v>0</v>
      </c>
      <c r="C37" s="76">
        <v>0</v>
      </c>
      <c r="D37" s="76">
        <v>0</v>
      </c>
      <c r="E37" s="76">
        <v>0</v>
      </c>
      <c r="F37" s="76">
        <v>0</v>
      </c>
      <c r="G37" s="76">
        <v>0</v>
      </c>
      <c r="H37" s="76">
        <v>0</v>
      </c>
      <c r="I37" s="76">
        <v>0</v>
      </c>
      <c r="J37" s="76">
        <v>0</v>
      </c>
      <c r="K37" s="76">
        <v>0</v>
      </c>
    </row>
    <row r="38" spans="1:11">
      <c r="A38" s="76" t="s">
        <v>309</v>
      </c>
      <c r="B38" s="76">
        <v>0</v>
      </c>
      <c r="C38" s="76">
        <v>0</v>
      </c>
      <c r="D38" s="76">
        <v>0</v>
      </c>
      <c r="E38" s="76">
        <v>0</v>
      </c>
      <c r="F38" s="76">
        <v>0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</row>
    <row r="39" spans="1:11">
      <c r="A39" s="76" t="s">
        <v>310</v>
      </c>
      <c r="B39" s="76">
        <v>0</v>
      </c>
      <c r="C39" s="76">
        <v>0</v>
      </c>
      <c r="D39" s="76">
        <v>0</v>
      </c>
      <c r="E39" s="76">
        <v>0</v>
      </c>
      <c r="F39" s="76">
        <v>0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</row>
    <row r="40" spans="1:11">
      <c r="A40" s="76" t="s">
        <v>311</v>
      </c>
      <c r="B40" s="76">
        <v>0</v>
      </c>
      <c r="C40" s="76">
        <v>0</v>
      </c>
      <c r="D40" s="76">
        <v>0</v>
      </c>
      <c r="E40" s="76">
        <v>0</v>
      </c>
      <c r="F40" s="76">
        <v>0</v>
      </c>
      <c r="G40" s="76">
        <v>0</v>
      </c>
      <c r="H40" s="76">
        <v>0</v>
      </c>
      <c r="I40" s="76">
        <v>0</v>
      </c>
      <c r="J40" s="76">
        <v>0</v>
      </c>
      <c r="K40" s="76">
        <v>0</v>
      </c>
    </row>
    <row r="41" spans="1:11">
      <c r="A41" s="76" t="s">
        <v>312</v>
      </c>
      <c r="B41" s="76">
        <v>0</v>
      </c>
      <c r="C41" s="76">
        <v>0</v>
      </c>
      <c r="D41" s="76">
        <v>0</v>
      </c>
      <c r="E41" s="76">
        <v>0</v>
      </c>
      <c r="F41" s="76">
        <v>0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</row>
    <row r="42" spans="1:11">
      <c r="A42" s="76" t="s">
        <v>217</v>
      </c>
      <c r="B42" s="76">
        <v>63.01</v>
      </c>
      <c r="C42" s="76">
        <v>-840.42</v>
      </c>
      <c r="D42" s="76">
        <v>0</v>
      </c>
      <c r="E42" s="76">
        <v>0</v>
      </c>
      <c r="F42" s="76">
        <v>0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</row>
    <row r="43" spans="1:11">
      <c r="A43" s="76" t="s">
        <v>313</v>
      </c>
      <c r="B43" s="76">
        <v>-127.87</v>
      </c>
      <c r="C43" s="76">
        <v>1648.33</v>
      </c>
      <c r="D43" s="78">
        <v>-286.01</v>
      </c>
      <c r="E43" s="78">
        <v>-35.909999999999997</v>
      </c>
      <c r="F43" s="78">
        <v>-65.97</v>
      </c>
      <c r="G43" s="76">
        <v>100.12</v>
      </c>
      <c r="H43" s="76">
        <v>240.95</v>
      </c>
      <c r="I43" s="78">
        <v>63.31</v>
      </c>
      <c r="J43" s="78">
        <v>-241.91</v>
      </c>
      <c r="K43" s="78">
        <v>192.06</v>
      </c>
    </row>
    <row r="44" spans="1:11">
      <c r="A44" s="76" t="s">
        <v>314</v>
      </c>
      <c r="B44" s="76">
        <v>-149.83000000000001</v>
      </c>
      <c r="C44" s="76">
        <v>-159.57</v>
      </c>
      <c r="D44" s="76">
        <v>-194.31</v>
      </c>
      <c r="E44" s="76">
        <v>-386.15</v>
      </c>
      <c r="F44" s="76">
        <v>-287.81</v>
      </c>
      <c r="G44" s="76">
        <v>-127</v>
      </c>
      <c r="H44" s="76">
        <v>-44.32</v>
      </c>
      <c r="I44" s="76">
        <v>-22.55</v>
      </c>
      <c r="J44" s="76">
        <v>-137.36000000000001</v>
      </c>
      <c r="K44" s="76">
        <v>-123.04</v>
      </c>
    </row>
    <row r="45" spans="1:11">
      <c r="A45" s="76" t="s">
        <v>315</v>
      </c>
      <c r="B45" s="76">
        <v>2.62</v>
      </c>
      <c r="C45" s="76">
        <v>1.18</v>
      </c>
      <c r="D45" s="76">
        <v>2.76</v>
      </c>
      <c r="E45" s="76">
        <v>5.88</v>
      </c>
      <c r="F45" s="76">
        <v>0.42</v>
      </c>
      <c r="G45" s="76">
        <v>0.16</v>
      </c>
      <c r="H45" s="76">
        <v>6.37</v>
      </c>
      <c r="I45" s="76">
        <v>8.9499999999999993</v>
      </c>
      <c r="J45" s="76">
        <v>2.17</v>
      </c>
      <c r="K45" s="76">
        <v>282.64</v>
      </c>
    </row>
    <row r="46" spans="1:11">
      <c r="A46" s="76" t="s">
        <v>316</v>
      </c>
      <c r="B46" s="76">
        <v>0</v>
      </c>
      <c r="C46" s="76">
        <v>0</v>
      </c>
      <c r="D46" s="76">
        <v>0</v>
      </c>
      <c r="E46" s="76">
        <v>0</v>
      </c>
      <c r="F46" s="76">
        <v>0</v>
      </c>
      <c r="G46" s="76">
        <v>0</v>
      </c>
      <c r="H46" s="76">
        <v>0</v>
      </c>
      <c r="I46" s="76">
        <v>0</v>
      </c>
      <c r="J46" s="76">
        <v>0</v>
      </c>
      <c r="K46" s="76">
        <v>0</v>
      </c>
    </row>
    <row r="47" spans="1:11">
      <c r="A47" s="76" t="s">
        <v>317</v>
      </c>
      <c r="B47" s="76">
        <v>0</v>
      </c>
      <c r="C47" s="76">
        <v>0</v>
      </c>
      <c r="D47" s="76">
        <v>0</v>
      </c>
      <c r="E47" s="76">
        <v>0</v>
      </c>
      <c r="F47" s="76">
        <v>0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</row>
    <row r="48" spans="1:11">
      <c r="A48" s="76" t="s">
        <v>318</v>
      </c>
      <c r="B48" s="76">
        <v>0</v>
      </c>
      <c r="C48" s="76">
        <v>0</v>
      </c>
      <c r="D48" s="76">
        <v>0</v>
      </c>
      <c r="E48" s="76">
        <v>0</v>
      </c>
      <c r="F48" s="76">
        <v>0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</row>
    <row r="49" spans="1:11">
      <c r="A49" s="76" t="s">
        <v>319</v>
      </c>
      <c r="B49" s="76">
        <v>0</v>
      </c>
      <c r="C49" s="76">
        <v>-874.44</v>
      </c>
      <c r="D49" s="76">
        <v>-147.19999999999999</v>
      </c>
      <c r="E49" s="76">
        <v>0</v>
      </c>
      <c r="F49" s="76">
        <v>0</v>
      </c>
      <c r="G49" s="76">
        <v>0</v>
      </c>
      <c r="H49" s="76">
        <v>0</v>
      </c>
      <c r="I49" s="76">
        <v>0</v>
      </c>
      <c r="J49" s="76">
        <v>0</v>
      </c>
      <c r="K49" s="76">
        <v>0</v>
      </c>
    </row>
    <row r="50" spans="1:11">
      <c r="A50" s="76" t="s">
        <v>320</v>
      </c>
      <c r="B50" s="76">
        <v>1.33</v>
      </c>
      <c r="C50" s="76">
        <v>0</v>
      </c>
      <c r="D50" s="76">
        <v>0</v>
      </c>
      <c r="E50" s="76">
        <v>296.14999999999998</v>
      </c>
      <c r="F50" s="76">
        <v>186.61</v>
      </c>
      <c r="G50" s="76">
        <v>204.09</v>
      </c>
      <c r="H50" s="76">
        <v>236.51</v>
      </c>
      <c r="I50" s="76">
        <v>65.23</v>
      </c>
      <c r="J50" s="76">
        <v>1.36</v>
      </c>
      <c r="K50" s="76">
        <v>0</v>
      </c>
    </row>
    <row r="51" spans="1:11">
      <c r="A51" s="76" t="s">
        <v>321</v>
      </c>
      <c r="B51" s="76">
        <v>0</v>
      </c>
      <c r="C51" s="76">
        <v>0</v>
      </c>
      <c r="D51" s="76">
        <v>0</v>
      </c>
      <c r="E51" s="76">
        <v>0</v>
      </c>
      <c r="F51" s="76">
        <v>0</v>
      </c>
      <c r="G51" s="76">
        <v>0</v>
      </c>
      <c r="H51" s="76">
        <v>0</v>
      </c>
      <c r="I51" s="76">
        <v>0</v>
      </c>
      <c r="J51" s="76">
        <v>0</v>
      </c>
      <c r="K51" s="76">
        <v>0</v>
      </c>
    </row>
    <row r="52" spans="1:11">
      <c r="A52" s="76" t="s">
        <v>322</v>
      </c>
      <c r="B52" s="76">
        <v>2.4700000000000002</v>
      </c>
      <c r="C52" s="76">
        <v>2.74</v>
      </c>
      <c r="D52" s="76">
        <v>34.9</v>
      </c>
      <c r="E52" s="76">
        <v>44.6</v>
      </c>
      <c r="F52" s="76">
        <v>29.45</v>
      </c>
      <c r="G52" s="76">
        <v>14.74</v>
      </c>
      <c r="H52" s="76">
        <v>0.94</v>
      </c>
      <c r="I52" s="76">
        <v>0.56999999999999995</v>
      </c>
      <c r="J52" s="76">
        <v>1.69</v>
      </c>
      <c r="K52" s="76">
        <v>5.6</v>
      </c>
    </row>
    <row r="53" spans="1:11">
      <c r="A53" s="76" t="s">
        <v>283</v>
      </c>
      <c r="B53" s="76">
        <v>0</v>
      </c>
      <c r="C53" s="76">
        <v>18.399999999999999</v>
      </c>
      <c r="D53" s="76">
        <v>10.99</v>
      </c>
      <c r="E53" s="76">
        <v>1.58</v>
      </c>
      <c r="F53" s="76">
        <v>0</v>
      </c>
      <c r="G53" s="76">
        <v>10.01</v>
      </c>
      <c r="H53" s="76">
        <v>0.01</v>
      </c>
      <c r="I53" s="76">
        <v>0</v>
      </c>
      <c r="J53" s="76">
        <v>0</v>
      </c>
      <c r="K53" s="76">
        <v>0</v>
      </c>
    </row>
    <row r="54" spans="1:11">
      <c r="A54" s="76" t="s">
        <v>323</v>
      </c>
      <c r="B54" s="76">
        <v>0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4</v>
      </c>
    </row>
    <row r="55" spans="1:11">
      <c r="A55" s="76" t="s">
        <v>324</v>
      </c>
      <c r="B55" s="76">
        <v>0</v>
      </c>
      <c r="C55" s="76">
        <v>0</v>
      </c>
      <c r="D55" s="76">
        <v>0</v>
      </c>
      <c r="E55" s="76">
        <v>0</v>
      </c>
      <c r="F55" s="76">
        <v>0</v>
      </c>
      <c r="G55" s="76">
        <v>0</v>
      </c>
      <c r="H55" s="76">
        <v>0</v>
      </c>
      <c r="I55" s="76">
        <v>0</v>
      </c>
      <c r="J55" s="76">
        <v>0</v>
      </c>
      <c r="K55" s="76">
        <v>0</v>
      </c>
    </row>
    <row r="56" spans="1:11">
      <c r="A56" s="76" t="s">
        <v>325</v>
      </c>
      <c r="B56" s="76">
        <v>0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</row>
    <row r="57" spans="1:11">
      <c r="A57" s="76" t="s">
        <v>326</v>
      </c>
      <c r="B57" s="76">
        <v>0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</row>
    <row r="58" spans="1:11">
      <c r="A58" s="76" t="s">
        <v>327</v>
      </c>
      <c r="B58" s="76">
        <v>0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</row>
    <row r="59" spans="1:11">
      <c r="A59" s="76" t="s">
        <v>328</v>
      </c>
      <c r="B59" s="76">
        <v>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</row>
    <row r="60" spans="1:11">
      <c r="A60" s="76" t="s">
        <v>329</v>
      </c>
      <c r="B60" s="76">
        <v>12</v>
      </c>
      <c r="C60" s="76">
        <v>3</v>
      </c>
      <c r="D60" s="76">
        <v>-5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22.83</v>
      </c>
    </row>
    <row r="61" spans="1:11">
      <c r="A61" s="76" t="s">
        <v>217</v>
      </c>
      <c r="B61" s="76">
        <v>63.01</v>
      </c>
      <c r="C61" s="76">
        <v>-840.42</v>
      </c>
      <c r="D61" s="76">
        <v>0</v>
      </c>
      <c r="E61" s="76">
        <v>0</v>
      </c>
      <c r="F61" s="76">
        <v>0</v>
      </c>
      <c r="G61" s="76">
        <v>0</v>
      </c>
      <c r="H61" s="76">
        <v>0</v>
      </c>
      <c r="I61" s="76">
        <v>0</v>
      </c>
      <c r="J61" s="76">
        <v>0</v>
      </c>
      <c r="K61" s="76">
        <v>0</v>
      </c>
    </row>
    <row r="62" spans="1:11">
      <c r="A62" s="76" t="s">
        <v>330</v>
      </c>
      <c r="B62" s="76">
        <v>59.23</v>
      </c>
      <c r="C62" s="76">
        <v>-881.13</v>
      </c>
      <c r="D62" s="76">
        <v>-2.42</v>
      </c>
      <c r="E62" s="76">
        <v>-62.3</v>
      </c>
      <c r="F62" s="76">
        <v>-121.07</v>
      </c>
      <c r="G62" s="76">
        <v>191.23</v>
      </c>
      <c r="H62" s="76">
        <v>-81.3</v>
      </c>
      <c r="I62" s="76">
        <v>-106.31</v>
      </c>
      <c r="J62" s="76">
        <v>183.76</v>
      </c>
      <c r="K62" s="76">
        <v>1.86</v>
      </c>
    </row>
    <row r="63" spans="1:11">
      <c r="A63" s="76" t="s">
        <v>331</v>
      </c>
      <c r="B63" s="76">
        <v>0.27</v>
      </c>
      <c r="C63" s="76">
        <v>0.16</v>
      </c>
      <c r="D63" s="76">
        <v>0.21</v>
      </c>
      <c r="E63" s="76">
        <v>0.1</v>
      </c>
      <c r="F63" s="76">
        <v>0</v>
      </c>
      <c r="G63" s="76">
        <v>0</v>
      </c>
      <c r="H63" s="76">
        <v>0</v>
      </c>
      <c r="I63" s="76">
        <v>0</v>
      </c>
      <c r="J63" s="76">
        <v>0</v>
      </c>
      <c r="K63" s="76">
        <v>0</v>
      </c>
    </row>
    <row r="64" spans="1:11">
      <c r="A64" s="76" t="s">
        <v>332</v>
      </c>
      <c r="B64" s="76">
        <v>0</v>
      </c>
      <c r="C64" s="76">
        <v>0</v>
      </c>
      <c r="D64" s="76">
        <v>0</v>
      </c>
      <c r="E64" s="76">
        <v>0</v>
      </c>
      <c r="F64" s="76">
        <v>0</v>
      </c>
      <c r="G64" s="76">
        <v>0</v>
      </c>
      <c r="H64" s="76">
        <v>0</v>
      </c>
      <c r="I64" s="76">
        <v>0</v>
      </c>
      <c r="J64" s="76">
        <v>0</v>
      </c>
      <c r="K64" s="76">
        <v>0</v>
      </c>
    </row>
    <row r="65" spans="1:11">
      <c r="A65" s="76" t="s">
        <v>333</v>
      </c>
      <c r="B65" s="76">
        <v>0</v>
      </c>
      <c r="C65" s="76">
        <v>0</v>
      </c>
      <c r="D65" s="76">
        <v>49.38</v>
      </c>
      <c r="E65" s="76">
        <v>0</v>
      </c>
      <c r="F65" s="76">
        <v>0</v>
      </c>
      <c r="G65" s="76">
        <v>114.85</v>
      </c>
      <c r="H65" s="76">
        <v>0</v>
      </c>
      <c r="I65" s="76">
        <v>0</v>
      </c>
      <c r="J65" s="76">
        <v>184.84</v>
      </c>
      <c r="K65" s="76">
        <v>0</v>
      </c>
    </row>
    <row r="66" spans="1:11">
      <c r="A66" s="76" t="s">
        <v>334</v>
      </c>
      <c r="B66" s="76">
        <v>0</v>
      </c>
      <c r="C66" s="76">
        <v>0</v>
      </c>
      <c r="D66" s="76">
        <v>0</v>
      </c>
      <c r="E66" s="76">
        <v>0</v>
      </c>
      <c r="F66" s="76">
        <v>0</v>
      </c>
      <c r="G66" s="76">
        <v>124.19</v>
      </c>
      <c r="H66" s="76">
        <v>0</v>
      </c>
      <c r="I66" s="76">
        <v>0</v>
      </c>
      <c r="J66" s="76">
        <v>50.39</v>
      </c>
      <c r="K66" s="76">
        <v>0</v>
      </c>
    </row>
    <row r="67" spans="1:11">
      <c r="A67" s="76" t="s">
        <v>335</v>
      </c>
      <c r="B67" s="76">
        <v>0</v>
      </c>
      <c r="C67" s="76">
        <v>0</v>
      </c>
      <c r="D67" s="76">
        <v>0</v>
      </c>
      <c r="E67" s="76">
        <v>0</v>
      </c>
      <c r="F67" s="76">
        <v>0</v>
      </c>
      <c r="G67" s="76">
        <v>0</v>
      </c>
      <c r="H67" s="76">
        <v>0</v>
      </c>
      <c r="I67" s="76">
        <v>0</v>
      </c>
      <c r="J67" s="76">
        <v>0</v>
      </c>
      <c r="K67" s="76">
        <v>75.33</v>
      </c>
    </row>
    <row r="68" spans="1:11">
      <c r="A68" s="76" t="s">
        <v>336</v>
      </c>
      <c r="B68" s="76">
        <v>0</v>
      </c>
      <c r="C68" s="76">
        <v>0</v>
      </c>
      <c r="D68" s="76">
        <v>0</v>
      </c>
      <c r="E68" s="76">
        <v>0</v>
      </c>
      <c r="F68" s="76">
        <v>0</v>
      </c>
      <c r="G68" s="76">
        <v>0</v>
      </c>
      <c r="H68" s="76">
        <v>0</v>
      </c>
      <c r="I68" s="76">
        <v>0</v>
      </c>
      <c r="J68" s="76">
        <v>0</v>
      </c>
      <c r="K68" s="76">
        <v>0</v>
      </c>
    </row>
    <row r="69" spans="1:11">
      <c r="A69" s="76" t="s">
        <v>337</v>
      </c>
      <c r="B69" s="76">
        <v>0</v>
      </c>
      <c r="C69" s="76">
        <v>0</v>
      </c>
      <c r="D69" s="76">
        <v>0</v>
      </c>
      <c r="E69" s="76">
        <v>0</v>
      </c>
      <c r="F69" s="76">
        <v>0</v>
      </c>
      <c r="G69" s="76">
        <v>0</v>
      </c>
      <c r="H69" s="76">
        <v>0</v>
      </c>
      <c r="I69" s="76">
        <v>0</v>
      </c>
      <c r="J69" s="76">
        <v>0</v>
      </c>
      <c r="K69" s="76">
        <v>0</v>
      </c>
    </row>
    <row r="70" spans="1:11">
      <c r="A70" s="76" t="s">
        <v>338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</row>
    <row r="71" spans="1:11">
      <c r="A71" s="76" t="s">
        <v>339</v>
      </c>
      <c r="B71" s="76">
        <v>0</v>
      </c>
      <c r="C71" s="76">
        <v>0</v>
      </c>
      <c r="D71" s="76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76">
        <v>0</v>
      </c>
      <c r="K71" s="76">
        <v>0</v>
      </c>
    </row>
    <row r="72" spans="1:11">
      <c r="A72" s="76" t="s">
        <v>340</v>
      </c>
      <c r="B72" s="76">
        <v>0</v>
      </c>
      <c r="C72" s="76">
        <v>0</v>
      </c>
      <c r="D72" s="76">
        <v>0</v>
      </c>
      <c r="E72" s="76">
        <v>0</v>
      </c>
      <c r="F72" s="76">
        <v>0</v>
      </c>
      <c r="G72" s="76">
        <v>0</v>
      </c>
      <c r="H72" s="76">
        <v>0</v>
      </c>
      <c r="I72" s="76">
        <v>0</v>
      </c>
      <c r="J72" s="76">
        <v>0</v>
      </c>
      <c r="K72" s="76">
        <v>0</v>
      </c>
    </row>
    <row r="73" spans="1:11">
      <c r="A73" s="76" t="s">
        <v>341</v>
      </c>
      <c r="B73" s="76">
        <v>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</row>
    <row r="74" spans="1:11">
      <c r="A74" s="76" t="s">
        <v>342</v>
      </c>
      <c r="B74" s="76">
        <v>0</v>
      </c>
      <c r="C74" s="76">
        <v>0</v>
      </c>
      <c r="D74" s="76">
        <v>-0.47</v>
      </c>
      <c r="E74" s="76">
        <v>-16.59</v>
      </c>
      <c r="F74" s="76">
        <v>-83.29</v>
      </c>
      <c r="G74" s="76">
        <v>-9.52</v>
      </c>
      <c r="H74" s="76">
        <v>-33.36</v>
      </c>
      <c r="I74" s="76">
        <v>-78.48</v>
      </c>
      <c r="J74" s="76">
        <v>-25.66</v>
      </c>
      <c r="K74" s="76">
        <v>-41.88</v>
      </c>
    </row>
    <row r="75" spans="1:11">
      <c r="A75" s="76" t="s">
        <v>343</v>
      </c>
      <c r="B75" s="76">
        <v>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</row>
    <row r="76" spans="1:11">
      <c r="A76" s="76" t="s">
        <v>344</v>
      </c>
      <c r="B76" s="76">
        <v>0</v>
      </c>
      <c r="C76" s="76">
        <v>0</v>
      </c>
      <c r="D76" s="76">
        <v>0</v>
      </c>
      <c r="E76" s="76">
        <v>-4.71</v>
      </c>
      <c r="F76" s="76">
        <v>-4.79</v>
      </c>
      <c r="G76" s="76">
        <v>-4.8499999999999996</v>
      </c>
      <c r="H76" s="76">
        <v>-3.4</v>
      </c>
      <c r="I76" s="76">
        <v>-5.39</v>
      </c>
      <c r="J76" s="76">
        <v>-5.9</v>
      </c>
      <c r="K76" s="76">
        <v>-6.29</v>
      </c>
    </row>
    <row r="77" spans="1:11">
      <c r="A77" s="76" t="s">
        <v>345</v>
      </c>
      <c r="B77" s="76">
        <v>-0.7</v>
      </c>
      <c r="C77" s="76">
        <v>-32.97</v>
      </c>
      <c r="D77" s="76">
        <v>-42.35</v>
      </c>
      <c r="E77" s="76">
        <v>-34.03</v>
      </c>
      <c r="F77" s="76">
        <v>-28.66</v>
      </c>
      <c r="G77" s="76">
        <v>-28.36</v>
      </c>
      <c r="H77" s="76">
        <v>-28.25</v>
      </c>
      <c r="I77" s="76">
        <v>-0.21</v>
      </c>
      <c r="J77" s="76">
        <v>-0.34</v>
      </c>
      <c r="K77" s="76">
        <v>-0.37</v>
      </c>
    </row>
    <row r="78" spans="1:11">
      <c r="A78" s="76" t="s">
        <v>346</v>
      </c>
      <c r="B78" s="76">
        <v>0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</row>
    <row r="79" spans="1:11">
      <c r="A79" s="76" t="s">
        <v>347</v>
      </c>
      <c r="B79" s="76">
        <v>-3.36</v>
      </c>
      <c r="C79" s="76">
        <v>-7.91</v>
      </c>
      <c r="D79" s="76">
        <v>-9.19</v>
      </c>
      <c r="E79" s="76">
        <v>-7.07</v>
      </c>
      <c r="F79" s="76">
        <v>-4.34</v>
      </c>
      <c r="G79" s="76">
        <v>-5.08</v>
      </c>
      <c r="H79" s="76">
        <v>-16.29</v>
      </c>
      <c r="I79" s="76">
        <v>-22.23</v>
      </c>
      <c r="J79" s="76">
        <v>-19.57</v>
      </c>
      <c r="K79" s="76">
        <v>-24.93</v>
      </c>
    </row>
    <row r="80" spans="1:11">
      <c r="A80" s="76" t="s">
        <v>217</v>
      </c>
      <c r="B80" s="76">
        <v>63.01</v>
      </c>
      <c r="C80" s="76">
        <v>-840.42</v>
      </c>
      <c r="D80" s="76">
        <v>0</v>
      </c>
      <c r="E80" s="76">
        <v>0</v>
      </c>
      <c r="F80" s="76">
        <v>0</v>
      </c>
      <c r="G80" s="76">
        <v>0</v>
      </c>
      <c r="H80" s="76">
        <v>0</v>
      </c>
      <c r="I80" s="76">
        <v>0</v>
      </c>
      <c r="J80" s="76">
        <v>0</v>
      </c>
      <c r="K80" s="76">
        <v>0</v>
      </c>
    </row>
    <row r="81" spans="1:11">
      <c r="A81" s="76" t="s">
        <v>348</v>
      </c>
      <c r="B81" s="76">
        <v>59.23</v>
      </c>
      <c r="C81" s="76">
        <v>-881.13</v>
      </c>
      <c r="D81" s="76">
        <v>-2.42</v>
      </c>
      <c r="E81" s="76">
        <v>-62.3</v>
      </c>
      <c r="F81" s="76">
        <v>-121.07</v>
      </c>
      <c r="G81" s="76">
        <v>191.23</v>
      </c>
      <c r="H81" s="76">
        <v>-81.3</v>
      </c>
      <c r="I81" s="76">
        <v>-106.31</v>
      </c>
      <c r="J81" s="76">
        <v>183.76</v>
      </c>
      <c r="K81" s="76">
        <v>1.86</v>
      </c>
    </row>
    <row r="82" spans="1:11">
      <c r="A82" s="76" t="s">
        <v>349</v>
      </c>
      <c r="B82" s="76">
        <v>-0.46</v>
      </c>
      <c r="C82" s="76">
        <v>654.86</v>
      </c>
      <c r="D82" s="76">
        <v>-616.19000000000005</v>
      </c>
      <c r="E82" s="76">
        <v>-78.400000000000006</v>
      </c>
      <c r="F82" s="76">
        <v>-154.06</v>
      </c>
      <c r="G82" s="76">
        <v>31.74</v>
      </c>
      <c r="H82" s="76">
        <v>74.56</v>
      </c>
      <c r="I82" s="76">
        <v>-29</v>
      </c>
      <c r="J82" s="76">
        <v>-65.17</v>
      </c>
      <c r="K82" s="76">
        <v>197.56</v>
      </c>
    </row>
    <row r="83" spans="1:11">
      <c r="A83" s="76" t="s">
        <v>350</v>
      </c>
      <c r="B83" s="76">
        <v>11.21</v>
      </c>
      <c r="C83" s="76">
        <v>666.07</v>
      </c>
      <c r="D83" s="76">
        <v>197.05</v>
      </c>
      <c r="E83" s="76">
        <v>231.52</v>
      </c>
      <c r="F83" s="76">
        <v>77.459999999999994</v>
      </c>
      <c r="G83" s="76">
        <v>109.2</v>
      </c>
      <c r="H83" s="76">
        <v>183.75</v>
      </c>
      <c r="I83" s="76">
        <v>154.75</v>
      </c>
      <c r="J83" s="76">
        <v>89.58</v>
      </c>
      <c r="K83" s="76">
        <v>289.48</v>
      </c>
    </row>
  </sheetData>
  <mergeCells count="1">
    <mergeCell ref="A1:K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BK214"/>
  <sheetViews>
    <sheetView topLeftCell="AW1" zoomScale="80" zoomScaleNormal="80" workbookViewId="0">
      <selection activeCell="BM16" sqref="BM16"/>
    </sheetView>
  </sheetViews>
  <sheetFormatPr defaultColWidth="9.140625" defaultRowHeight="12.75" customHeight="1" outlineLevelCol="2"/>
  <cols>
    <col min="1" max="1" width="9.140625" style="83"/>
    <col min="2" max="2" width="92.85546875" style="83" customWidth="1" outlineLevel="1"/>
    <col min="3" max="12" width="9.140625" style="83" outlineLevel="1"/>
    <col min="13" max="13" width="9.140625" style="83"/>
    <col min="14" max="14" width="54.5703125" style="83" customWidth="1" outlineLevel="1"/>
    <col min="15" max="24" width="13" style="83" customWidth="1" outlineLevel="1"/>
    <col min="25" max="25" width="9.140625" style="83"/>
    <col min="26" max="26" width="49.140625" style="83" customWidth="1" outlineLevel="2"/>
    <col min="27" max="29" width="13" style="83" customWidth="1" outlineLevel="2"/>
    <col min="30" max="30" width="15" style="83" customWidth="1" outlineLevel="2"/>
    <col min="31" max="36" width="13" style="83" customWidth="1" outlineLevel="2"/>
    <col min="37" max="37" width="8.42578125" style="83" customWidth="1"/>
    <col min="38" max="38" width="39" style="83" customWidth="1" outlineLevel="2"/>
    <col min="39" max="48" width="11" style="83" customWidth="1" outlineLevel="2"/>
    <col min="49" max="49" width="14" style="83" customWidth="1" outlineLevel="2"/>
    <col min="50" max="50" width="14" style="84" customWidth="1"/>
    <col min="51" max="51" width="45.140625" style="83" customWidth="1" outlineLevel="1"/>
    <col min="52" max="61" width="11" style="83" customWidth="1" outlineLevel="1"/>
    <col min="62" max="63" width="22.7109375" style="83" customWidth="1" outlineLevel="1"/>
    <col min="64" max="16384" width="9.140625" style="83"/>
  </cols>
  <sheetData>
    <row r="1" spans="2:63" ht="12.75" customHeight="1">
      <c r="B1" s="8" t="s">
        <v>351</v>
      </c>
      <c r="C1" s="8"/>
      <c r="D1" s="8"/>
      <c r="E1" s="8"/>
      <c r="F1" s="8"/>
      <c r="G1" s="8"/>
      <c r="H1" s="8"/>
      <c r="I1" s="8"/>
      <c r="J1" s="8"/>
      <c r="K1" s="8"/>
      <c r="L1" s="8"/>
      <c r="N1" s="7" t="s">
        <v>352</v>
      </c>
      <c r="O1" s="7"/>
      <c r="P1" s="7"/>
      <c r="Q1" s="7"/>
      <c r="R1" s="7"/>
      <c r="S1" s="7"/>
      <c r="T1" s="7"/>
      <c r="U1" s="7"/>
      <c r="V1" s="7"/>
      <c r="W1" s="7"/>
      <c r="X1" s="7"/>
      <c r="Y1" s="85"/>
      <c r="Z1" s="7" t="s">
        <v>353</v>
      </c>
      <c r="AA1" s="7"/>
      <c r="AB1" s="7"/>
      <c r="AC1" s="7"/>
      <c r="AD1" s="7"/>
      <c r="AE1" s="7"/>
      <c r="AF1" s="7"/>
      <c r="AG1" s="7"/>
      <c r="AH1" s="7"/>
      <c r="AI1" s="7"/>
      <c r="AJ1" s="7"/>
      <c r="AK1" s="86"/>
      <c r="AL1" s="6" t="s">
        <v>354</v>
      </c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Y1" s="5" t="s">
        <v>355</v>
      </c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</row>
    <row r="2" spans="2:63">
      <c r="B2" s="75" t="s">
        <v>99</v>
      </c>
      <c r="C2" s="75">
        <v>201703</v>
      </c>
      <c r="D2" s="75">
        <v>201803</v>
      </c>
      <c r="E2" s="75">
        <v>201903</v>
      </c>
      <c r="F2" s="75">
        <v>202003</v>
      </c>
      <c r="G2" s="75">
        <v>202103</v>
      </c>
      <c r="H2" s="75">
        <v>202203</v>
      </c>
      <c r="I2" s="75">
        <v>202303</v>
      </c>
      <c r="J2" s="75">
        <v>202403</v>
      </c>
      <c r="K2" s="75">
        <v>202503</v>
      </c>
      <c r="L2" s="75">
        <v>202603</v>
      </c>
      <c r="N2" s="87" t="s">
        <v>99</v>
      </c>
      <c r="O2" s="87">
        <v>201703</v>
      </c>
      <c r="P2" s="87">
        <v>201803</v>
      </c>
      <c r="Q2" s="87">
        <v>201903</v>
      </c>
      <c r="R2" s="87">
        <v>202003</v>
      </c>
      <c r="S2" s="87">
        <v>202103</v>
      </c>
      <c r="T2" s="87">
        <v>202203</v>
      </c>
      <c r="U2" s="87">
        <v>202303</v>
      </c>
      <c r="V2" s="87">
        <v>202403</v>
      </c>
      <c r="W2" s="87">
        <v>202503</v>
      </c>
      <c r="X2" s="87">
        <v>202603</v>
      </c>
      <c r="Y2" s="85"/>
      <c r="Z2" s="87" t="s">
        <v>99</v>
      </c>
      <c r="AA2" s="87">
        <v>201703</v>
      </c>
      <c r="AB2" s="87">
        <v>201803</v>
      </c>
      <c r="AC2" s="87">
        <v>201903</v>
      </c>
      <c r="AD2" s="87">
        <v>202003</v>
      </c>
      <c r="AE2" s="87">
        <v>202103</v>
      </c>
      <c r="AF2" s="87">
        <v>202203</v>
      </c>
      <c r="AG2" s="87">
        <v>202303</v>
      </c>
      <c r="AH2" s="87">
        <v>202403</v>
      </c>
      <c r="AI2" s="87">
        <v>202503</v>
      </c>
      <c r="AJ2" s="87">
        <v>202603</v>
      </c>
      <c r="AK2" s="88"/>
      <c r="AL2" s="89" t="s">
        <v>99</v>
      </c>
      <c r="AM2" s="89">
        <f>O2</f>
        <v>201703</v>
      </c>
      <c r="AN2" s="89">
        <f>P2</f>
        <v>201803</v>
      </c>
      <c r="AO2" s="89">
        <f>Q2</f>
        <v>201903</v>
      </c>
      <c r="AP2" s="89">
        <f>R2</f>
        <v>202003</v>
      </c>
      <c r="AQ2" s="89">
        <f>S2</f>
        <v>202103</v>
      </c>
      <c r="AR2" s="89">
        <f>T2</f>
        <v>202203</v>
      </c>
      <c r="AS2" s="89">
        <f>U2</f>
        <v>202303</v>
      </c>
      <c r="AT2" s="89">
        <f>V2</f>
        <v>202403</v>
      </c>
      <c r="AU2" s="89">
        <f>W2</f>
        <v>202503</v>
      </c>
      <c r="AV2" s="89">
        <f>X2</f>
        <v>202603</v>
      </c>
      <c r="AW2" s="89" t="s">
        <v>356</v>
      </c>
      <c r="AY2" s="90" t="s">
        <v>357</v>
      </c>
      <c r="AZ2" s="90">
        <f>C2</f>
        <v>201703</v>
      </c>
      <c r="BA2" s="90">
        <f>D2</f>
        <v>201803</v>
      </c>
      <c r="BB2" s="90">
        <f>E2</f>
        <v>201903</v>
      </c>
      <c r="BC2" s="90">
        <f>F2</f>
        <v>202003</v>
      </c>
      <c r="BD2" s="90">
        <f>G2</f>
        <v>202103</v>
      </c>
      <c r="BE2" s="90">
        <f>H2</f>
        <v>202203</v>
      </c>
      <c r="BF2" s="90">
        <f>I2</f>
        <v>202303</v>
      </c>
      <c r="BG2" s="90">
        <f>J2</f>
        <v>202403</v>
      </c>
      <c r="BH2" s="90">
        <f>K2</f>
        <v>202503</v>
      </c>
      <c r="BI2" s="90">
        <f>L2</f>
        <v>202603</v>
      </c>
      <c r="BJ2" s="90" t="s">
        <v>358</v>
      </c>
      <c r="BK2" s="90" t="s">
        <v>359</v>
      </c>
    </row>
    <row r="3" spans="2:63" ht="15" customHeight="1">
      <c r="B3" s="76" t="s">
        <v>185</v>
      </c>
      <c r="C3" s="78">
        <f>'Raw IS'!B3</f>
        <v>698.67</v>
      </c>
      <c r="D3" s="78">
        <f>'Raw IS'!C3</f>
        <v>814.98</v>
      </c>
      <c r="E3" s="78">
        <f>'Raw IS'!D3</f>
        <v>1180.05</v>
      </c>
      <c r="F3" s="78">
        <f>'Raw IS'!E3</f>
        <v>1103.71</v>
      </c>
      <c r="G3" s="78">
        <f>'Raw IS'!F3</f>
        <v>1235.1400000000001</v>
      </c>
      <c r="H3" s="78">
        <f>'Raw IS'!G3</f>
        <v>1269.83</v>
      </c>
      <c r="I3" s="78">
        <f>'Raw IS'!H3</f>
        <v>1343.02</v>
      </c>
      <c r="J3" s="78">
        <f>'Raw IS'!I3</f>
        <v>1785.11</v>
      </c>
      <c r="K3" s="78">
        <f>'Raw IS'!J3</f>
        <v>2110.9699999999998</v>
      </c>
      <c r="L3" s="78">
        <f>'Raw IS'!K3</f>
        <v>2201.85</v>
      </c>
      <c r="N3" s="85" t="s">
        <v>360</v>
      </c>
      <c r="O3" s="91">
        <f>C5</f>
        <v>697.71</v>
      </c>
      <c r="P3" s="91">
        <f>D5</f>
        <v>814.59</v>
      </c>
      <c r="Q3" s="91">
        <f>E5</f>
        <v>1180.05</v>
      </c>
      <c r="R3" s="91">
        <f>F5</f>
        <v>1103.71</v>
      </c>
      <c r="S3" s="91">
        <f>G5</f>
        <v>1235.1400000000001</v>
      </c>
      <c r="T3" s="91">
        <f>H5</f>
        <v>1269.83</v>
      </c>
      <c r="U3" s="91">
        <f>I5</f>
        <v>1343.02</v>
      </c>
      <c r="V3" s="91">
        <f>J5</f>
        <v>1785.11</v>
      </c>
      <c r="W3" s="91">
        <f>K5</f>
        <v>2110.9699999999998</v>
      </c>
      <c r="X3" s="91">
        <f>L5</f>
        <v>2201.85</v>
      </c>
      <c r="Y3" s="85"/>
      <c r="Z3" s="85" t="s">
        <v>361</v>
      </c>
      <c r="AA3" s="91">
        <f>O3</f>
        <v>697.71</v>
      </c>
      <c r="AB3" s="91">
        <f>P3</f>
        <v>814.59</v>
      </c>
      <c r="AC3" s="91">
        <f>Q3</f>
        <v>1180.05</v>
      </c>
      <c r="AD3" s="91">
        <f>R3</f>
        <v>1103.71</v>
      </c>
      <c r="AE3" s="91">
        <f>S3</f>
        <v>1235.1400000000001</v>
      </c>
      <c r="AF3" s="91">
        <f>T3</f>
        <v>1269.83</v>
      </c>
      <c r="AG3" s="91">
        <f>U3</f>
        <v>1343.02</v>
      </c>
      <c r="AH3" s="91">
        <f>V3</f>
        <v>1785.11</v>
      </c>
      <c r="AI3" s="91">
        <f>W3</f>
        <v>2110.9699999999998</v>
      </c>
      <c r="AJ3" s="91">
        <f>X3</f>
        <v>2201.85</v>
      </c>
      <c r="AK3" s="91"/>
      <c r="AL3" s="4" t="s">
        <v>362</v>
      </c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Y3" s="4" t="s">
        <v>363</v>
      </c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</row>
    <row r="4" spans="2:63" ht="15" customHeight="1">
      <c r="B4" s="76" t="s">
        <v>186</v>
      </c>
      <c r="C4" s="76">
        <f>'Raw IS'!B4</f>
        <v>0.95</v>
      </c>
      <c r="D4" s="76">
        <f>'Raw IS'!C4</f>
        <v>0.39</v>
      </c>
      <c r="E4" s="76">
        <f>'Raw IS'!D4</f>
        <v>0</v>
      </c>
      <c r="F4" s="76">
        <f>'Raw IS'!E4</f>
        <v>0</v>
      </c>
      <c r="G4" s="76">
        <f>'Raw IS'!F4</f>
        <v>0</v>
      </c>
      <c r="H4" s="76">
        <f>'Raw IS'!G4</f>
        <v>0</v>
      </c>
      <c r="I4" s="76">
        <f>'Raw IS'!H4</f>
        <v>0</v>
      </c>
      <c r="J4" s="76">
        <f>'Raw IS'!I4</f>
        <v>0</v>
      </c>
      <c r="K4" s="76">
        <f>'Raw IS'!J4</f>
        <v>0</v>
      </c>
      <c r="L4" s="76">
        <f>'Raw IS'!K4</f>
        <v>0</v>
      </c>
      <c r="N4" s="85" t="s">
        <v>364</v>
      </c>
      <c r="O4" s="91">
        <f>C6</f>
        <v>5.5</v>
      </c>
      <c r="P4" s="91">
        <f>D6</f>
        <v>60.88</v>
      </c>
      <c r="Q4" s="91">
        <f>E6</f>
        <v>98.41</v>
      </c>
      <c r="R4" s="91">
        <f>F6</f>
        <v>91.31</v>
      </c>
      <c r="S4" s="91">
        <f>G6</f>
        <v>50.19</v>
      </c>
      <c r="T4" s="91">
        <f>H6</f>
        <v>47.51</v>
      </c>
      <c r="U4" s="91">
        <f>I6</f>
        <v>38.520000000000003</v>
      </c>
      <c r="V4" s="91">
        <f>J6</f>
        <v>31.59</v>
      </c>
      <c r="W4" s="91">
        <f>K6</f>
        <v>35.32</v>
      </c>
      <c r="X4" s="91">
        <f>L6</f>
        <v>63.06</v>
      </c>
      <c r="Y4" s="85"/>
      <c r="Z4" s="85" t="s">
        <v>365</v>
      </c>
      <c r="AA4" s="91">
        <f>O6</f>
        <v>259.17</v>
      </c>
      <c r="AB4" s="91">
        <f>P6</f>
        <v>358.25</v>
      </c>
      <c r="AC4" s="91">
        <f>Q6</f>
        <v>444.65</v>
      </c>
      <c r="AD4" s="91">
        <f>R6</f>
        <v>387.16</v>
      </c>
      <c r="AE4" s="91">
        <f>S6</f>
        <v>379.39000000000004</v>
      </c>
      <c r="AF4" s="91">
        <f>T6</f>
        <v>415.83000000000004</v>
      </c>
      <c r="AG4" s="91">
        <f>U6</f>
        <v>550.93000000000006</v>
      </c>
      <c r="AH4" s="91">
        <f>V6</f>
        <v>736.7</v>
      </c>
      <c r="AI4" s="91">
        <f>W6</f>
        <v>863.67</v>
      </c>
      <c r="AJ4" s="91">
        <f>X6</f>
        <v>799.99</v>
      </c>
      <c r="AK4" s="91"/>
      <c r="AL4" s="93" t="s">
        <v>366</v>
      </c>
      <c r="AM4" s="94" t="str">
        <f>""</f>
        <v/>
      </c>
      <c r="AN4" s="94">
        <f>IFERROR(P3/O3-1,"")</f>
        <v>0.16751945650771805</v>
      </c>
      <c r="AO4" s="94">
        <f>IFERROR(Q3/P3-1,"")</f>
        <v>0.44864287555702864</v>
      </c>
      <c r="AP4" s="94">
        <f>IFERROR(R3/Q3-1,"")</f>
        <v>-6.4692174060421048E-2</v>
      </c>
      <c r="AQ4" s="94">
        <f>IFERROR(S3/R3-1,"")</f>
        <v>0.11908019316668339</v>
      </c>
      <c r="AR4" s="94">
        <f>IFERROR(T3/S3-1,"")</f>
        <v>2.8085885000890487E-2</v>
      </c>
      <c r="AS4" s="94">
        <f>IFERROR(U3/T3-1,"")</f>
        <v>5.7637636534024317E-2</v>
      </c>
      <c r="AT4" s="94">
        <f>IFERROR(V3/U3-1,"")</f>
        <v>0.32917603609774981</v>
      </c>
      <c r="AU4" s="94">
        <f>IFERROR(W3/V3-1,"")</f>
        <v>0.18254337267731402</v>
      </c>
      <c r="AV4" s="94">
        <f>IFERROR(X3/W3-1,"")</f>
        <v>4.3051298692070583E-2</v>
      </c>
      <c r="AW4" s="85"/>
      <c r="AY4" s="85" t="s">
        <v>367</v>
      </c>
      <c r="AZ4" s="91">
        <f>-C175</f>
        <v>149.83000000000001</v>
      </c>
      <c r="BA4" s="91">
        <f>-D175</f>
        <v>159.57</v>
      </c>
      <c r="BB4" s="91">
        <f>-E175</f>
        <v>194.31</v>
      </c>
      <c r="BC4" s="91">
        <f>-F175</f>
        <v>386.15</v>
      </c>
      <c r="BD4" s="91">
        <f>-G175</f>
        <v>287.81</v>
      </c>
      <c r="BE4" s="91">
        <f>-H175</f>
        <v>127</v>
      </c>
      <c r="BF4" s="91">
        <f>-I175</f>
        <v>44.32</v>
      </c>
      <c r="BG4" s="91">
        <f>-J175</f>
        <v>22.55</v>
      </c>
      <c r="BH4" s="91">
        <f>-K175</f>
        <v>137.36000000000001</v>
      </c>
      <c r="BI4" s="91">
        <f>-L175</f>
        <v>123.04</v>
      </c>
      <c r="BJ4" s="95">
        <f>AVERAGE(AZ4:BI4)</f>
        <v>163.19399999999996</v>
      </c>
      <c r="BK4" s="95"/>
    </row>
    <row r="5" spans="2:63">
      <c r="B5" s="76" t="s">
        <v>187</v>
      </c>
      <c r="C5" s="78">
        <f>'Raw IS'!B5</f>
        <v>697.71</v>
      </c>
      <c r="D5" s="78">
        <f>'Raw IS'!C5</f>
        <v>814.59</v>
      </c>
      <c r="E5" s="78">
        <f>'Raw IS'!D5</f>
        <v>1180.05</v>
      </c>
      <c r="F5" s="78">
        <f>'Raw IS'!E5</f>
        <v>1103.71</v>
      </c>
      <c r="G5" s="78">
        <f>'Raw IS'!F5</f>
        <v>1235.1400000000001</v>
      </c>
      <c r="H5" s="78">
        <f>'Raw IS'!G5</f>
        <v>1269.83</v>
      </c>
      <c r="I5" s="78">
        <f>'Raw IS'!H5</f>
        <v>1343.02</v>
      </c>
      <c r="J5" s="78">
        <f>'Raw IS'!I5</f>
        <v>1785.11</v>
      </c>
      <c r="K5" s="78">
        <f>'Raw IS'!J5</f>
        <v>2110.9699999999998</v>
      </c>
      <c r="L5" s="78">
        <f>'Raw IS'!K5</f>
        <v>2201.85</v>
      </c>
      <c r="N5" s="96" t="s">
        <v>368</v>
      </c>
      <c r="O5" s="97">
        <f>SUM(O3:O4)</f>
        <v>703.21</v>
      </c>
      <c r="P5" s="97">
        <f>SUM(P3:P4)</f>
        <v>875.47</v>
      </c>
      <c r="Q5" s="97">
        <f>SUM(Q3:Q4)</f>
        <v>1278.46</v>
      </c>
      <c r="R5" s="97">
        <f>SUM(R3:R4)</f>
        <v>1195.02</v>
      </c>
      <c r="S5" s="97">
        <f>SUM(S3:S4)</f>
        <v>1285.3300000000002</v>
      </c>
      <c r="T5" s="97">
        <f>SUM(T3:T4)</f>
        <v>1317.34</v>
      </c>
      <c r="U5" s="97">
        <f>SUM(U3:U4)</f>
        <v>1381.54</v>
      </c>
      <c r="V5" s="97">
        <f>SUM(V3:V4)</f>
        <v>1816.6999999999998</v>
      </c>
      <c r="W5" s="97">
        <f>SUM(W3:W4)</f>
        <v>2146.29</v>
      </c>
      <c r="X5" s="97">
        <f>SUM(X3:X4)</f>
        <v>2264.91</v>
      </c>
      <c r="Y5" s="85"/>
      <c r="Z5" s="85" t="s">
        <v>369</v>
      </c>
      <c r="AA5" s="91">
        <f>SUM(O7:O8)</f>
        <v>479.93999999999994</v>
      </c>
      <c r="AB5" s="91">
        <f>SUM(P7:P8)</f>
        <v>588.23</v>
      </c>
      <c r="AC5" s="91">
        <f>SUM(Q7:Q8)</f>
        <v>818.89</v>
      </c>
      <c r="AD5" s="91">
        <f>SUM(R7:R8)</f>
        <v>767.36999999999989</v>
      </c>
      <c r="AE5" s="91">
        <f>SUM(S7:S8)</f>
        <v>764.6400000000001</v>
      </c>
      <c r="AF5" s="91">
        <f>SUM(T7:T8)</f>
        <v>781.21</v>
      </c>
      <c r="AG5" s="91">
        <f>SUM(U7:U8)</f>
        <v>837.65000000000009</v>
      </c>
      <c r="AH5" s="91">
        <f>SUM(V7:V8)</f>
        <v>961.53</v>
      </c>
      <c r="AI5" s="91">
        <f>SUM(W7:W8)</f>
        <v>982.44</v>
      </c>
      <c r="AJ5" s="91">
        <f>SUM(X7:X8)</f>
        <v>997.13</v>
      </c>
      <c r="AK5" s="98"/>
      <c r="AL5" s="93" t="s">
        <v>370</v>
      </c>
      <c r="AM5" s="94" t="str">
        <f>""</f>
        <v/>
      </c>
      <c r="AN5" s="94">
        <f>IFERROR(P9/O9-1,"")</f>
        <v>0.97799442896936029</v>
      </c>
      <c r="AO5" s="94">
        <f>IFERROR(Q9/P9-1,"")</f>
        <v>-1.2101112519363482</v>
      </c>
      <c r="AP5" s="94">
        <f>IFERROR(R9/Q9-1,"")</f>
        <v>1.7138069705093706</v>
      </c>
      <c r="AQ5" s="94">
        <f>IFERROR(S9/R9-1,"")</f>
        <v>2.4897505556927619</v>
      </c>
      <c r="AR5" s="94">
        <f>IFERROR(T9/S9-1,"")</f>
        <v>-0.14861995753715507</v>
      </c>
      <c r="AS5" s="94">
        <f>IFERROR(U9/T9-1,"")</f>
        <v>-1.0585203657522875</v>
      </c>
      <c r="AT5" s="94">
        <f>IFERROR(V9/U9-1,"")</f>
        <v>-17.828124999999513</v>
      </c>
      <c r="AU5" s="94">
        <f>IFERROR(W9/V9-1,"")</f>
        <v>1.5338060268422433</v>
      </c>
      <c r="AV5" s="94">
        <f>IFERROR(X9/W9-1,"")</f>
        <v>0.55836498101139265</v>
      </c>
      <c r="AW5" s="85"/>
      <c r="AY5" s="85" t="s">
        <v>371</v>
      </c>
      <c r="AZ5" s="91">
        <f>O10</f>
        <v>43.52</v>
      </c>
      <c r="BA5" s="91">
        <f>P10</f>
        <v>50.51</v>
      </c>
      <c r="BB5" s="91">
        <f>Q10</f>
        <v>67.37</v>
      </c>
      <c r="BC5" s="91">
        <f>R10</f>
        <v>81.67</v>
      </c>
      <c r="BD5" s="91">
        <f>S10</f>
        <v>84.36</v>
      </c>
      <c r="BE5" s="91">
        <f>T10</f>
        <v>91.17</v>
      </c>
      <c r="BF5" s="91">
        <f>U10</f>
        <v>113.44</v>
      </c>
      <c r="BG5" s="91">
        <f>V10</f>
        <v>123.16</v>
      </c>
      <c r="BH5" s="91">
        <f>W10</f>
        <v>124.56</v>
      </c>
      <c r="BI5" s="91">
        <f>X10</f>
        <v>125.12</v>
      </c>
      <c r="BJ5" s="95">
        <f>AVERAGE(AZ5:BI5)</f>
        <v>90.488</v>
      </c>
      <c r="BK5" s="95"/>
    </row>
    <row r="6" spans="2:63" ht="15" customHeight="1">
      <c r="B6" s="76" t="s">
        <v>188</v>
      </c>
      <c r="C6" s="76">
        <f>'Raw IS'!B6</f>
        <v>5.5</v>
      </c>
      <c r="D6" s="76">
        <f>'Raw IS'!C6</f>
        <v>60.88</v>
      </c>
      <c r="E6" s="76">
        <f>'Raw IS'!D6</f>
        <v>98.41</v>
      </c>
      <c r="F6" s="76">
        <f>'Raw IS'!E6</f>
        <v>91.31</v>
      </c>
      <c r="G6" s="76">
        <f>'Raw IS'!F6</f>
        <v>50.19</v>
      </c>
      <c r="H6" s="76">
        <f>'Raw IS'!G6</f>
        <v>47.51</v>
      </c>
      <c r="I6" s="76">
        <f>'Raw IS'!H6</f>
        <v>38.520000000000003</v>
      </c>
      <c r="J6" s="76">
        <f>'Raw IS'!I6</f>
        <v>31.59</v>
      </c>
      <c r="K6" s="76">
        <f>'Raw IS'!J6</f>
        <v>35.32</v>
      </c>
      <c r="L6" s="76">
        <f>'Raw IS'!K6</f>
        <v>63.06</v>
      </c>
      <c r="N6" s="85" t="s">
        <v>372</v>
      </c>
      <c r="O6" s="91">
        <f>SUM(C9:C12)</f>
        <v>259.17</v>
      </c>
      <c r="P6" s="91">
        <f>SUM(D9:D12)</f>
        <v>358.25</v>
      </c>
      <c r="Q6" s="91">
        <f>SUM(E9:E12)</f>
        <v>444.65</v>
      </c>
      <c r="R6" s="91">
        <f>SUM(F9:F12)</f>
        <v>387.16</v>
      </c>
      <c r="S6" s="91">
        <f>SUM(G9:G12)</f>
        <v>379.39000000000004</v>
      </c>
      <c r="T6" s="91">
        <f>SUM(H9:H12)</f>
        <v>415.83000000000004</v>
      </c>
      <c r="U6" s="91">
        <f>SUM(I9:I12)</f>
        <v>550.93000000000006</v>
      </c>
      <c r="V6" s="91">
        <f>SUM(J9:J12)</f>
        <v>736.7</v>
      </c>
      <c r="W6" s="91">
        <f>SUM(K9:K12)</f>
        <v>863.67</v>
      </c>
      <c r="X6" s="91">
        <f>SUM(L9:L12)</f>
        <v>799.99</v>
      </c>
      <c r="Y6" s="85"/>
      <c r="Z6" s="96" t="s">
        <v>373</v>
      </c>
      <c r="AA6" s="97">
        <f>AA3-AA4-AA5</f>
        <v>-41.39999999999992</v>
      </c>
      <c r="AB6" s="97">
        <f>AB3-AB4-AB5</f>
        <v>-131.88999999999999</v>
      </c>
      <c r="AC6" s="97">
        <f>AC3-AC4-AC5</f>
        <v>-83.490000000000009</v>
      </c>
      <c r="AD6" s="97">
        <f>AD3-AD4-AD5</f>
        <v>-50.819999999999936</v>
      </c>
      <c r="AE6" s="97">
        <f>AE3-AE4-AE5</f>
        <v>91.1099999999999</v>
      </c>
      <c r="AF6" s="97">
        <f>AF3-AF4-AF5</f>
        <v>72.78999999999985</v>
      </c>
      <c r="AG6" s="97">
        <f>AG3-AG4-AG5</f>
        <v>-45.560000000000173</v>
      </c>
      <c r="AH6" s="97">
        <f>AH3-AH4-AH5</f>
        <v>86.879999999999882</v>
      </c>
      <c r="AI6" s="97">
        <f>AI3-AI4-AI5</f>
        <v>264.85999999999967</v>
      </c>
      <c r="AJ6" s="97">
        <f>AJ3-AJ4-AJ5</f>
        <v>404.7299999999999</v>
      </c>
      <c r="AK6" s="91"/>
      <c r="AL6" s="93" t="s">
        <v>374</v>
      </c>
      <c r="AM6" s="94" t="str">
        <f>""</f>
        <v/>
      </c>
      <c r="AN6" s="94">
        <f>IFERROR(P11/O11-1,"")</f>
        <v>0.53009317552253843</v>
      </c>
      <c r="AO6" s="94">
        <f>IFERROR(Q11/P11-1,"")</f>
        <v>-0.56838380513495768</v>
      </c>
      <c r="AP6" s="94">
        <f>IFERROR(R11/Q11-1,"")</f>
        <v>-0.2148713060057188</v>
      </c>
      <c r="AQ6" s="94">
        <f>IFERROR(S11/R11-1,"")</f>
        <v>-2.3827100534239913</v>
      </c>
      <c r="AR6" s="94">
        <f>IFERROR(T11/S11-1,"")</f>
        <v>-0.48840885142255053</v>
      </c>
      <c r="AS6" s="94">
        <f>IFERROR(U11/T11-1,"")</f>
        <v>-5.135942327497439</v>
      </c>
      <c r="AT6" s="94">
        <f>IFERROR(V11/U11-1,"")</f>
        <v>-0.96107237715803295</v>
      </c>
      <c r="AU6" s="94">
        <f>IFERROR(W11/V11-1,"")</f>
        <v>-38.445628997866244</v>
      </c>
      <c r="AV6" s="94">
        <f>IFERROR(X11/W11-1,"")</f>
        <v>0.95120145769274478</v>
      </c>
      <c r="AW6" s="85"/>
      <c r="AY6" s="85" t="s">
        <v>375</v>
      </c>
      <c r="AZ6" s="91">
        <f>AZ4-AZ5</f>
        <v>106.31</v>
      </c>
      <c r="BA6" s="91">
        <f>BA4-BA5</f>
        <v>109.06</v>
      </c>
      <c r="BB6" s="91">
        <f>BB4-BB5</f>
        <v>126.94</v>
      </c>
      <c r="BC6" s="91">
        <f>BC4-BC5</f>
        <v>304.47999999999996</v>
      </c>
      <c r="BD6" s="91">
        <f>BD4-BD5</f>
        <v>203.45</v>
      </c>
      <c r="BE6" s="91">
        <f>BE4-BE5</f>
        <v>35.83</v>
      </c>
      <c r="BF6" s="91">
        <f>BF4-BF5</f>
        <v>-69.12</v>
      </c>
      <c r="BG6" s="91">
        <f>BG4-BG5</f>
        <v>-100.61</v>
      </c>
      <c r="BH6" s="91">
        <f>BH4-BH5</f>
        <v>12.800000000000011</v>
      </c>
      <c r="BI6" s="91">
        <f>BI4-BI5</f>
        <v>-2.0799999999999983</v>
      </c>
      <c r="BJ6" s="95">
        <f>AVERAGE(AZ6:BI6)</f>
        <v>72.706000000000003</v>
      </c>
      <c r="BK6" s="95"/>
    </row>
    <row r="7" spans="2:63" ht="15" customHeight="1">
      <c r="B7" s="76" t="s">
        <v>189</v>
      </c>
      <c r="C7" s="78">
        <f>'Raw IS'!B7</f>
        <v>703.22</v>
      </c>
      <c r="D7" s="78">
        <f>'Raw IS'!C7</f>
        <v>875.47</v>
      </c>
      <c r="E7" s="78">
        <f>'Raw IS'!D7</f>
        <v>1278.46</v>
      </c>
      <c r="F7" s="78">
        <f>'Raw IS'!E7</f>
        <v>1195.03</v>
      </c>
      <c r="G7" s="78">
        <f>'Raw IS'!F7</f>
        <v>1285.32</v>
      </c>
      <c r="H7" s="78">
        <f>'Raw IS'!G7</f>
        <v>1317.34</v>
      </c>
      <c r="I7" s="78">
        <f>'Raw IS'!H7</f>
        <v>1381.54</v>
      </c>
      <c r="J7" s="78">
        <f>'Raw IS'!I7</f>
        <v>1816.7</v>
      </c>
      <c r="K7" s="78">
        <f>'Raw IS'!J7</f>
        <v>2146.29</v>
      </c>
      <c r="L7" s="78">
        <f>'Raw IS'!K7</f>
        <v>2264.91</v>
      </c>
      <c r="N7" s="85" t="s">
        <v>376</v>
      </c>
      <c r="O7" s="91">
        <f>C13</f>
        <v>169.04</v>
      </c>
      <c r="P7" s="91">
        <f>D13</f>
        <v>200.64</v>
      </c>
      <c r="Q7" s="91">
        <f>E13</f>
        <v>238.52</v>
      </c>
      <c r="R7" s="91">
        <f>F13</f>
        <v>273.27999999999997</v>
      </c>
      <c r="S7" s="91">
        <f>G13</f>
        <v>306.97000000000003</v>
      </c>
      <c r="T7" s="91">
        <f>H13</f>
        <v>330.49</v>
      </c>
      <c r="U7" s="91">
        <f>I13</f>
        <v>356.41</v>
      </c>
      <c r="V7" s="91">
        <f>J13</f>
        <v>403.2</v>
      </c>
      <c r="W7" s="91">
        <f>K13</f>
        <v>402.21</v>
      </c>
      <c r="X7" s="91">
        <f>L13</f>
        <v>396.63</v>
      </c>
      <c r="Y7" s="85"/>
      <c r="Z7" s="85" t="s">
        <v>377</v>
      </c>
      <c r="AA7" s="91">
        <f>O10</f>
        <v>43.52</v>
      </c>
      <c r="AB7" s="91">
        <f>P10</f>
        <v>50.51</v>
      </c>
      <c r="AC7" s="91">
        <f>Q10</f>
        <v>67.37</v>
      </c>
      <c r="AD7" s="91">
        <f>R10</f>
        <v>81.67</v>
      </c>
      <c r="AE7" s="91">
        <f>S10</f>
        <v>84.36</v>
      </c>
      <c r="AF7" s="91">
        <f>T10</f>
        <v>91.17</v>
      </c>
      <c r="AG7" s="91">
        <f>U10</f>
        <v>113.44</v>
      </c>
      <c r="AH7" s="91">
        <f>V10</f>
        <v>123.16</v>
      </c>
      <c r="AI7" s="91">
        <f>W10</f>
        <v>124.56</v>
      </c>
      <c r="AJ7" s="91">
        <f>X10</f>
        <v>125.12</v>
      </c>
      <c r="AK7" s="98"/>
      <c r="AL7" s="93" t="s">
        <v>378</v>
      </c>
      <c r="AM7" s="94" t="str">
        <f>""</f>
        <v/>
      </c>
      <c r="AN7" s="94">
        <f>IFERROR(P17/O17-1,"")</f>
        <v>0.88139666383941173</v>
      </c>
      <c r="AO7" s="94">
        <f>IFERROR(Q17/P17-1,"")</f>
        <v>-0.80802464497708371</v>
      </c>
      <c r="AP7" s="94">
        <f>IFERROR(R17/Q17-1,"")</f>
        <v>1.3557729941291647</v>
      </c>
      <c r="AQ7" s="94">
        <f>IFERROR(S17/R17-1,"")</f>
        <v>-1.570360525004153</v>
      </c>
      <c r="AR7" s="94">
        <f>IFERROR(T17/S17-1,"")</f>
        <v>-3.7285173317797904E-2</v>
      </c>
      <c r="AS7" s="94">
        <f>IFERROR(U17/T17-1,"")</f>
        <v>-7.1186081694402565</v>
      </c>
      <c r="AT7" s="94">
        <f>IFERROR(V17/U17-1,"")</f>
        <v>-0.53634655325882652</v>
      </c>
      <c r="AU7" s="94">
        <f>IFERROR(W17/V17-1,"")</f>
        <v>-2.4667235494880524</v>
      </c>
      <c r="AV7" s="94">
        <f>IFERROR(X17/W17-1,"")</f>
        <v>2.4424083769633493</v>
      </c>
      <c r="AW7" s="85"/>
      <c r="AY7" s="85"/>
      <c r="AZ7" s="95"/>
      <c r="BA7" s="95"/>
      <c r="BB7" s="95"/>
      <c r="BC7" s="95"/>
      <c r="BD7" s="95"/>
      <c r="BE7" s="95"/>
      <c r="BF7" s="95"/>
      <c r="BG7" s="95"/>
      <c r="BH7" s="95"/>
      <c r="BI7" s="95"/>
      <c r="BJ7" s="95"/>
      <c r="BK7" s="95"/>
    </row>
    <row r="8" spans="2:63" ht="15" customHeight="1">
      <c r="B8" s="76" t="s">
        <v>190</v>
      </c>
      <c r="C8" s="77">
        <f>'Raw IS'!B8</f>
        <v>0</v>
      </c>
      <c r="D8" s="77">
        <f>'Raw IS'!C8</f>
        <v>0</v>
      </c>
      <c r="E8" s="77">
        <f>'Raw IS'!D8</f>
        <v>0</v>
      </c>
      <c r="F8" s="77">
        <f>'Raw IS'!E8</f>
        <v>0</v>
      </c>
      <c r="G8" s="77">
        <f>'Raw IS'!F8</f>
        <v>0</v>
      </c>
      <c r="H8" s="77">
        <f>'Raw IS'!G8</f>
        <v>0</v>
      </c>
      <c r="I8" s="77">
        <f>'Raw IS'!H8</f>
        <v>0</v>
      </c>
      <c r="J8" s="77">
        <f>'Raw IS'!I8</f>
        <v>0</v>
      </c>
      <c r="K8" s="77">
        <f>'Raw IS'!J8</f>
        <v>0</v>
      </c>
      <c r="L8" s="77">
        <f>'Raw IS'!K8</f>
        <v>0</v>
      </c>
      <c r="N8" s="85" t="s">
        <v>379</v>
      </c>
      <c r="O8" s="91">
        <f>C16</f>
        <v>310.89999999999998</v>
      </c>
      <c r="P8" s="91">
        <f>D16</f>
        <v>387.59</v>
      </c>
      <c r="Q8" s="91">
        <f>E16</f>
        <v>580.37</v>
      </c>
      <c r="R8" s="91">
        <f>F16</f>
        <v>494.09</v>
      </c>
      <c r="S8" s="91">
        <f>G16</f>
        <v>457.67</v>
      </c>
      <c r="T8" s="91">
        <f>H16</f>
        <v>450.72</v>
      </c>
      <c r="U8" s="91">
        <f>I16</f>
        <v>481.24</v>
      </c>
      <c r="V8" s="91">
        <f>J16</f>
        <v>558.33000000000004</v>
      </c>
      <c r="W8" s="91">
        <f>K16</f>
        <v>580.23</v>
      </c>
      <c r="X8" s="91">
        <f>L16</f>
        <v>600.5</v>
      </c>
      <c r="Y8" s="85"/>
      <c r="Z8" s="96" t="s">
        <v>380</v>
      </c>
      <c r="AA8" s="97">
        <f>AA6-AA7</f>
        <v>-84.919999999999931</v>
      </c>
      <c r="AB8" s="97">
        <f>AB6-AB7</f>
        <v>-182.39999999999998</v>
      </c>
      <c r="AC8" s="97">
        <f>AC6-AC7</f>
        <v>-150.86000000000001</v>
      </c>
      <c r="AD8" s="97">
        <f>AD6-AD7</f>
        <v>-132.48999999999995</v>
      </c>
      <c r="AE8" s="97">
        <f>AE6-AE7</f>
        <v>6.7499999999999005</v>
      </c>
      <c r="AF8" s="97">
        <f>AF6-AF7</f>
        <v>-18.380000000000152</v>
      </c>
      <c r="AG8" s="97">
        <f>AG6-AG7</f>
        <v>-159.00000000000017</v>
      </c>
      <c r="AH8" s="97">
        <f>AH6-AH7</f>
        <v>-36.280000000000115</v>
      </c>
      <c r="AI8" s="97">
        <f>AI6-AI7</f>
        <v>140.29999999999967</v>
      </c>
      <c r="AJ8" s="97">
        <f>AJ6-AJ7</f>
        <v>279.6099999999999</v>
      </c>
      <c r="AK8" s="91"/>
      <c r="AL8" s="8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85"/>
      <c r="AY8" s="4" t="s">
        <v>381</v>
      </c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</row>
    <row r="9" spans="2:63" ht="15" customHeight="1">
      <c r="B9" s="76" t="s">
        <v>191</v>
      </c>
      <c r="C9" s="78">
        <f>'Raw IS'!B9</f>
        <v>262.42</v>
      </c>
      <c r="D9" s="78">
        <f>'Raw IS'!C9</f>
        <v>387.57</v>
      </c>
      <c r="E9" s="78">
        <f>'Raw IS'!D9</f>
        <v>476.92</v>
      </c>
      <c r="F9" s="78">
        <f>'Raw IS'!E9</f>
        <v>421.88</v>
      </c>
      <c r="G9" s="78">
        <f>'Raw IS'!F9</f>
        <v>466.99</v>
      </c>
      <c r="H9" s="78">
        <f>'Raw IS'!G9</f>
        <v>456.01</v>
      </c>
      <c r="I9" s="78">
        <f>'Raw IS'!H9</f>
        <v>532.20000000000005</v>
      </c>
      <c r="J9" s="78">
        <f>'Raw IS'!I9</f>
        <v>762.83</v>
      </c>
      <c r="K9" s="78">
        <f>'Raw IS'!J9</f>
        <v>888.24</v>
      </c>
      <c r="L9" s="78">
        <f>'Raw IS'!K9</f>
        <v>768.83</v>
      </c>
      <c r="N9" s="96" t="s">
        <v>382</v>
      </c>
      <c r="O9" s="97">
        <f>O5-SUM(O6:O8)</f>
        <v>-35.899999999999977</v>
      </c>
      <c r="P9" s="97">
        <f>P5-SUM(P6:P8)</f>
        <v>-71.009999999999991</v>
      </c>
      <c r="Q9" s="97">
        <f>Q5-SUM(Q6:Q8)</f>
        <v>14.920000000000073</v>
      </c>
      <c r="R9" s="97">
        <f>R5-SUM(R6:R8)</f>
        <v>40.490000000000009</v>
      </c>
      <c r="S9" s="97">
        <f>S5-SUM(S6:S8)</f>
        <v>141.29999999999995</v>
      </c>
      <c r="T9" s="97">
        <f>T5-SUM(T6:T8)</f>
        <v>120.29999999999995</v>
      </c>
      <c r="U9" s="97">
        <f>U5-SUM(U6:U8)</f>
        <v>-7.040000000000191</v>
      </c>
      <c r="V9" s="97">
        <f>V5-SUM(V6:V8)</f>
        <v>118.4699999999998</v>
      </c>
      <c r="W9" s="97">
        <f>W5-SUM(W6:W8)</f>
        <v>300.18000000000006</v>
      </c>
      <c r="X9" s="97">
        <f>X5-SUM(X6:X8)</f>
        <v>467.78999999999996</v>
      </c>
      <c r="Y9" s="85"/>
      <c r="Z9" s="85" t="s">
        <v>383</v>
      </c>
      <c r="AA9" s="91">
        <f>O16</f>
        <v>-11.85</v>
      </c>
      <c r="AB9" s="91">
        <f>P16</f>
        <v>3.34</v>
      </c>
      <c r="AC9" s="91">
        <f>Q16</f>
        <v>-34.35</v>
      </c>
      <c r="AD9" s="91">
        <f>R16</f>
        <v>11.97</v>
      </c>
      <c r="AE9" s="91">
        <f>S16</f>
        <v>17.149999999999999</v>
      </c>
      <c r="AF9" s="91">
        <f>T16</f>
        <v>-11.09</v>
      </c>
      <c r="AG9" s="91">
        <f>U16</f>
        <v>25.86</v>
      </c>
      <c r="AH9" s="91">
        <f>V16</f>
        <v>8.8000000000000007</v>
      </c>
      <c r="AI9" s="91">
        <f>W16</f>
        <v>17.07</v>
      </c>
      <c r="AJ9" s="91">
        <f>X16</f>
        <v>39.54</v>
      </c>
      <c r="AK9" s="98"/>
      <c r="AL9" s="4" t="s">
        <v>384</v>
      </c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Y9" s="85" t="s">
        <v>292</v>
      </c>
      <c r="AZ9" s="91">
        <f>C65</f>
        <v>281.70999999999998</v>
      </c>
      <c r="BA9" s="91">
        <f>D65</f>
        <v>272.86</v>
      </c>
      <c r="BB9" s="91">
        <f>E65</f>
        <v>338.66</v>
      </c>
      <c r="BC9" s="91">
        <f>F65</f>
        <v>396.54</v>
      </c>
      <c r="BD9" s="91">
        <f>G65</f>
        <v>538.34</v>
      </c>
      <c r="BE9" s="91">
        <f>H65</f>
        <v>600.22</v>
      </c>
      <c r="BF9" s="91">
        <f>I65</f>
        <v>625.23</v>
      </c>
      <c r="BG9" s="91">
        <f>J65</f>
        <v>736.26</v>
      </c>
      <c r="BH9" s="91">
        <f>K65</f>
        <v>988.74</v>
      </c>
      <c r="BI9" s="91">
        <f>L65</f>
        <v>974.97</v>
      </c>
      <c r="BJ9" s="95"/>
      <c r="BK9" s="95"/>
    </row>
    <row r="10" spans="2:63">
      <c r="B10" s="76" t="s">
        <v>192</v>
      </c>
      <c r="C10" s="76">
        <f>'Raw IS'!B10</f>
        <v>0</v>
      </c>
      <c r="D10" s="76">
        <f>'Raw IS'!C10</f>
        <v>0</v>
      </c>
      <c r="E10" s="76">
        <f>'Raw IS'!D10</f>
        <v>0</v>
      </c>
      <c r="F10" s="76">
        <f>'Raw IS'!E10</f>
        <v>0</v>
      </c>
      <c r="G10" s="76">
        <f>'Raw IS'!F10</f>
        <v>0</v>
      </c>
      <c r="H10" s="76">
        <f>'Raw IS'!G10</f>
        <v>0</v>
      </c>
      <c r="I10" s="76">
        <f>'Raw IS'!H10</f>
        <v>0</v>
      </c>
      <c r="J10" s="76">
        <f>'Raw IS'!I10</f>
        <v>0</v>
      </c>
      <c r="K10" s="76">
        <f>'Raw IS'!J10</f>
        <v>0</v>
      </c>
      <c r="L10" s="76">
        <f>'Raw IS'!K10</f>
        <v>0</v>
      </c>
      <c r="N10" s="85" t="s">
        <v>377</v>
      </c>
      <c r="O10" s="91">
        <f>C15</f>
        <v>43.52</v>
      </c>
      <c r="P10" s="91">
        <f>D15</f>
        <v>50.51</v>
      </c>
      <c r="Q10" s="91">
        <f>E15</f>
        <v>67.37</v>
      </c>
      <c r="R10" s="91">
        <f>F15</f>
        <v>81.67</v>
      </c>
      <c r="S10" s="91">
        <f>G15</f>
        <v>84.36</v>
      </c>
      <c r="T10" s="91">
        <f>H15</f>
        <v>91.17</v>
      </c>
      <c r="U10" s="91">
        <f>I15</f>
        <v>113.44</v>
      </c>
      <c r="V10" s="91">
        <f>J15</f>
        <v>123.16</v>
      </c>
      <c r="W10" s="91">
        <f>K15</f>
        <v>124.56</v>
      </c>
      <c r="X10" s="91">
        <f>L15</f>
        <v>125.12</v>
      </c>
      <c r="Y10" s="85"/>
      <c r="Z10" s="96" t="s">
        <v>385</v>
      </c>
      <c r="AA10" s="97">
        <f>AA8-AA9</f>
        <v>-73.069999999999936</v>
      </c>
      <c r="AB10" s="97">
        <f>AB8-AB9</f>
        <v>-185.73999999999998</v>
      </c>
      <c r="AC10" s="97">
        <f>AC8-AC9</f>
        <v>-116.51000000000002</v>
      </c>
      <c r="AD10" s="97">
        <f>AD8-AD9</f>
        <v>-144.45999999999995</v>
      </c>
      <c r="AE10" s="97">
        <f>AE8-AE9</f>
        <v>-10.400000000000098</v>
      </c>
      <c r="AF10" s="97">
        <f>AF8-AF9</f>
        <v>-7.2900000000001519</v>
      </c>
      <c r="AG10" s="97">
        <f>AG8-AG9</f>
        <v>-184.86000000000018</v>
      </c>
      <c r="AH10" s="97">
        <f>AH8-AH9</f>
        <v>-45.080000000000112</v>
      </c>
      <c r="AI10" s="97">
        <f>AI8-AI9</f>
        <v>123.22999999999968</v>
      </c>
      <c r="AJ10" s="97">
        <f>AJ8-AJ9</f>
        <v>240.06999999999991</v>
      </c>
      <c r="AK10" s="91"/>
      <c r="AL10" s="93" t="s">
        <v>386</v>
      </c>
      <c r="AM10" s="94">
        <f>IFERROR((O3-O6)/O3,0)</f>
        <v>0.62854194436083755</v>
      </c>
      <c r="AN10" s="94">
        <f>IFERROR((P3-P6)/P3,0)</f>
        <v>0.56020820289961826</v>
      </c>
      <c r="AO10" s="94">
        <f>IFERROR((Q3-Q6)/Q3,0)</f>
        <v>0.62319393246048893</v>
      </c>
      <c r="AP10" s="94">
        <f>IFERROR((R3-R6)/R3,0)</f>
        <v>0.64921945076152243</v>
      </c>
      <c r="AQ10" s="94">
        <f>IFERROR((S3-S6)/S3,0)</f>
        <v>0.69283643959389218</v>
      </c>
      <c r="AR10" s="94">
        <f>IFERROR((T3-T6)/T3,0)</f>
        <v>0.6725309687123473</v>
      </c>
      <c r="AS10" s="94">
        <f>IFERROR((U3-U6)/U3,0)</f>
        <v>0.58978272847761015</v>
      </c>
      <c r="AT10" s="94">
        <f>IFERROR((V3-V6)/V3,0)</f>
        <v>0.58730834514399666</v>
      </c>
      <c r="AU10" s="94">
        <f>IFERROR((W3-W6)/W3,0)</f>
        <v>0.59086581050417575</v>
      </c>
      <c r="AV10" s="94">
        <f>IFERROR((X3-X6)/X3,0)</f>
        <v>0.63667370620160313</v>
      </c>
      <c r="AW10" s="85"/>
      <c r="AY10" s="85" t="s">
        <v>387</v>
      </c>
      <c r="AZ10" s="91">
        <f>C69</f>
        <v>315.32</v>
      </c>
      <c r="BA10" s="91">
        <f>D69</f>
        <v>276.92</v>
      </c>
      <c r="BB10" s="91">
        <f>E69</f>
        <v>436.05</v>
      </c>
      <c r="BC10" s="91">
        <f>F69</f>
        <v>390.14</v>
      </c>
      <c r="BD10" s="91">
        <f>G69</f>
        <v>250.27</v>
      </c>
      <c r="BE10" s="91">
        <f>H69</f>
        <v>495.43</v>
      </c>
      <c r="BF10" s="91">
        <f>I69</f>
        <v>588.62</v>
      </c>
      <c r="BG10" s="91">
        <f>J69</f>
        <v>642.30999999999995</v>
      </c>
      <c r="BH10" s="91">
        <f>K69</f>
        <v>778.81</v>
      </c>
      <c r="BI10" s="91">
        <f>L69</f>
        <v>828.58</v>
      </c>
      <c r="BJ10" s="95"/>
      <c r="BK10" s="95"/>
    </row>
    <row r="11" spans="2:63" ht="15" customHeight="1">
      <c r="B11" s="76" t="s">
        <v>193</v>
      </c>
      <c r="C11" s="76">
        <f>'Raw IS'!B11</f>
        <v>0</v>
      </c>
      <c r="D11" s="76">
        <f>'Raw IS'!C11</f>
        <v>0.16</v>
      </c>
      <c r="E11" s="76">
        <f>'Raw IS'!D11</f>
        <v>0.21</v>
      </c>
      <c r="F11" s="76">
        <f>'Raw IS'!E11</f>
        <v>1.04</v>
      </c>
      <c r="G11" s="76">
        <f>'Raw IS'!F11</f>
        <v>0.54</v>
      </c>
      <c r="H11" s="76">
        <f>'Raw IS'!G11</f>
        <v>1.35</v>
      </c>
      <c r="I11" s="76">
        <f>'Raw IS'!H11</f>
        <v>1.53</v>
      </c>
      <c r="J11" s="76">
        <f>'Raw IS'!I11</f>
        <v>80.83</v>
      </c>
      <c r="K11" s="76">
        <f>'Raw IS'!J11</f>
        <v>175.78</v>
      </c>
      <c r="L11" s="76">
        <f>'Raw IS'!K11</f>
        <v>231.51</v>
      </c>
      <c r="N11" s="96" t="s">
        <v>388</v>
      </c>
      <c r="O11" s="97">
        <f>O9-O10</f>
        <v>-79.419999999999987</v>
      </c>
      <c r="P11" s="97">
        <f>P9-P10</f>
        <v>-121.51999999999998</v>
      </c>
      <c r="Q11" s="97">
        <f>Q9-Q10</f>
        <v>-52.449999999999932</v>
      </c>
      <c r="R11" s="97">
        <f>R9-R10</f>
        <v>-41.179999999999993</v>
      </c>
      <c r="S11" s="97">
        <f>S9-S10</f>
        <v>56.939999999999955</v>
      </c>
      <c r="T11" s="97">
        <f>T9-T10</f>
        <v>29.129999999999953</v>
      </c>
      <c r="U11" s="97">
        <f>U9-U10</f>
        <v>-120.48000000000019</v>
      </c>
      <c r="V11" s="97">
        <f>V9-V10</f>
        <v>-4.6900000000001967</v>
      </c>
      <c r="W11" s="97">
        <f>W9-W10</f>
        <v>175.62000000000006</v>
      </c>
      <c r="X11" s="97">
        <f>X9-X10</f>
        <v>342.66999999999996</v>
      </c>
      <c r="Y11" s="85"/>
      <c r="Z11" s="85" t="s">
        <v>389</v>
      </c>
      <c r="AA11" s="91">
        <f>O4</f>
        <v>5.5</v>
      </c>
      <c r="AB11" s="91">
        <f>P4</f>
        <v>60.88</v>
      </c>
      <c r="AC11" s="91">
        <f>Q4</f>
        <v>98.41</v>
      </c>
      <c r="AD11" s="91">
        <f>R4</f>
        <v>91.31</v>
      </c>
      <c r="AE11" s="91">
        <f>S4</f>
        <v>50.19</v>
      </c>
      <c r="AF11" s="91">
        <f>T4</f>
        <v>47.51</v>
      </c>
      <c r="AG11" s="91">
        <f>U4</f>
        <v>38.520000000000003</v>
      </c>
      <c r="AH11" s="91">
        <f>V4</f>
        <v>31.59</v>
      </c>
      <c r="AI11" s="91">
        <f>W4</f>
        <v>35.32</v>
      </c>
      <c r="AJ11" s="91">
        <f>X4</f>
        <v>63.06</v>
      </c>
      <c r="AK11" s="91"/>
      <c r="AL11" s="93" t="s">
        <v>390</v>
      </c>
      <c r="AM11" s="94">
        <f>IFERROR(AA6/AA3,0)</f>
        <v>-5.933697381433535E-2</v>
      </c>
      <c r="AN11" s="94">
        <f>IFERROR(AB6/AB3,0)</f>
        <v>-0.1619096723505076</v>
      </c>
      <c r="AO11" s="94">
        <f>IFERROR(AC6/AC3,0)</f>
        <v>-7.0751239354264667E-2</v>
      </c>
      <c r="AP11" s="94">
        <f>IFERROR(AD6/AD3,0)</f>
        <v>-4.6044703771824062E-2</v>
      </c>
      <c r="AQ11" s="94">
        <f>IFERROR(AE6/AE3,0)</f>
        <v>7.3764917337305808E-2</v>
      </c>
      <c r="AR11" s="94">
        <f>IFERROR(AF6/AF3,0)</f>
        <v>5.7322633738374311E-2</v>
      </c>
      <c r="AS11" s="94">
        <f>IFERROR(AG6/AG3,0)</f>
        <v>-3.3923545442361376E-2</v>
      </c>
      <c r="AT11" s="94">
        <f>IFERROR(AH6/AH3,0)</f>
        <v>4.8669269680859939E-2</v>
      </c>
      <c r="AU11" s="94">
        <f>IFERROR(AI6/AI3,0)</f>
        <v>0.12546838657110224</v>
      </c>
      <c r="AV11" s="94">
        <f>IFERROR(AJ6/AJ3,0)</f>
        <v>0.1838136112814224</v>
      </c>
      <c r="AW11" s="85"/>
      <c r="AY11" s="85" t="s">
        <v>391</v>
      </c>
      <c r="AZ11" s="91">
        <f>C72</f>
        <v>0.09</v>
      </c>
      <c r="BA11" s="91">
        <f>D72</f>
        <v>0.05</v>
      </c>
      <c r="BB11" s="91">
        <f>E72</f>
        <v>0.06</v>
      </c>
      <c r="BC11" s="91">
        <f>F72</f>
        <v>0.04</v>
      </c>
      <c r="BD11" s="91">
        <f>G72</f>
        <v>0.04</v>
      </c>
      <c r="BE11" s="91">
        <f>H72</f>
        <v>0.05</v>
      </c>
      <c r="BF11" s="91">
        <f>I72</f>
        <v>0.06</v>
      </c>
      <c r="BG11" s="91">
        <f>J72</f>
        <v>0.04</v>
      </c>
      <c r="BH11" s="91">
        <f>K72</f>
        <v>0.06</v>
      </c>
      <c r="BI11" s="91">
        <f>L72</f>
        <v>0.06</v>
      </c>
      <c r="BJ11" s="95"/>
      <c r="BK11" s="95"/>
    </row>
    <row r="12" spans="2:63">
      <c r="B12" s="76" t="s">
        <v>194</v>
      </c>
      <c r="C12" s="76">
        <f>'Raw IS'!B12</f>
        <v>-3.25</v>
      </c>
      <c r="D12" s="76">
        <f>'Raw IS'!C12</f>
        <v>-29.48</v>
      </c>
      <c r="E12" s="76">
        <f>'Raw IS'!D12</f>
        <v>-32.479999999999997</v>
      </c>
      <c r="F12" s="76">
        <f>'Raw IS'!E12</f>
        <v>-35.76</v>
      </c>
      <c r="G12" s="76">
        <f>'Raw IS'!F12</f>
        <v>-88.14</v>
      </c>
      <c r="H12" s="76">
        <f>'Raw IS'!G12</f>
        <v>-41.53</v>
      </c>
      <c r="I12" s="76">
        <f>'Raw IS'!H12</f>
        <v>17.2</v>
      </c>
      <c r="J12" s="76">
        <f>'Raw IS'!I12</f>
        <v>-106.96</v>
      </c>
      <c r="K12" s="76">
        <f>'Raw IS'!J12</f>
        <v>-200.35</v>
      </c>
      <c r="L12" s="76">
        <f>'Raw IS'!K12</f>
        <v>-200.35</v>
      </c>
      <c r="N12" s="85" t="s">
        <v>392</v>
      </c>
      <c r="O12" s="91">
        <f>C14</f>
        <v>3.36</v>
      </c>
      <c r="P12" s="91">
        <f>D14</f>
        <v>8.01</v>
      </c>
      <c r="Q12" s="91">
        <f>E14</f>
        <v>7.52</v>
      </c>
      <c r="R12" s="91">
        <f>F14</f>
        <v>7.85</v>
      </c>
      <c r="S12" s="91">
        <f>G14</f>
        <v>5.12</v>
      </c>
      <c r="T12" s="91">
        <f>H14</f>
        <v>6.11</v>
      </c>
      <c r="U12" s="91">
        <f>I14</f>
        <v>17.309999999999999</v>
      </c>
      <c r="V12" s="91">
        <f>J14</f>
        <v>22.66</v>
      </c>
      <c r="W12" s="91">
        <f>K14</f>
        <v>21.03</v>
      </c>
      <c r="X12" s="91">
        <f>L14</f>
        <v>31.59</v>
      </c>
      <c r="Y12" s="85"/>
      <c r="Z12" s="85" t="s">
        <v>393</v>
      </c>
      <c r="AA12" s="91">
        <f>O13</f>
        <v>0.19</v>
      </c>
      <c r="AB12" s="91">
        <f>P13</f>
        <v>-0.22</v>
      </c>
      <c r="AC12" s="91">
        <f>Q13</f>
        <v>7.0000000000000007E-2</v>
      </c>
      <c r="AD12" s="91">
        <f>R13</f>
        <v>0.81</v>
      </c>
      <c r="AE12" s="91">
        <f>S13</f>
        <v>-0.34</v>
      </c>
      <c r="AF12" s="91">
        <f>T13</f>
        <v>-1.06</v>
      </c>
      <c r="AG12" s="91">
        <f>U13</f>
        <v>0</v>
      </c>
      <c r="AH12" s="91">
        <f>V13</f>
        <v>0</v>
      </c>
      <c r="AI12" s="91">
        <f>W13</f>
        <v>0</v>
      </c>
      <c r="AJ12" s="91">
        <f>X13</f>
        <v>0</v>
      </c>
      <c r="AK12" s="91"/>
      <c r="AL12" s="93" t="s">
        <v>394</v>
      </c>
      <c r="AM12" s="94">
        <f>IFERROR(AA8/AA3,0)</f>
        <v>-0.12171245933124067</v>
      </c>
      <c r="AN12" s="94">
        <f>IFERROR(AB8/AB3,0)</f>
        <v>-0.22391632600449302</v>
      </c>
      <c r="AO12" s="94">
        <f>IFERROR(AC8/AC3,0)</f>
        <v>-0.12784204059150037</v>
      </c>
      <c r="AP12" s="94">
        <f>IFERROR(AD8/AD3,0)</f>
        <v>-0.12004059037247099</v>
      </c>
      <c r="AQ12" s="94">
        <f>IFERROR(AE8/AE3,0)</f>
        <v>5.464967534044643E-3</v>
      </c>
      <c r="AR12" s="94">
        <f>IFERROR(AF8/AF3,0)</f>
        <v>-1.4474378460108954E-2</v>
      </c>
      <c r="AS12" s="94">
        <f>IFERROR(AG8/AG3,0)</f>
        <v>-0.11838989739542238</v>
      </c>
      <c r="AT12" s="94">
        <f>IFERROR(AH8/AH3,0)</f>
        <v>-2.0323677532477057E-2</v>
      </c>
      <c r="AU12" s="94">
        <f>IFERROR(AI8/AI3,0)</f>
        <v>6.6462337219382411E-2</v>
      </c>
      <c r="AV12" s="94">
        <f>IFERROR(AJ8/AJ3,0)</f>
        <v>0.12698866861956987</v>
      </c>
      <c r="AW12" s="85"/>
      <c r="AY12" s="85" t="s">
        <v>395</v>
      </c>
      <c r="AZ12" s="91">
        <f>C76</f>
        <v>124.71</v>
      </c>
      <c r="BA12" s="91">
        <f>D76</f>
        <v>180.37</v>
      </c>
      <c r="BB12" s="91">
        <f>E76</f>
        <v>238.25</v>
      </c>
      <c r="BC12" s="91">
        <f>F76</f>
        <v>231.5</v>
      </c>
      <c r="BD12" s="91">
        <f>G76</f>
        <v>260.58999999999997</v>
      </c>
      <c r="BE12" s="91">
        <f>H76</f>
        <v>170.98</v>
      </c>
      <c r="BF12" s="91">
        <f>I76</f>
        <v>185.95</v>
      </c>
      <c r="BG12" s="91">
        <f>J76</f>
        <v>204.98</v>
      </c>
      <c r="BH12" s="91">
        <f>K76</f>
        <v>139.4</v>
      </c>
      <c r="BI12" s="91">
        <f>L76</f>
        <v>94.61</v>
      </c>
      <c r="BJ12" s="95"/>
      <c r="BK12" s="95"/>
    </row>
    <row r="13" spans="2:63" ht="15" customHeight="1">
      <c r="B13" s="76" t="s">
        <v>195</v>
      </c>
      <c r="C13" s="76">
        <f>'Raw IS'!B13</f>
        <v>169.04</v>
      </c>
      <c r="D13" s="76">
        <f>'Raw IS'!C13</f>
        <v>200.64</v>
      </c>
      <c r="E13" s="78">
        <f>'Raw IS'!D13</f>
        <v>238.52</v>
      </c>
      <c r="F13" s="78">
        <f>'Raw IS'!E13</f>
        <v>273.27999999999997</v>
      </c>
      <c r="G13" s="76">
        <f>'Raw IS'!F13</f>
        <v>306.97000000000003</v>
      </c>
      <c r="H13" s="76">
        <f>'Raw IS'!G13</f>
        <v>330.49</v>
      </c>
      <c r="I13" s="78">
        <f>'Raw IS'!H13</f>
        <v>356.41</v>
      </c>
      <c r="J13" s="78">
        <f>'Raw IS'!I13</f>
        <v>403.2</v>
      </c>
      <c r="K13" s="78">
        <f>'Raw IS'!J13</f>
        <v>402.21</v>
      </c>
      <c r="L13" s="78">
        <f>'Raw IS'!K13</f>
        <v>396.63</v>
      </c>
      <c r="N13" s="85" t="s">
        <v>393</v>
      </c>
      <c r="O13" s="91">
        <f>C18</f>
        <v>0.19</v>
      </c>
      <c r="P13" s="91">
        <f>D18</f>
        <v>-0.22</v>
      </c>
      <c r="Q13" s="91">
        <f>E18</f>
        <v>7.0000000000000007E-2</v>
      </c>
      <c r="R13" s="91">
        <f>F18</f>
        <v>0.81</v>
      </c>
      <c r="S13" s="91">
        <f>G18</f>
        <v>-0.34</v>
      </c>
      <c r="T13" s="91">
        <f>H18</f>
        <v>-1.06</v>
      </c>
      <c r="U13" s="91">
        <f>I18</f>
        <v>0</v>
      </c>
      <c r="V13" s="91">
        <f>J18</f>
        <v>0</v>
      </c>
      <c r="W13" s="91">
        <f>K18</f>
        <v>0</v>
      </c>
      <c r="X13" s="91">
        <f>L18</f>
        <v>0</v>
      </c>
      <c r="Y13" s="85"/>
      <c r="Z13" s="85" t="s">
        <v>396</v>
      </c>
      <c r="AA13" s="91">
        <f>O14</f>
        <v>0</v>
      </c>
      <c r="AB13" s="91">
        <f>P14</f>
        <v>0</v>
      </c>
      <c r="AC13" s="91">
        <f>Q14</f>
        <v>0</v>
      </c>
      <c r="AD13" s="91">
        <f>R14</f>
        <v>0</v>
      </c>
      <c r="AE13" s="91">
        <f>S14</f>
        <v>0</v>
      </c>
      <c r="AF13" s="91">
        <f>T14</f>
        <v>0</v>
      </c>
      <c r="AG13" s="91">
        <f>U14</f>
        <v>-38.57</v>
      </c>
      <c r="AH13" s="91">
        <f>V14</f>
        <v>-57.61</v>
      </c>
      <c r="AI13" s="91">
        <f>W14</f>
        <v>0</v>
      </c>
      <c r="AJ13" s="91">
        <f>X14</f>
        <v>201.86</v>
      </c>
      <c r="AK13" s="91"/>
      <c r="AL13" s="93" t="s">
        <v>397</v>
      </c>
      <c r="AM13" s="94">
        <f>IFERROR(O15/O3,0)</f>
        <v>-0.11837296297888805</v>
      </c>
      <c r="AN13" s="94">
        <f>IFERROR(P15/P3,0)</f>
        <v>-0.15928258387655136</v>
      </c>
      <c r="AO13" s="94">
        <f>IFERROR(Q15/Q3,0)</f>
        <v>-5.0760560993178196E-2</v>
      </c>
      <c r="AP13" s="94">
        <f>IFERROR(R15/R3,0)</f>
        <v>-4.3689012512344721E-2</v>
      </c>
      <c r="AQ13" s="94">
        <f>IFERROR(S15/S3,0)</f>
        <v>4.1679485726314386E-2</v>
      </c>
      <c r="AR13" s="94">
        <f>IFERROR(T15/T3,0)</f>
        <v>1.729365348117461E-2</v>
      </c>
      <c r="AS13" s="94">
        <f>IFERROR(U15/U3,0)</f>
        <v>-0.13131598933746347</v>
      </c>
      <c r="AT13" s="94">
        <f>IFERROR(V15/V3,0)</f>
        <v>-4.7593705710012375E-2</v>
      </c>
      <c r="AU13" s="94">
        <f>IFERROR(W15/W3,0)</f>
        <v>7.3231737068740949E-2</v>
      </c>
      <c r="AV13" s="94">
        <f>IFERROR(X15/X3,0)</f>
        <v>0.23295864840929223</v>
      </c>
      <c r="AW13" s="85"/>
      <c r="AY13" s="85" t="s">
        <v>398</v>
      </c>
      <c r="AZ13" s="91">
        <f>SUM(AZ9:AZ12)</f>
        <v>721.83</v>
      </c>
      <c r="BA13" s="91">
        <f>SUM(BA9:BA12)</f>
        <v>730.19999999999993</v>
      </c>
      <c r="BB13" s="91">
        <f>SUM(BB9:BB12)</f>
        <v>1013.02</v>
      </c>
      <c r="BC13" s="91">
        <f>SUM(BC9:BC12)</f>
        <v>1018.22</v>
      </c>
      <c r="BD13" s="91">
        <f>SUM(BD9:BD12)</f>
        <v>1049.24</v>
      </c>
      <c r="BE13" s="91">
        <f>SUM(BE9:BE12)</f>
        <v>1266.68</v>
      </c>
      <c r="BF13" s="91">
        <f>SUM(BF9:BF12)</f>
        <v>1399.86</v>
      </c>
      <c r="BG13" s="91">
        <f>SUM(BG9:BG12)</f>
        <v>1583.59</v>
      </c>
      <c r="BH13" s="91">
        <f>SUM(BH9:BH12)</f>
        <v>1907.01</v>
      </c>
      <c r="BI13" s="91">
        <f>SUM(BI9:BI12)</f>
        <v>1898.22</v>
      </c>
      <c r="BJ13" s="95">
        <f>AVERAGE(AZ13:BI13)</f>
        <v>1258.7869999999998</v>
      </c>
      <c r="BK13" s="95"/>
    </row>
    <row r="14" spans="2:63" ht="15" customHeight="1">
      <c r="B14" s="76" t="s">
        <v>196</v>
      </c>
      <c r="C14" s="76">
        <f>'Raw IS'!B14</f>
        <v>3.36</v>
      </c>
      <c r="D14" s="76">
        <f>'Raw IS'!C14</f>
        <v>8.01</v>
      </c>
      <c r="E14" s="76">
        <f>'Raw IS'!D14</f>
        <v>7.52</v>
      </c>
      <c r="F14" s="76">
        <f>'Raw IS'!E14</f>
        <v>7.85</v>
      </c>
      <c r="G14" s="76">
        <f>'Raw IS'!F14</f>
        <v>5.12</v>
      </c>
      <c r="H14" s="76">
        <f>'Raw IS'!G14</f>
        <v>6.11</v>
      </c>
      <c r="I14" s="76">
        <f>'Raw IS'!H14</f>
        <v>17.309999999999999</v>
      </c>
      <c r="J14" s="76">
        <f>'Raw IS'!I14</f>
        <v>22.66</v>
      </c>
      <c r="K14" s="76">
        <f>'Raw IS'!J14</f>
        <v>21.03</v>
      </c>
      <c r="L14" s="76">
        <f>'Raw IS'!K14</f>
        <v>31.59</v>
      </c>
      <c r="N14" s="85" t="s">
        <v>396</v>
      </c>
      <c r="O14" s="91">
        <f>SUM(C21,C23:C25)</f>
        <v>0</v>
      </c>
      <c r="P14" s="91">
        <f>SUM(D21,D23:D25)</f>
        <v>0</v>
      </c>
      <c r="Q14" s="91">
        <f>SUM(E21,E23:E25)</f>
        <v>0</v>
      </c>
      <c r="R14" s="91">
        <f>SUM(F21,F23:F25)</f>
        <v>0</v>
      </c>
      <c r="S14" s="91">
        <f>SUM(G21,G23:G25)</f>
        <v>0</v>
      </c>
      <c r="T14" s="91">
        <f>SUM(H21,H23:H25)</f>
        <v>0</v>
      </c>
      <c r="U14" s="91">
        <f>SUM(I21,I23:I25)</f>
        <v>-38.57</v>
      </c>
      <c r="V14" s="91">
        <f>SUM(J21,J23:J25)</f>
        <v>-57.61</v>
      </c>
      <c r="W14" s="91">
        <f>SUM(K21,K23:K25)</f>
        <v>0</v>
      </c>
      <c r="X14" s="91">
        <f>SUM(L21,L23:L25)</f>
        <v>201.86</v>
      </c>
      <c r="Y14" s="85"/>
      <c r="Z14" s="85" t="s">
        <v>399</v>
      </c>
      <c r="AA14" s="91">
        <f>O12</f>
        <v>3.36</v>
      </c>
      <c r="AB14" s="91">
        <f>P12</f>
        <v>8.01</v>
      </c>
      <c r="AC14" s="91">
        <f>Q12</f>
        <v>7.52</v>
      </c>
      <c r="AD14" s="91">
        <f>R12</f>
        <v>7.85</v>
      </c>
      <c r="AE14" s="91">
        <f>S12</f>
        <v>5.12</v>
      </c>
      <c r="AF14" s="91">
        <f>T12</f>
        <v>6.11</v>
      </c>
      <c r="AG14" s="91">
        <f>U12</f>
        <v>17.309999999999999</v>
      </c>
      <c r="AH14" s="91">
        <f>V12</f>
        <v>22.66</v>
      </c>
      <c r="AI14" s="91">
        <f>W12</f>
        <v>21.03</v>
      </c>
      <c r="AJ14" s="91">
        <f>X12</f>
        <v>31.59</v>
      </c>
      <c r="AK14" s="98"/>
      <c r="AL14" s="93" t="s">
        <v>400</v>
      </c>
      <c r="AM14" s="94">
        <f>IFERROR(O17/O3,0)</f>
        <v>-0.10138882916971233</v>
      </c>
      <c r="AN14" s="94">
        <f>IFERROR(P17/P3,0)</f>
        <v>-0.16338280607422134</v>
      </c>
      <c r="AO14" s="94">
        <f>IFERROR(Q17/Q3,0)</f>
        <v>-2.1651624931146925E-2</v>
      </c>
      <c r="AP14" s="94">
        <f>IFERROR(R17/R3,0)</f>
        <v>-5.4534252656947918E-2</v>
      </c>
      <c r="AQ14" s="94">
        <f>IFERROR(S17/S3,0)</f>
        <v>2.7794420065741496E-2</v>
      </c>
      <c r="AR14" s="94">
        <f>IFERROR(T17/T3,0)</f>
        <v>2.6027105990565631E-2</v>
      </c>
      <c r="AS14" s="94">
        <f>IFERROR(U17/U3,0)</f>
        <v>-0.15057110095158688</v>
      </c>
      <c r="AT14" s="94">
        <f>IFERROR(V17/V3,0)</f>
        <v>-5.2523373909731164E-2</v>
      </c>
      <c r="AU14" s="94">
        <f>IFERROR(W17/W3,0)</f>
        <v>6.5145407087736959E-2</v>
      </c>
      <c r="AV14" s="94">
        <f>IFERROR(X17/X3,0)</f>
        <v>0.21500102186797468</v>
      </c>
      <c r="AW14" s="85"/>
      <c r="AY14" s="85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</row>
    <row r="15" spans="2:63" ht="15" customHeight="1">
      <c r="B15" s="76" t="s">
        <v>197</v>
      </c>
      <c r="C15" s="76">
        <f>'Raw IS'!B15</f>
        <v>43.52</v>
      </c>
      <c r="D15" s="76">
        <f>'Raw IS'!C15</f>
        <v>50.51</v>
      </c>
      <c r="E15" s="76">
        <f>'Raw IS'!D15</f>
        <v>67.37</v>
      </c>
      <c r="F15" s="76">
        <f>'Raw IS'!E15</f>
        <v>81.67</v>
      </c>
      <c r="G15" s="76">
        <f>'Raw IS'!F15</f>
        <v>84.36</v>
      </c>
      <c r="H15" s="76">
        <f>'Raw IS'!G15</f>
        <v>91.17</v>
      </c>
      <c r="I15" s="76">
        <f>'Raw IS'!H15</f>
        <v>113.44</v>
      </c>
      <c r="J15" s="76">
        <f>'Raw IS'!I15</f>
        <v>123.16</v>
      </c>
      <c r="K15" s="76">
        <f>'Raw IS'!J15</f>
        <v>124.56</v>
      </c>
      <c r="L15" s="76">
        <f>'Raw IS'!K15</f>
        <v>125.12</v>
      </c>
      <c r="N15" s="96" t="s">
        <v>208</v>
      </c>
      <c r="O15" s="97">
        <f>O11-O12+O13+O14</f>
        <v>-82.589999999999989</v>
      </c>
      <c r="P15" s="97">
        <f>P11-P12+P13+P14</f>
        <v>-129.74999999999997</v>
      </c>
      <c r="Q15" s="97">
        <f>Q11-Q12+Q13+Q14</f>
        <v>-59.899999999999928</v>
      </c>
      <c r="R15" s="97">
        <f>R11-R12+R13+R14</f>
        <v>-48.219999999999992</v>
      </c>
      <c r="S15" s="97">
        <f>S11-S12+S13+S14</f>
        <v>51.479999999999954</v>
      </c>
      <c r="T15" s="97">
        <f>T11-T12+T13+T14</f>
        <v>21.959999999999955</v>
      </c>
      <c r="U15" s="97">
        <f>U11-U12+U13+U14</f>
        <v>-176.36000000000018</v>
      </c>
      <c r="V15" s="97">
        <f>V11-V12+V13+V14</f>
        <v>-84.960000000000193</v>
      </c>
      <c r="W15" s="97">
        <f>W11-W12+W13+W14</f>
        <v>154.59000000000006</v>
      </c>
      <c r="X15" s="97">
        <f>X11-X12+X13+X14</f>
        <v>512.94000000000005</v>
      </c>
      <c r="Y15" s="85"/>
      <c r="Z15" s="99" t="s">
        <v>401</v>
      </c>
      <c r="AA15" s="100">
        <f>AA10+SUM(AA11:AA13)-AA14</f>
        <v>-70.739999999999938</v>
      </c>
      <c r="AB15" s="100">
        <f>AB10+SUM(AB11:AB13)-AB14</f>
        <v>-133.08999999999997</v>
      </c>
      <c r="AC15" s="100">
        <f>AC10+SUM(AC11:AC13)-AC14</f>
        <v>-25.550000000000029</v>
      </c>
      <c r="AD15" s="100">
        <f>AD10+SUM(AD11:AD13)-AD14</f>
        <v>-60.189999999999948</v>
      </c>
      <c r="AE15" s="100">
        <f>AE10+SUM(AE11:AE13)-AE14</f>
        <v>34.329999999999899</v>
      </c>
      <c r="AF15" s="100">
        <f>AF10+SUM(AF11:AF13)-AF14</f>
        <v>33.049999999999841</v>
      </c>
      <c r="AG15" s="100">
        <f>AG10+SUM(AG11:AG13)-AG14</f>
        <v>-202.2200000000002</v>
      </c>
      <c r="AH15" s="100">
        <f>AH10+SUM(AH11:AH13)-AH14</f>
        <v>-93.760000000000105</v>
      </c>
      <c r="AI15" s="100">
        <f>AI10+SUM(AI11:AI13)-AI14</f>
        <v>137.51999999999967</v>
      </c>
      <c r="AJ15" s="100">
        <f>AJ10+SUM(AJ11:AJ13)-AJ14</f>
        <v>473.39999999999992</v>
      </c>
      <c r="AK15" s="98"/>
      <c r="AL15" s="8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85"/>
      <c r="AY15" s="4" t="s">
        <v>402</v>
      </c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</row>
    <row r="16" spans="2:63" ht="15" customHeight="1">
      <c r="B16" s="76" t="s">
        <v>198</v>
      </c>
      <c r="C16" s="78">
        <f>'Raw IS'!B16</f>
        <v>310.89999999999998</v>
      </c>
      <c r="D16" s="78">
        <f>'Raw IS'!C16</f>
        <v>387.59</v>
      </c>
      <c r="E16" s="78">
        <f>'Raw IS'!D16</f>
        <v>580.37</v>
      </c>
      <c r="F16" s="78">
        <f>'Raw IS'!E16</f>
        <v>494.09</v>
      </c>
      <c r="G16" s="78">
        <f>'Raw IS'!F16</f>
        <v>457.67</v>
      </c>
      <c r="H16" s="78">
        <f>'Raw IS'!G16</f>
        <v>450.72</v>
      </c>
      <c r="I16" s="78">
        <f>'Raw IS'!H16</f>
        <v>481.24</v>
      </c>
      <c r="J16" s="78">
        <f>'Raw IS'!I16</f>
        <v>558.33000000000004</v>
      </c>
      <c r="K16" s="78">
        <f>'Raw IS'!J16</f>
        <v>580.23</v>
      </c>
      <c r="L16" s="78">
        <f>'Raw IS'!K16</f>
        <v>600.5</v>
      </c>
      <c r="N16" s="85" t="s">
        <v>403</v>
      </c>
      <c r="O16" s="91">
        <f>C27</f>
        <v>-11.85</v>
      </c>
      <c r="P16" s="91">
        <f>D27</f>
        <v>3.34</v>
      </c>
      <c r="Q16" s="91">
        <f>E27</f>
        <v>-34.35</v>
      </c>
      <c r="R16" s="91">
        <f>F27</f>
        <v>11.97</v>
      </c>
      <c r="S16" s="91">
        <f>G27</f>
        <v>17.149999999999999</v>
      </c>
      <c r="T16" s="91">
        <f>H27</f>
        <v>-11.09</v>
      </c>
      <c r="U16" s="91">
        <f>I27</f>
        <v>25.86</v>
      </c>
      <c r="V16" s="91">
        <f>J27</f>
        <v>8.8000000000000007</v>
      </c>
      <c r="W16" s="91">
        <f>K27</f>
        <v>17.07</v>
      </c>
      <c r="X16" s="91">
        <f>L27</f>
        <v>39.54</v>
      </c>
      <c r="Y16" s="85"/>
      <c r="Z16" s="101" t="s">
        <v>404</v>
      </c>
      <c r="AA16" s="102">
        <f>AA15-O17</f>
        <v>0</v>
      </c>
      <c r="AB16" s="102">
        <f>AB15-P17</f>
        <v>0</v>
      </c>
      <c r="AC16" s="102">
        <f>AC15-Q17</f>
        <v>-1.0302869668521453E-13</v>
      </c>
      <c r="AD16" s="102">
        <f>AD15-R17</f>
        <v>0</v>
      </c>
      <c r="AE16" s="102">
        <f>AE15-S17</f>
        <v>-5.6843418860808015E-14</v>
      </c>
      <c r="AF16" s="102">
        <f>AF15-T17</f>
        <v>-1.1368683772161603E-13</v>
      </c>
      <c r="AG16" s="102">
        <f>AG15-U17</f>
        <v>0</v>
      </c>
      <c r="AH16" s="102">
        <f>AH15-V17</f>
        <v>0</v>
      </c>
      <c r="AI16" s="102">
        <f>AI15-W17</f>
        <v>-3.979039320256561E-13</v>
      </c>
      <c r="AJ16" s="102">
        <f>AJ15-X17</f>
        <v>0</v>
      </c>
      <c r="AK16" s="85"/>
      <c r="AL16" s="4" t="s">
        <v>405</v>
      </c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Y16" s="85" t="s">
        <v>293</v>
      </c>
      <c r="AZ16" s="91">
        <f>C117</f>
        <v>210.73</v>
      </c>
      <c r="BA16" s="91">
        <f>D117</f>
        <v>226.23</v>
      </c>
      <c r="BB16" s="91">
        <f>E117</f>
        <v>221.41</v>
      </c>
      <c r="BC16" s="91">
        <f>F117</f>
        <v>250.22</v>
      </c>
      <c r="BD16" s="91">
        <f>G117</f>
        <v>210.08</v>
      </c>
      <c r="BE16" s="91">
        <f>H117</f>
        <v>183.19</v>
      </c>
      <c r="BF16" s="91">
        <f>I117</f>
        <v>290.69</v>
      </c>
      <c r="BG16" s="91">
        <f>J117</f>
        <v>351.26</v>
      </c>
      <c r="BH16" s="91">
        <f>K117</f>
        <v>386.94</v>
      </c>
      <c r="BI16" s="91">
        <f>L117</f>
        <v>356.63</v>
      </c>
      <c r="BJ16" s="95"/>
      <c r="BK16" s="95"/>
    </row>
    <row r="17" spans="2:63" ht="15" customHeight="1">
      <c r="B17" s="76" t="s">
        <v>199</v>
      </c>
      <c r="C17" s="78">
        <f>'Raw IS'!B17</f>
        <v>785.98</v>
      </c>
      <c r="D17" s="78">
        <f>'Raw IS'!C17</f>
        <v>1005</v>
      </c>
      <c r="E17" s="78">
        <f>'Raw IS'!D17</f>
        <v>1338.43</v>
      </c>
      <c r="F17" s="78">
        <f>'Raw IS'!E17</f>
        <v>1244.05</v>
      </c>
      <c r="G17" s="78">
        <f>'Raw IS'!F17</f>
        <v>1233.5</v>
      </c>
      <c r="H17" s="78">
        <f>'Raw IS'!G17</f>
        <v>1294.31</v>
      </c>
      <c r="I17" s="78">
        <f>'Raw IS'!H17</f>
        <v>1519.33</v>
      </c>
      <c r="J17" s="78">
        <f>'Raw IS'!I17</f>
        <v>1844.05</v>
      </c>
      <c r="K17" s="78">
        <f>'Raw IS'!J17</f>
        <v>1991.7</v>
      </c>
      <c r="L17" s="78">
        <f>'Raw IS'!K17</f>
        <v>2174.39</v>
      </c>
      <c r="N17" s="96" t="s">
        <v>401</v>
      </c>
      <c r="O17" s="97">
        <f>O15-O16</f>
        <v>-70.739999999999995</v>
      </c>
      <c r="P17" s="97">
        <f>P15-P16</f>
        <v>-133.08999999999997</v>
      </c>
      <c r="Q17" s="97">
        <f>Q15-Q16</f>
        <v>-25.549999999999926</v>
      </c>
      <c r="R17" s="97">
        <f>R15-R16</f>
        <v>-60.189999999999991</v>
      </c>
      <c r="S17" s="97">
        <f>S15-S16</f>
        <v>34.329999999999956</v>
      </c>
      <c r="T17" s="97">
        <f>T15-T16</f>
        <v>33.049999999999955</v>
      </c>
      <c r="U17" s="97">
        <f>U15-U16</f>
        <v>-202.2200000000002</v>
      </c>
      <c r="V17" s="97">
        <f>V15-V16</f>
        <v>-93.76000000000019</v>
      </c>
      <c r="W17" s="97">
        <f>W15-W16</f>
        <v>137.52000000000007</v>
      </c>
      <c r="X17" s="97">
        <f>X15-X16</f>
        <v>473.40000000000003</v>
      </c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93" t="s">
        <v>406</v>
      </c>
      <c r="AM17" s="94">
        <f>IFERROR(O6/O3,0)</f>
        <v>0.3714580556391624</v>
      </c>
      <c r="AN17" s="94">
        <f>IFERROR(P6/P3,0)</f>
        <v>0.43979179710038174</v>
      </c>
      <c r="AO17" s="94">
        <f>IFERROR(Q6/Q3,0)</f>
        <v>0.37680606753951101</v>
      </c>
      <c r="AP17" s="94">
        <f>IFERROR(R6/R3,0)</f>
        <v>0.35078054923847751</v>
      </c>
      <c r="AQ17" s="94">
        <f>IFERROR(S6/S3,0)</f>
        <v>0.30716356040610782</v>
      </c>
      <c r="AR17" s="94">
        <f>IFERROR(T6/T3,0)</f>
        <v>0.32746903128765276</v>
      </c>
      <c r="AS17" s="94">
        <f>IFERROR(U6/U3,0)</f>
        <v>0.4102172715223899</v>
      </c>
      <c r="AT17" s="94">
        <f>IFERROR(V6/V3,0)</f>
        <v>0.41269165485600334</v>
      </c>
      <c r="AU17" s="94">
        <f>IFERROR(W6/W3,0)</f>
        <v>0.4091341894958242</v>
      </c>
      <c r="AV17" s="94">
        <f>IFERROR(X6/X3,0)</f>
        <v>0.36332629379839682</v>
      </c>
      <c r="AW17" s="85"/>
      <c r="AY17" s="85" t="s">
        <v>407</v>
      </c>
      <c r="AZ17" s="91">
        <f>C122</f>
        <v>15.26</v>
      </c>
      <c r="BA17" s="91">
        <f>D122</f>
        <v>21.01</v>
      </c>
      <c r="BB17" s="91">
        <f>E122</f>
        <v>34.74</v>
      </c>
      <c r="BC17" s="91">
        <f>F122</f>
        <v>45.31</v>
      </c>
      <c r="BD17" s="91">
        <f>G122</f>
        <v>56.63</v>
      </c>
      <c r="BE17" s="91">
        <f>H122</f>
        <v>52.65</v>
      </c>
      <c r="BF17" s="91">
        <f>I122</f>
        <v>51.89</v>
      </c>
      <c r="BG17" s="91">
        <f>J122</f>
        <v>33.96</v>
      </c>
      <c r="BH17" s="91">
        <f>K122</f>
        <v>22.99</v>
      </c>
      <c r="BI17" s="91">
        <f>L122</f>
        <v>29.92</v>
      </c>
      <c r="BJ17" s="95"/>
      <c r="BK17" s="95"/>
    </row>
    <row r="18" spans="2:63" ht="15" customHeight="1">
      <c r="B18" s="76" t="s">
        <v>200</v>
      </c>
      <c r="C18" s="76">
        <f>'Raw IS'!B18</f>
        <v>0.19</v>
      </c>
      <c r="D18" s="76">
        <f>'Raw IS'!C18</f>
        <v>-0.22</v>
      </c>
      <c r="E18" s="76">
        <f>'Raw IS'!D18</f>
        <v>7.0000000000000007E-2</v>
      </c>
      <c r="F18" s="76">
        <f>'Raw IS'!E18</f>
        <v>0.81</v>
      </c>
      <c r="G18" s="76">
        <f>'Raw IS'!F18</f>
        <v>-0.34</v>
      </c>
      <c r="H18" s="76">
        <f>'Raw IS'!G18</f>
        <v>-1.06</v>
      </c>
      <c r="I18" s="76">
        <f>'Raw IS'!H18</f>
        <v>0</v>
      </c>
      <c r="J18" s="76">
        <f>'Raw IS'!I18</f>
        <v>0</v>
      </c>
      <c r="K18" s="76">
        <f>'Raw IS'!J18</f>
        <v>0</v>
      </c>
      <c r="L18" s="76">
        <f>'Raw IS'!K18</f>
        <v>0</v>
      </c>
      <c r="N18" s="103" t="s">
        <v>404</v>
      </c>
      <c r="O18" s="104">
        <f>O17-C36</f>
        <v>-1.9999999999996021E-2</v>
      </c>
      <c r="P18" s="104">
        <f>P17-D36</f>
        <v>1.0000000000019327E-2</v>
      </c>
      <c r="Q18" s="104">
        <f>Q17-E36</f>
        <v>1.0000000000072617E-2</v>
      </c>
      <c r="R18" s="104">
        <f>R17-F36</f>
        <v>-9.9999999999909051E-3</v>
      </c>
      <c r="S18" s="104">
        <f>S17-G36</f>
        <v>9.9999999999553779E-3</v>
      </c>
      <c r="T18" s="104">
        <f>T17-H36</f>
        <v>-1.0000000000047748E-2</v>
      </c>
      <c r="U18" s="104">
        <f>U17-I36</f>
        <v>9.9999999997919531E-3</v>
      </c>
      <c r="V18" s="104">
        <f>V17-J36</f>
        <v>-1.8474111129762605E-13</v>
      </c>
      <c r="W18" s="104">
        <f>W17-K36</f>
        <v>0</v>
      </c>
      <c r="X18" s="104">
        <f>X17-L36</f>
        <v>220.56000000000003</v>
      </c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93" t="s">
        <v>408</v>
      </c>
      <c r="AM18" s="94">
        <f>IFERROR(O7/O3,0)</f>
        <v>0.24227831047283252</v>
      </c>
      <c r="AN18" s="94">
        <f>IFERROR(P7/P3,0)</f>
        <v>0.24630795860494234</v>
      </c>
      <c r="AO18" s="94">
        <f>IFERROR(Q7/Q3,0)</f>
        <v>0.20212702851574088</v>
      </c>
      <c r="AP18" s="94">
        <f>IFERROR(R7/R3,0)</f>
        <v>0.24760127207328009</v>
      </c>
      <c r="AQ18" s="94">
        <f>IFERROR(S7/S3,0)</f>
        <v>0.24853053095195687</v>
      </c>
      <c r="AR18" s="94">
        <f>IFERROR(T7/T3,0)</f>
        <v>0.26026318483576544</v>
      </c>
      <c r="AS18" s="94">
        <f>IFERROR(U7/U3,0)</f>
        <v>0.26537951780316005</v>
      </c>
      <c r="AT18" s="94">
        <f>IFERROR(V7/V3,0)</f>
        <v>0.22586843387802433</v>
      </c>
      <c r="AU18" s="94">
        <f>IFERROR(W7/W3,0)</f>
        <v>0.19053326196014156</v>
      </c>
      <c r="AV18" s="94">
        <f>IFERROR(X7/X3,0)</f>
        <v>0.18013488657265481</v>
      </c>
      <c r="AW18" s="85"/>
      <c r="AY18" s="85" t="s">
        <v>409</v>
      </c>
      <c r="AZ18" s="91">
        <f>SUM(AZ16:AZ17)</f>
        <v>225.98999999999998</v>
      </c>
      <c r="BA18" s="91">
        <f>SUM(BA16:BA17)</f>
        <v>247.23999999999998</v>
      </c>
      <c r="BB18" s="91">
        <f>SUM(BB16:BB17)</f>
        <v>256.14999999999998</v>
      </c>
      <c r="BC18" s="91">
        <f>SUM(BC16:BC17)</f>
        <v>295.52999999999997</v>
      </c>
      <c r="BD18" s="91">
        <f>SUM(BD16:BD17)</f>
        <v>266.71000000000004</v>
      </c>
      <c r="BE18" s="91">
        <f>SUM(BE16:BE17)</f>
        <v>235.84</v>
      </c>
      <c r="BF18" s="91">
        <f>SUM(BF16:BF17)</f>
        <v>342.58</v>
      </c>
      <c r="BG18" s="91">
        <f>SUM(BG16:BG17)</f>
        <v>385.21999999999997</v>
      </c>
      <c r="BH18" s="91">
        <f>SUM(BH16:BH17)</f>
        <v>409.93</v>
      </c>
      <c r="BI18" s="91">
        <f>SUM(BI16:BI17)</f>
        <v>386.55</v>
      </c>
      <c r="BJ18" s="95">
        <f>AVERAGE(AZ18:BI18)</f>
        <v>305.17399999999998</v>
      </c>
      <c r="BK18" s="95"/>
    </row>
    <row r="19" spans="2:63" ht="15" customHeight="1">
      <c r="B19" s="76" t="s">
        <v>201</v>
      </c>
      <c r="C19" s="76">
        <f>'Raw IS'!B19</f>
        <v>0</v>
      </c>
      <c r="D19" s="76">
        <f>'Raw IS'!C19</f>
        <v>0</v>
      </c>
      <c r="E19" s="76">
        <f>'Raw IS'!D19</f>
        <v>0</v>
      </c>
      <c r="F19" s="76">
        <f>'Raw IS'!E19</f>
        <v>0</v>
      </c>
      <c r="G19" s="76">
        <f>'Raw IS'!F19</f>
        <v>0</v>
      </c>
      <c r="H19" s="76">
        <f>'Raw IS'!G19</f>
        <v>0</v>
      </c>
      <c r="I19" s="76">
        <f>'Raw IS'!H19</f>
        <v>0</v>
      </c>
      <c r="J19" s="76">
        <f>'Raw IS'!I19</f>
        <v>0</v>
      </c>
      <c r="K19" s="76">
        <f>'Raw IS'!J19</f>
        <v>0</v>
      </c>
      <c r="L19" s="76">
        <f>'Raw IS'!K19</f>
        <v>0</v>
      </c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93" t="s">
        <v>410</v>
      </c>
      <c r="AM19" s="94">
        <f>IFERROR(O8/O3,0)</f>
        <v>0.44560060770234045</v>
      </c>
      <c r="AN19" s="94">
        <f>IFERROR(P8/P3,0)</f>
        <v>0.47580991664518341</v>
      </c>
      <c r="AO19" s="94">
        <f>IFERROR(Q8/Q3,0)</f>
        <v>0.4918181432990128</v>
      </c>
      <c r="AP19" s="94">
        <f>IFERROR(R8/R3,0)</f>
        <v>0.44766288246006647</v>
      </c>
      <c r="AQ19" s="94">
        <f>IFERROR(S8/S3,0)</f>
        <v>0.37054099130462942</v>
      </c>
      <c r="AR19" s="94">
        <f>IFERROR(T8/T3,0)</f>
        <v>0.35494515013820754</v>
      </c>
      <c r="AS19" s="94">
        <f>IFERROR(U8/U3,0)</f>
        <v>0.35832675611681136</v>
      </c>
      <c r="AT19" s="94">
        <f>IFERROR(V8/V3,0)</f>
        <v>0.31277064158511242</v>
      </c>
      <c r="AU19" s="94">
        <f>IFERROR(W8/W3,0)</f>
        <v>0.2748641619729319</v>
      </c>
      <c r="AV19" s="94">
        <f>IFERROR(X8/X3,0)</f>
        <v>0.27272520834752595</v>
      </c>
      <c r="AW19" s="85"/>
      <c r="AY19" s="85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</row>
    <row r="20" spans="2:63" ht="15" customHeight="1">
      <c r="B20" s="76" t="s">
        <v>202</v>
      </c>
      <c r="C20" s="78">
        <f>'Raw IS'!B20</f>
        <v>-82.58</v>
      </c>
      <c r="D20" s="78">
        <f>'Raw IS'!C20</f>
        <v>-129.76</v>
      </c>
      <c r="E20" s="78">
        <f>'Raw IS'!D20</f>
        <v>-59.91</v>
      </c>
      <c r="F20" s="76">
        <f>'Raw IS'!E20</f>
        <v>-48.21</v>
      </c>
      <c r="G20" s="76">
        <f>'Raw IS'!F20</f>
        <v>51.48</v>
      </c>
      <c r="H20" s="76">
        <f>'Raw IS'!G20</f>
        <v>21.97</v>
      </c>
      <c r="I20" s="78">
        <f>'Raw IS'!H20</f>
        <v>-137.80000000000001</v>
      </c>
      <c r="J20" s="78">
        <f>'Raw IS'!I20</f>
        <v>-27.35</v>
      </c>
      <c r="K20" s="78">
        <f>'Raw IS'!J20</f>
        <v>154.59</v>
      </c>
      <c r="L20" s="78">
        <f>'Raw IS'!K20</f>
        <v>90.52</v>
      </c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93" t="s">
        <v>411</v>
      </c>
      <c r="AM20" s="94">
        <f>IFERROR(O10/O3,0)</f>
        <v>6.2375485516905305E-2</v>
      </c>
      <c r="AN20" s="94">
        <f>IFERROR(P10/P3,0)</f>
        <v>6.2006653653985437E-2</v>
      </c>
      <c r="AO20" s="94">
        <f>IFERROR(Q10/Q3,0)</f>
        <v>5.7090801237235714E-2</v>
      </c>
      <c r="AP20" s="94">
        <f>IFERROR(R10/R3,0)</f>
        <v>7.3995886600646904E-2</v>
      </c>
      <c r="AQ20" s="94">
        <f>IFERROR(S10/S3,0)</f>
        <v>6.8299949803261165E-2</v>
      </c>
      <c r="AR20" s="94">
        <f>IFERROR(T10/T3,0)</f>
        <v>7.1797012198483265E-2</v>
      </c>
      <c r="AS20" s="94">
        <f>IFERROR(U10/U3,0)</f>
        <v>8.4466351953061014E-2</v>
      </c>
      <c r="AT20" s="94">
        <f>IFERROR(V10/V3,0)</f>
        <v>6.8992947213337E-2</v>
      </c>
      <c r="AU20" s="94">
        <f>IFERROR(W10/W3,0)</f>
        <v>5.9006049351719832E-2</v>
      </c>
      <c r="AV20" s="94">
        <f>IFERROR(X10/X3,0)</f>
        <v>5.6824942661852534E-2</v>
      </c>
      <c r="AW20" s="85"/>
      <c r="AY20" s="85" t="s">
        <v>412</v>
      </c>
      <c r="AZ20" s="91">
        <f>AZ13-AZ18</f>
        <v>495.84000000000003</v>
      </c>
      <c r="BA20" s="91">
        <f>BA13-BA18</f>
        <v>482.95999999999992</v>
      </c>
      <c r="BB20" s="91">
        <f>BB13-BB18</f>
        <v>756.87</v>
      </c>
      <c r="BC20" s="91">
        <f>BC13-BC18</f>
        <v>722.69</v>
      </c>
      <c r="BD20" s="91">
        <f>BD13-BD18</f>
        <v>782.53</v>
      </c>
      <c r="BE20" s="91">
        <f>BE13-BE18</f>
        <v>1030.8400000000001</v>
      </c>
      <c r="BF20" s="91">
        <f>BF13-BF18</f>
        <v>1057.28</v>
      </c>
      <c r="BG20" s="91">
        <f>BG13-BG18</f>
        <v>1198.3699999999999</v>
      </c>
      <c r="BH20" s="91">
        <f>BH13-BH18</f>
        <v>1497.08</v>
      </c>
      <c r="BI20" s="91">
        <f>BI13-BI18</f>
        <v>1511.67</v>
      </c>
      <c r="BJ20" s="95">
        <f>AVERAGE(AZ20:BI20)</f>
        <v>953.61300000000006</v>
      </c>
      <c r="BK20" s="95"/>
    </row>
    <row r="21" spans="2:63" ht="15" customHeight="1">
      <c r="B21" s="76" t="s">
        <v>203</v>
      </c>
      <c r="C21" s="76">
        <f>'Raw IS'!B21</f>
        <v>0</v>
      </c>
      <c r="D21" s="76">
        <f>'Raw IS'!C21</f>
        <v>0</v>
      </c>
      <c r="E21" s="76">
        <f>'Raw IS'!D21</f>
        <v>0</v>
      </c>
      <c r="F21" s="76">
        <f>'Raw IS'!E21</f>
        <v>0</v>
      </c>
      <c r="G21" s="76">
        <f>'Raw IS'!F21</f>
        <v>0</v>
      </c>
      <c r="H21" s="76">
        <f>'Raw IS'!G21</f>
        <v>0</v>
      </c>
      <c r="I21" s="76">
        <f>'Raw IS'!H21</f>
        <v>-38.57</v>
      </c>
      <c r="J21" s="76">
        <f>'Raw IS'!I21</f>
        <v>-57.61</v>
      </c>
      <c r="K21" s="76">
        <f>'Raw IS'!J21</f>
        <v>0</v>
      </c>
      <c r="L21" s="76">
        <f>'Raw IS'!K21</f>
        <v>201.86</v>
      </c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93" t="s">
        <v>413</v>
      </c>
      <c r="AM21" s="94">
        <f>IFERROR(O12/O3,0)</f>
        <v>4.8157543965257768E-3</v>
      </c>
      <c r="AN21" s="94">
        <f>IFERROR(P12/P3,0)</f>
        <v>9.8331676057894155E-3</v>
      </c>
      <c r="AO21" s="94">
        <f>IFERROR(Q12/Q3,0)</f>
        <v>6.3726113300283885E-3</v>
      </c>
      <c r="AP21" s="94">
        <f>IFERROR(R12/R3,0)</f>
        <v>7.1123755334281643E-3</v>
      </c>
      <c r="AQ21" s="94">
        <f>IFERROR(S12/S3,0)</f>
        <v>4.1452790776754051E-3</v>
      </c>
      <c r="AR21" s="94">
        <f>IFERROR(T12/T3,0)</f>
        <v>4.8116677035508698E-3</v>
      </c>
      <c r="AS21" s="94">
        <f>IFERROR(U12/U3,0)</f>
        <v>1.2888862414558234E-2</v>
      </c>
      <c r="AT21" s="94">
        <f>IFERROR(V12/V3,0)</f>
        <v>1.2693895614275872E-2</v>
      </c>
      <c r="AU21" s="94">
        <f>IFERROR(W12/W3,0)</f>
        <v>9.9622448447869959E-3</v>
      </c>
      <c r="AV21" s="94">
        <f>IFERROR(X12/X3,0)</f>
        <v>1.4347026364193747E-2</v>
      </c>
      <c r="AW21" s="85"/>
      <c r="AY21" s="85" t="s">
        <v>414</v>
      </c>
      <c r="AZ21" s="91" t="str">
        <f>""</f>
        <v/>
      </c>
      <c r="BA21" s="91">
        <f>BA20-AZ20</f>
        <v>-12.880000000000109</v>
      </c>
      <c r="BB21" s="91">
        <f>BB20-BA20</f>
        <v>273.91000000000008</v>
      </c>
      <c r="BC21" s="91">
        <f>BC20-BB20</f>
        <v>-34.17999999999995</v>
      </c>
      <c r="BD21" s="91">
        <f>BD20-BC20</f>
        <v>59.839999999999918</v>
      </c>
      <c r="BE21" s="91">
        <f>BE20-BD20</f>
        <v>248.31000000000017</v>
      </c>
      <c r="BF21" s="91">
        <f>BF20-BE20</f>
        <v>26.439999999999827</v>
      </c>
      <c r="BG21" s="91">
        <f>BG20-BF20</f>
        <v>141.08999999999992</v>
      </c>
      <c r="BH21" s="91">
        <f>BH20-BG20</f>
        <v>298.71000000000004</v>
      </c>
      <c r="BI21" s="91">
        <f>BI20-BH20</f>
        <v>14.590000000000146</v>
      </c>
      <c r="BJ21" s="95">
        <f>AVERAGE(BA21:BI21)</f>
        <v>112.87</v>
      </c>
      <c r="BK21" s="95"/>
    </row>
    <row r="22" spans="2:63">
      <c r="B22" s="76" t="s">
        <v>204</v>
      </c>
      <c r="C22" s="78">
        <f>'Raw IS'!B22</f>
        <v>-82.58</v>
      </c>
      <c r="D22" s="78">
        <f>'Raw IS'!C22</f>
        <v>-129.76</v>
      </c>
      <c r="E22" s="78">
        <f>'Raw IS'!D22</f>
        <v>-59.91</v>
      </c>
      <c r="F22" s="76">
        <f>'Raw IS'!E22</f>
        <v>-48.21</v>
      </c>
      <c r="G22" s="76">
        <f>'Raw IS'!F22</f>
        <v>51.48</v>
      </c>
      <c r="H22" s="76">
        <f>'Raw IS'!G22</f>
        <v>21.97</v>
      </c>
      <c r="I22" s="78">
        <f>'Raw IS'!H22</f>
        <v>-176.36</v>
      </c>
      <c r="J22" s="78">
        <f>'Raw IS'!I22</f>
        <v>-84.96</v>
      </c>
      <c r="K22" s="78">
        <f>'Raw IS'!J22</f>
        <v>154.59</v>
      </c>
      <c r="L22" s="78">
        <f>'Raw IS'!K22</f>
        <v>292.38</v>
      </c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93" t="s">
        <v>415</v>
      </c>
      <c r="AM22" s="94">
        <f>IFERROR(O16/O3,0)</f>
        <v>-1.6984133809175732E-2</v>
      </c>
      <c r="AN22" s="94">
        <f>IFERROR(P16/P3,0)</f>
        <v>4.1002221976699929E-3</v>
      </c>
      <c r="AO22" s="94">
        <f>IFERROR(Q16/Q3,0)</f>
        <v>-2.9108936062031271E-2</v>
      </c>
      <c r="AP22" s="94">
        <f>IFERROR(R16/R3,0)</f>
        <v>1.0845240144603202E-2</v>
      </c>
      <c r="AQ22" s="94">
        <f>IFERROR(S16/S3,0)</f>
        <v>1.3885065660572888E-2</v>
      </c>
      <c r="AR22" s="94">
        <f>IFERROR(T16/T3,0)</f>
        <v>-8.7334525093910216E-3</v>
      </c>
      <c r="AS22" s="94">
        <f>IFERROR(U16/U3,0)</f>
        <v>1.9255111614123393E-2</v>
      </c>
      <c r="AT22" s="94">
        <f>IFERROR(V16/V3,0)</f>
        <v>4.9296681997187857E-3</v>
      </c>
      <c r="AU22" s="94">
        <f>IFERROR(W16/W3,0)</f>
        <v>8.0863299810039948E-3</v>
      </c>
      <c r="AV22" s="94">
        <f>IFERROR(X16/X3,0)</f>
        <v>1.795762654131753E-2</v>
      </c>
      <c r="AW22" s="85"/>
      <c r="AY22" s="85" t="s">
        <v>416</v>
      </c>
      <c r="AZ22" s="91" t="str">
        <f>""</f>
        <v/>
      </c>
      <c r="BA22" s="91">
        <f>BA6+BA21</f>
        <v>96.179999999999893</v>
      </c>
      <c r="BB22" s="91">
        <f>BB6+BB21</f>
        <v>400.85000000000008</v>
      </c>
      <c r="BC22" s="91">
        <f>BC6+BC21</f>
        <v>270.3</v>
      </c>
      <c r="BD22" s="91">
        <f>BD6+BD21</f>
        <v>263.28999999999991</v>
      </c>
      <c r="BE22" s="91">
        <f>BE6+BE21</f>
        <v>284.14000000000016</v>
      </c>
      <c r="BF22" s="91">
        <f>BF6+BF21</f>
        <v>-42.680000000000177</v>
      </c>
      <c r="BG22" s="91">
        <f>BG6+BG21</f>
        <v>40.479999999999919</v>
      </c>
      <c r="BH22" s="91">
        <f>BH6+BH21</f>
        <v>311.51000000000005</v>
      </c>
      <c r="BI22" s="91">
        <f>BI6+BI21</f>
        <v>12.510000000000147</v>
      </c>
      <c r="BJ22" s="95">
        <f>AVERAGE(BA22:BI22)</f>
        <v>181.84222222222223</v>
      </c>
      <c r="BK22" s="95"/>
    </row>
    <row r="23" spans="2:63" ht="15" customHeight="1">
      <c r="B23" s="76" t="s">
        <v>205</v>
      </c>
      <c r="C23" s="76">
        <f>'Raw IS'!B23</f>
        <v>0</v>
      </c>
      <c r="D23" s="76">
        <f>'Raw IS'!C23</f>
        <v>0</v>
      </c>
      <c r="E23" s="76">
        <f>'Raw IS'!D23</f>
        <v>0</v>
      </c>
      <c r="F23" s="76">
        <f>'Raw IS'!E23</f>
        <v>0</v>
      </c>
      <c r="G23" s="76">
        <f>'Raw IS'!F23</f>
        <v>0</v>
      </c>
      <c r="H23" s="76">
        <f>'Raw IS'!G23</f>
        <v>0</v>
      </c>
      <c r="I23" s="76">
        <f>'Raw IS'!H23</f>
        <v>0</v>
      </c>
      <c r="J23" s="76">
        <f>'Raw IS'!I23</f>
        <v>0</v>
      </c>
      <c r="K23" s="76">
        <f>'Raw IS'!J23</f>
        <v>0</v>
      </c>
      <c r="L23" s="76">
        <f>'Raw IS'!K23</f>
        <v>0</v>
      </c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85"/>
      <c r="AY23" s="85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</row>
    <row r="24" spans="2:63" ht="15" customHeight="1">
      <c r="B24" s="76" t="s">
        <v>206</v>
      </c>
      <c r="C24" s="76">
        <f>'Raw IS'!B24</f>
        <v>0</v>
      </c>
      <c r="D24" s="76">
        <f>'Raw IS'!C24</f>
        <v>0</v>
      </c>
      <c r="E24" s="76">
        <f>'Raw IS'!D24</f>
        <v>0</v>
      </c>
      <c r="F24" s="76">
        <f>'Raw IS'!E24</f>
        <v>0</v>
      </c>
      <c r="G24" s="76">
        <f>'Raw IS'!F24</f>
        <v>0</v>
      </c>
      <c r="H24" s="76">
        <f>'Raw IS'!G24</f>
        <v>0</v>
      </c>
      <c r="I24" s="76">
        <f>'Raw IS'!H24</f>
        <v>0</v>
      </c>
      <c r="J24" s="76">
        <f>'Raw IS'!I24</f>
        <v>0</v>
      </c>
      <c r="K24" s="76">
        <f>'Raw IS'!J24</f>
        <v>0</v>
      </c>
      <c r="L24" s="76">
        <f>'Raw IS'!K24</f>
        <v>0</v>
      </c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4" t="s">
        <v>417</v>
      </c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Y24" s="85" t="s">
        <v>388</v>
      </c>
      <c r="AZ24" s="91">
        <f>O11</f>
        <v>-79.419999999999987</v>
      </c>
      <c r="BA24" s="91">
        <f>P11</f>
        <v>-121.51999999999998</v>
      </c>
      <c r="BB24" s="91">
        <f>Q11</f>
        <v>-52.449999999999932</v>
      </c>
      <c r="BC24" s="91">
        <f>R11</f>
        <v>-41.179999999999993</v>
      </c>
      <c r="BD24" s="91">
        <f>S11</f>
        <v>56.939999999999955</v>
      </c>
      <c r="BE24" s="91">
        <f>T11</f>
        <v>29.129999999999953</v>
      </c>
      <c r="BF24" s="91">
        <f>U11</f>
        <v>-120.48000000000019</v>
      </c>
      <c r="BG24" s="91">
        <f>V11</f>
        <v>-4.6900000000001967</v>
      </c>
      <c r="BH24" s="91">
        <f>W11</f>
        <v>175.62000000000006</v>
      </c>
      <c r="BI24" s="91">
        <f>X11</f>
        <v>342.66999999999996</v>
      </c>
      <c r="BJ24" s="95">
        <f>AVERAGE(AZ24:BI24)</f>
        <v>18.461999999999961</v>
      </c>
      <c r="BK24" s="95"/>
    </row>
    <row r="25" spans="2:63">
      <c r="B25" s="76" t="s">
        <v>207</v>
      </c>
      <c r="C25" s="76">
        <f>'Raw IS'!B25</f>
        <v>0</v>
      </c>
      <c r="D25" s="76">
        <f>'Raw IS'!C25</f>
        <v>0</v>
      </c>
      <c r="E25" s="76">
        <f>'Raw IS'!D25</f>
        <v>0</v>
      </c>
      <c r="F25" s="76">
        <f>'Raw IS'!E25</f>
        <v>0</v>
      </c>
      <c r="G25" s="76">
        <f>'Raw IS'!F25</f>
        <v>0</v>
      </c>
      <c r="H25" s="76">
        <f>'Raw IS'!G25</f>
        <v>0</v>
      </c>
      <c r="I25" s="76">
        <f>'Raw IS'!H25</f>
        <v>0</v>
      </c>
      <c r="J25" s="76">
        <f>'Raw IS'!I25</f>
        <v>0</v>
      </c>
      <c r="K25" s="76">
        <f>'Raw IS'!J25</f>
        <v>0</v>
      </c>
      <c r="L25" s="76">
        <f>'Raw IS'!K25</f>
        <v>0</v>
      </c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93" t="s">
        <v>418</v>
      </c>
      <c r="AM25" s="94" t="str">
        <f>""</f>
        <v/>
      </c>
      <c r="AN25" s="94">
        <f>IFERROR(AB8/AVERAGE((P51+P52+P53+P54+P55+P58+P59),(O51+O52+O53+O54+O55+O58+O59)),"")</f>
        <v>-9.1376356367789818E-2</v>
      </c>
      <c r="AO25" s="94">
        <f>IFERROR(AC8/AVERAGE((Q51+Q52+Q53+Q54+Q55+Q58+Q59),(P51+P52+P53+P54+P55+P58+P59)),"")</f>
        <v>-5.3399029076383699E-2</v>
      </c>
      <c r="AP25" s="94">
        <f>IFERROR(AD8/AVERAGE((R51+R52+R53+R54+R55+R58+R59),(Q51+Q52+Q53+Q54+Q55+Q58+Q59)),"")</f>
        <v>-4.7873878040672363E-2</v>
      </c>
      <c r="AQ25" s="94">
        <f>IFERROR(AE8/AVERAGE((S51+S52+S53+S54+S55+S58+S59),(R51+R52+R53+R54+R55+R58+R59)),"")</f>
        <v>2.5126376367060623E-3</v>
      </c>
      <c r="AR25" s="94">
        <f>IFERROR(AF8/AVERAGE((T51+T52+T53+T54+T55+T58+T59),(S51+S52+S53+S54+S55+S58+S59)),"")</f>
        <v>-6.547134560000909E-3</v>
      </c>
      <c r="AS25" s="94">
        <f>IFERROR(AG8/AVERAGE((U51+U52+U53+U54+U55+U58+U59),(T51+T52+T53+T54+T55+T58+T59)),"")</f>
        <v>-5.5787320489384687E-2</v>
      </c>
      <c r="AT25" s="94">
        <f>IFERROR(AH8/AVERAGE((V51+V52+V53+V54+V55+V58+V59),(U51+U52+U53+U54+U55+U58+U59)),"")</f>
        <v>-1.3414976852879014E-2</v>
      </c>
      <c r="AU25" s="94">
        <f>IFERROR(AI8/AVERAGE((W51+W52+W53+W54+W55+W58+W59),(V51+V52+V53+V54+V55+V58+V59)),"")</f>
        <v>5.0507141378596451E-2</v>
      </c>
      <c r="AV25" s="94">
        <f>IFERROR(AJ8/AVERAGE((X51+X52+X53+X54+X55+X58+X59),(W51+W52+W53+W54+W55+W58+W59)),"")</f>
        <v>9.1564781567188461E-2</v>
      </c>
      <c r="AW25" s="85"/>
      <c r="AY25" s="105" t="s">
        <v>419</v>
      </c>
      <c r="AZ25" s="106" t="str">
        <f>""</f>
        <v/>
      </c>
      <c r="BA25" s="106">
        <f>IFERROR(BA22/BA24,"")</f>
        <v>-0.79147465437787945</v>
      </c>
      <c r="BB25" s="106">
        <f>IFERROR(BB22/BB24,"")</f>
        <v>-7.6425166825548256</v>
      </c>
      <c r="BC25" s="106">
        <f>IFERROR(BC22/BC24,"")</f>
        <v>-6.5638659543467721</v>
      </c>
      <c r="BD25" s="106">
        <f>IFERROR(BD22/BD24,"")</f>
        <v>4.6239901650860578</v>
      </c>
      <c r="BE25" s="106">
        <f>IFERROR(BE22/BE24,"")</f>
        <v>9.7542052866460907</v>
      </c>
      <c r="BF25" s="106">
        <f>IFERROR(BF22/BF24,"")</f>
        <v>0.35424966799468882</v>
      </c>
      <c r="BG25" s="106">
        <f>IFERROR(BG22/BG24,"")</f>
        <v>-8.6311300639655055</v>
      </c>
      <c r="BH25" s="106">
        <f>IFERROR(BH22/BH24,"")</f>
        <v>1.7737729188019584</v>
      </c>
      <c r="BI25" s="106">
        <f>IFERROR(BI22/BI24,"")</f>
        <v>3.6507426970555194E-2</v>
      </c>
      <c r="BJ25" s="107">
        <f>AVERAGE(BA25:BI25)</f>
        <v>-0.78736243219395918</v>
      </c>
      <c r="BK25" s="108" t="s">
        <v>420</v>
      </c>
    </row>
    <row r="26" spans="2:63" ht="15" customHeight="1">
      <c r="B26" s="76" t="s">
        <v>208</v>
      </c>
      <c r="C26" s="78">
        <f>'Raw IS'!B26</f>
        <v>-82.58</v>
      </c>
      <c r="D26" s="78">
        <f>'Raw IS'!C26</f>
        <v>-129.76</v>
      </c>
      <c r="E26" s="78">
        <f>'Raw IS'!D26</f>
        <v>-59.91</v>
      </c>
      <c r="F26" s="76">
        <f>'Raw IS'!E26</f>
        <v>-48.21</v>
      </c>
      <c r="G26" s="76">
        <f>'Raw IS'!F26</f>
        <v>51.48</v>
      </c>
      <c r="H26" s="76">
        <f>'Raw IS'!G26</f>
        <v>21.97</v>
      </c>
      <c r="I26" s="78">
        <f>'Raw IS'!H26</f>
        <v>-176.36</v>
      </c>
      <c r="J26" s="78">
        <f>'Raw IS'!I26</f>
        <v>-84.96</v>
      </c>
      <c r="K26" s="78">
        <f>'Raw IS'!J26</f>
        <v>154.59</v>
      </c>
      <c r="L26" s="78">
        <f>'Raw IS'!K26</f>
        <v>292.38</v>
      </c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93" t="s">
        <v>421</v>
      </c>
      <c r="AM26" s="94" t="str">
        <f>""</f>
        <v/>
      </c>
      <c r="AN26" s="94">
        <f>IFERROR(P17/AVERAGE(P49,O49),"")</f>
        <v>-5.6390125266665668E-2</v>
      </c>
      <c r="AO26" s="94">
        <f>IFERROR(Q17/AVERAGE(Q49,P49),"")</f>
        <v>-8.0568869828455871E-3</v>
      </c>
      <c r="AP26" s="94">
        <f>IFERROR(R17/AVERAGE(R49,Q49),"")</f>
        <v>-1.9278844998918986E-2</v>
      </c>
      <c r="AQ26" s="94">
        <f>IFERROR(S17/AVERAGE(S49,R49),"")</f>
        <v>1.1118902295844406E-2</v>
      </c>
      <c r="AR26" s="94">
        <f>IFERROR(T17/AVERAGE(T49,S49),"")</f>
        <v>1.0330659239844761E-2</v>
      </c>
      <c r="AS26" s="94">
        <f>IFERROR(U17/AVERAGE(U49,T49),"")</f>
        <v>-6.2141041911861927E-2</v>
      </c>
      <c r="AT26" s="94">
        <f>IFERROR(V17/AVERAGE(V49,U49),"")</f>
        <v>-2.9022292934483225E-2</v>
      </c>
      <c r="AU26" s="94">
        <f>IFERROR(W17/AVERAGE(W49,V49),"")</f>
        <v>4.0254547370516314E-2</v>
      </c>
      <c r="AV26" s="94">
        <f>IFERROR(X17/AVERAGE(X49,W49),"")</f>
        <v>0.12972777445891953</v>
      </c>
      <c r="AW26" s="85"/>
      <c r="AY26" s="85" t="s">
        <v>422</v>
      </c>
      <c r="AZ26" s="91">
        <f>SUM(O51:O53)+O54+O55+O58+O59-O47</f>
        <v>1145.43</v>
      </c>
      <c r="BA26" s="91">
        <f>SUM(P51:P53)+P54+P55+P58+P59-P47</f>
        <v>2149.25</v>
      </c>
      <c r="BB26" s="91">
        <f>SUM(Q51:Q53)+Q54+Q55+Q58+Q59-Q47</f>
        <v>2618.59</v>
      </c>
      <c r="BC26" s="91">
        <f>SUM(R51:R53)+R54+R55+R58+R59-R47</f>
        <v>2481.5700000000002</v>
      </c>
      <c r="BD26" s="91">
        <f>SUM(S51:S53)+S54+S55+S58+S59-S47</f>
        <v>2575.0100000000002</v>
      </c>
      <c r="BE26" s="91">
        <f>SUM(T51:T53)+T54+T55+T58+T59-T47</f>
        <v>2843.0999999999995</v>
      </c>
      <c r="BF26" s="91">
        <f>SUM(U51:U53)+U54+U55+U58+U59-U47</f>
        <v>2557.6499999999992</v>
      </c>
      <c r="BG26" s="91">
        <f>SUM(V51:V53)+V54+V55+V58+V59-V47</f>
        <v>2507.7099999999996</v>
      </c>
      <c r="BH26" s="91">
        <f>SUM(W51:W53)+W54+W55+W58+W59-W47</f>
        <v>2772.15</v>
      </c>
      <c r="BI26" s="91">
        <f>SUM(X51:X53)+X54+X55+X58+X59-X47</f>
        <v>2922.8899999999994</v>
      </c>
      <c r="BJ26" s="95">
        <f>AVERAGE(AZ26:BI26)</f>
        <v>2457.335</v>
      </c>
      <c r="BK26" s="95"/>
    </row>
    <row r="27" spans="2:63" ht="15" customHeight="1">
      <c r="B27" s="76" t="s">
        <v>209</v>
      </c>
      <c r="C27" s="76">
        <f>'Raw IS'!B27</f>
        <v>-11.85</v>
      </c>
      <c r="D27" s="76">
        <f>'Raw IS'!C27</f>
        <v>3.34</v>
      </c>
      <c r="E27" s="76">
        <f>'Raw IS'!D27</f>
        <v>-34.35</v>
      </c>
      <c r="F27" s="76">
        <f>'Raw IS'!E27</f>
        <v>11.97</v>
      </c>
      <c r="G27" s="76">
        <f>'Raw IS'!F27</f>
        <v>17.149999999999999</v>
      </c>
      <c r="H27" s="76">
        <f>'Raw IS'!G27</f>
        <v>-11.09</v>
      </c>
      <c r="I27" s="76">
        <f>'Raw IS'!H27</f>
        <v>25.86</v>
      </c>
      <c r="J27" s="76">
        <f>'Raw IS'!I27</f>
        <v>8.8000000000000007</v>
      </c>
      <c r="K27" s="76">
        <f>'Raw IS'!J27</f>
        <v>17.07</v>
      </c>
      <c r="L27" s="76">
        <f>'Raw IS'!K27</f>
        <v>39.54</v>
      </c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93" t="s">
        <v>423</v>
      </c>
      <c r="AM27" s="94" t="str">
        <f>""</f>
        <v/>
      </c>
      <c r="AN27" s="94">
        <f>IFERROR(P17/AVERAGE(SUM(P51:P52),SUM(O51:O52)),"")</f>
        <v>-7.11026819104605E-2</v>
      </c>
      <c r="AO27" s="94">
        <f>IFERROR(Q17/AVERAGE(SUM(Q51:Q52),SUM(P51:P52)),"")</f>
        <v>-9.6415094339622354E-3</v>
      </c>
      <c r="AP27" s="94">
        <f>IFERROR(R17/AVERAGE(SUM(R51:R52),SUM(Q51:Q52)),"")</f>
        <v>-2.3369039807736355E-2</v>
      </c>
      <c r="AQ27" s="94">
        <f>IFERROR(S17/AVERAGE(SUM(S51:S52),SUM(R51:R52)),"")</f>
        <v>1.3494019472581534E-2</v>
      </c>
      <c r="AR27" s="94">
        <f>IFERROR(T17/AVERAGE(SUM(T51:T52),SUM(S51:S52)),"")</f>
        <v>1.2772354518824231E-2</v>
      </c>
      <c r="AS27" s="94">
        <f>IFERROR(U17/AVERAGE(SUM(U51:U52),SUM(T51:T52)),"")</f>
        <v>-8.0028335618783128E-2</v>
      </c>
      <c r="AT27" s="94">
        <f>IFERROR(V17/AVERAGE(SUM(V51:V52),SUM(U51:U52)),"")</f>
        <v>-3.8476690741956747E-2</v>
      </c>
      <c r="AU27" s="94">
        <f>IFERROR(W17/AVERAGE(SUM(W51:W52),SUM(V51:V52)),"")</f>
        <v>5.6258169032234344E-2</v>
      </c>
      <c r="AV27" s="94">
        <f>IFERROR(X17/AVERAGE(SUM(X51:X52),SUM(W51:W52)),"")</f>
        <v>0.1832032708788455</v>
      </c>
      <c r="AW27" s="85"/>
      <c r="AY27" s="105" t="s">
        <v>424</v>
      </c>
      <c r="AZ27" s="106">
        <f>IFERROR(AZ24/AZ26,"")</f>
        <v>-6.9336406415058088E-2</v>
      </c>
      <c r="BA27" s="106">
        <f>IFERROR(BA24/BA26,"")</f>
        <v>-5.6540653716412696E-2</v>
      </c>
      <c r="BB27" s="106">
        <f>IFERROR(BB24/BB26,"")</f>
        <v>-2.002986339976855E-2</v>
      </c>
      <c r="BC27" s="106">
        <f>IFERROR(BC24/BC26,"")</f>
        <v>-1.6594333426016589E-2</v>
      </c>
      <c r="BD27" s="106">
        <f>IFERROR(BD24/BD26,"")</f>
        <v>2.2112535485299067E-2</v>
      </c>
      <c r="BE27" s="106">
        <f>IFERROR(BE24/BE26,"")</f>
        <v>1.0245858394006527E-2</v>
      </c>
      <c r="BF27" s="106">
        <f>IFERROR(BF24/BF26,"")</f>
        <v>-4.7105741598733299E-2</v>
      </c>
      <c r="BG27" s="106">
        <f>IFERROR(BG24/BG26,"")</f>
        <v>-1.8702322038833029E-3</v>
      </c>
      <c r="BH27" s="106">
        <f>IFERROR(BH24/BH26,"")</f>
        <v>6.3351550240787854E-2</v>
      </c>
      <c r="BI27" s="106">
        <f>IFERROR(BI24/BI26,"")</f>
        <v>0.11723670750524311</v>
      </c>
      <c r="BJ27" s="107">
        <f>AVERAGE(AZ27:BI27)</f>
        <v>1.469420865464005E-4</v>
      </c>
      <c r="BK27" s="95"/>
    </row>
    <row r="28" spans="2:63" ht="15" customHeight="1">
      <c r="B28" s="76" t="s">
        <v>210</v>
      </c>
      <c r="C28" s="76">
        <f>'Raw IS'!B28</f>
        <v>-13.66</v>
      </c>
      <c r="D28" s="76">
        <f>'Raw IS'!C28</f>
        <v>1.1499999999999999</v>
      </c>
      <c r="E28" s="76">
        <f>'Raw IS'!D28</f>
        <v>7.14</v>
      </c>
      <c r="F28" s="76">
        <f>'Raw IS'!E28</f>
        <v>5.47</v>
      </c>
      <c r="G28" s="76">
        <f>'Raw IS'!F28</f>
        <v>16.68</v>
      </c>
      <c r="H28" s="76">
        <f>'Raw IS'!G28</f>
        <v>10.51</v>
      </c>
      <c r="I28" s="76">
        <f>'Raw IS'!H28</f>
        <v>11.06</v>
      </c>
      <c r="J28" s="76">
        <f>'Raw IS'!I28</f>
        <v>7.94</v>
      </c>
      <c r="K28" s="76">
        <f>'Raw IS'!J28</f>
        <v>18.39</v>
      </c>
      <c r="L28" s="76">
        <f>'Raw IS'!K28</f>
        <v>3.57</v>
      </c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93" t="s">
        <v>425</v>
      </c>
      <c r="AM28" s="94" t="str">
        <f>""</f>
        <v/>
      </c>
      <c r="AN28" s="94">
        <f>IFERROR(AB10/AVERAGE(AB77,AA77),"")</f>
        <v>-0.15657547006781786</v>
      </c>
      <c r="AO28" s="94">
        <f>IFERROR(AC10/AVERAGE(AC77,AB77),"")</f>
        <v>-7.9468256350094135E-2</v>
      </c>
      <c r="AP28" s="94">
        <f>IFERROR(AD10/AVERAGE(AD77,AC77),"")</f>
        <v>-8.0501308160188995E-2</v>
      </c>
      <c r="AQ28" s="94">
        <f>IFERROR(AE10/AVERAGE(AE77,AD77),"")</f>
        <v>-5.1318490446866111E-3</v>
      </c>
      <c r="AR28" s="94">
        <f>IFERROR(AF10/AVERAGE(AF77,AE77),"")</f>
        <v>-3.0750022145078324E-3</v>
      </c>
      <c r="AS28" s="94">
        <f>IFERROR(AG10/AVERAGE(AG77,AF77),"")</f>
        <v>-7.1811625589738387E-2</v>
      </c>
      <c r="AT28" s="94">
        <f>IFERROR(AH10/AVERAGE(AH77,AG77),"")</f>
        <v>-1.7741675226592094E-2</v>
      </c>
      <c r="AU28" s="94">
        <f>IFERROR(AI10/AVERAGE(AI77,AH77),"")</f>
        <v>4.6418508641082309E-2</v>
      </c>
      <c r="AV28" s="94">
        <f>IFERROR(AJ10/AVERAGE(AJ77,AI77),"")</f>
        <v>8.4095813249635651E-2</v>
      </c>
      <c r="AW28" s="85"/>
      <c r="AY28" s="85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</row>
    <row r="29" spans="2:63" ht="15" customHeight="1">
      <c r="B29" s="76" t="s">
        <v>211</v>
      </c>
      <c r="C29" s="76">
        <f>'Raw IS'!B29</f>
        <v>1.81</v>
      </c>
      <c r="D29" s="76">
        <f>'Raw IS'!C29</f>
        <v>14.91</v>
      </c>
      <c r="E29" s="76">
        <f>'Raw IS'!D29</f>
        <v>-40.24</v>
      </c>
      <c r="F29" s="76">
        <f>'Raw IS'!E29</f>
        <v>6.5</v>
      </c>
      <c r="G29" s="76">
        <f>'Raw IS'!F29</f>
        <v>-0.15</v>
      </c>
      <c r="H29" s="76">
        <f>'Raw IS'!G29</f>
        <v>-21.84</v>
      </c>
      <c r="I29" s="76">
        <f>'Raw IS'!H29</f>
        <v>15.35</v>
      </c>
      <c r="J29" s="76">
        <f>'Raw IS'!I29</f>
        <v>0.86</v>
      </c>
      <c r="K29" s="76">
        <f>'Raw IS'!J29</f>
        <v>-1.2</v>
      </c>
      <c r="L29" s="76">
        <f>'Raw IS'!K29</f>
        <v>35.53</v>
      </c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85"/>
      <c r="AY29" s="105" t="s">
        <v>426</v>
      </c>
      <c r="AZ29" s="106" t="str">
        <f>""</f>
        <v/>
      </c>
      <c r="BA29" s="106">
        <f>IFERROR(BA25*BA27,"")</f>
        <v>4.4750494358497102E-2</v>
      </c>
      <c r="BB29" s="106">
        <f>IFERROR(BB25*BB27,"")</f>
        <v>0.15307856518202545</v>
      </c>
      <c r="BC29" s="106">
        <f>IFERROR(BC25*BC27,"")</f>
        <v>0.10892298021010892</v>
      </c>
      <c r="BD29" s="106">
        <f>IFERROR(BD25*BD27,"")</f>
        <v>0.10224814660913935</v>
      </c>
      <c r="BE29" s="106">
        <f>IFERROR(BE25*BE27,"")</f>
        <v>9.9940206113045688E-2</v>
      </c>
      <c r="BF29" s="106">
        <f>IFERROR(BF25*BF27,"")</f>
        <v>-1.6687193321994875E-2</v>
      </c>
      <c r="BG29" s="106">
        <f>IFERROR(BG25*BG27,"")</f>
        <v>1.614221740153364E-2</v>
      </c>
      <c r="BH29" s="106">
        <f>IFERROR(BH25*BH27,"")</f>
        <v>0.11237126418123118</v>
      </c>
      <c r="BI29" s="106">
        <f>IFERROR(BI25*BI27,"")</f>
        <v>4.280010537516003E-3</v>
      </c>
      <c r="BJ29" s="109">
        <f>AVERAGE(BA29:BI29)</f>
        <v>6.9449632363455846E-2</v>
      </c>
      <c r="BK29" s="108" t="s">
        <v>427</v>
      </c>
    </row>
    <row r="30" spans="2:63" ht="15" customHeight="1">
      <c r="B30" s="76" t="s">
        <v>212</v>
      </c>
      <c r="C30" s="76">
        <f>'Raw IS'!B30</f>
        <v>0</v>
      </c>
      <c r="D30" s="76">
        <f>'Raw IS'!C30</f>
        <v>-12.72</v>
      </c>
      <c r="E30" s="76">
        <f>'Raw IS'!D30</f>
        <v>-1.24</v>
      </c>
      <c r="F30" s="76">
        <f>'Raw IS'!E30</f>
        <v>0</v>
      </c>
      <c r="G30" s="76">
        <f>'Raw IS'!F30</f>
        <v>0.62</v>
      </c>
      <c r="H30" s="76">
        <f>'Raw IS'!G30</f>
        <v>0.24</v>
      </c>
      <c r="I30" s="76">
        <f>'Raw IS'!H30</f>
        <v>-0.54</v>
      </c>
      <c r="J30" s="76">
        <f>'Raw IS'!I30</f>
        <v>0</v>
      </c>
      <c r="K30" s="76">
        <f>'Raw IS'!J30</f>
        <v>-0.12</v>
      </c>
      <c r="L30" s="76">
        <f>'Raw IS'!K30</f>
        <v>0.44</v>
      </c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4" t="s">
        <v>428</v>
      </c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Y30" s="85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</row>
    <row r="31" spans="2:63">
      <c r="B31" s="76" t="s">
        <v>213</v>
      </c>
      <c r="C31" s="76">
        <f>'Raw IS'!B31</f>
        <v>0</v>
      </c>
      <c r="D31" s="76">
        <f>'Raw IS'!C31</f>
        <v>0</v>
      </c>
      <c r="E31" s="76">
        <f>'Raw IS'!D31</f>
        <v>0</v>
      </c>
      <c r="F31" s="76">
        <f>'Raw IS'!E31</f>
        <v>0</v>
      </c>
      <c r="G31" s="76">
        <f>'Raw IS'!F31</f>
        <v>0</v>
      </c>
      <c r="H31" s="76">
        <f>'Raw IS'!G31</f>
        <v>0</v>
      </c>
      <c r="I31" s="76">
        <f>'Raw IS'!H31</f>
        <v>0</v>
      </c>
      <c r="J31" s="76">
        <f>'Raw IS'!I31</f>
        <v>0</v>
      </c>
      <c r="K31" s="76">
        <f>'Raw IS'!J31</f>
        <v>0</v>
      </c>
      <c r="L31" s="76">
        <f>'Raw IS'!K31</f>
        <v>0</v>
      </c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93" t="s">
        <v>429</v>
      </c>
      <c r="AM31" s="94">
        <f>IFERROR(O17/O3,0)</f>
        <v>-0.10138882916971233</v>
      </c>
      <c r="AN31" s="94">
        <f>IFERROR(P17/P3,0)</f>
        <v>-0.16338280607422134</v>
      </c>
      <c r="AO31" s="94">
        <f>IFERROR(Q17/Q3,0)</f>
        <v>-2.1651624931146925E-2</v>
      </c>
      <c r="AP31" s="94">
        <f>IFERROR(R17/R3,0)</f>
        <v>-5.4534252656947918E-2</v>
      </c>
      <c r="AQ31" s="94">
        <f>IFERROR(S17/S3,0)</f>
        <v>2.7794420065741496E-2</v>
      </c>
      <c r="AR31" s="94">
        <f>IFERROR(T17/T3,0)</f>
        <v>2.6027105990565631E-2</v>
      </c>
      <c r="AS31" s="94">
        <f>IFERROR(U17/U3,0)</f>
        <v>-0.15057110095158688</v>
      </c>
      <c r="AT31" s="94">
        <f>IFERROR(V17/V3,0)</f>
        <v>-5.2523373909731164E-2</v>
      </c>
      <c r="AU31" s="94">
        <f>IFERROR(W17/W3,0)</f>
        <v>6.5145407087736959E-2</v>
      </c>
      <c r="AV31" s="94">
        <f>IFERROR(X17/X3,0)</f>
        <v>0.21500102186797468</v>
      </c>
      <c r="AW31" s="85"/>
      <c r="AY31" s="92" t="s">
        <v>430</v>
      </c>
      <c r="AZ31" s="110"/>
      <c r="BA31" s="110"/>
      <c r="BB31" s="110"/>
      <c r="BC31" s="110"/>
      <c r="BD31" s="110"/>
      <c r="BE31" s="110"/>
      <c r="BF31" s="110"/>
      <c r="BG31" s="110"/>
      <c r="BH31" s="110"/>
      <c r="BI31" s="110"/>
      <c r="BJ31" s="110"/>
      <c r="BK31" s="110"/>
    </row>
    <row r="32" spans="2:63" ht="15" customHeight="1">
      <c r="B32" s="76" t="s">
        <v>214</v>
      </c>
      <c r="C32" s="76">
        <f>'Raw IS'!B32</f>
        <v>0</v>
      </c>
      <c r="D32" s="76">
        <f>'Raw IS'!C32</f>
        <v>0</v>
      </c>
      <c r="E32" s="76">
        <f>'Raw IS'!D32</f>
        <v>0</v>
      </c>
      <c r="F32" s="76">
        <f>'Raw IS'!E32</f>
        <v>0</v>
      </c>
      <c r="G32" s="76">
        <f>'Raw IS'!F32</f>
        <v>0</v>
      </c>
      <c r="H32" s="76">
        <f>'Raw IS'!G32</f>
        <v>0</v>
      </c>
      <c r="I32" s="76">
        <f>'Raw IS'!H32</f>
        <v>0</v>
      </c>
      <c r="J32" s="76">
        <f>'Raw IS'!I32</f>
        <v>0</v>
      </c>
      <c r="K32" s="76">
        <f>'Raw IS'!J32</f>
        <v>0</v>
      </c>
      <c r="L32" s="76">
        <f>'Raw IS'!K32</f>
        <v>0</v>
      </c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93" t="s">
        <v>431</v>
      </c>
      <c r="AM32" s="111" t="str">
        <f>""</f>
        <v/>
      </c>
      <c r="AN32" s="111">
        <f>IFERROR(P3/AVERAGE(P49,O49),NA())</f>
        <v>0.34514112360788335</v>
      </c>
      <c r="AO32" s="111">
        <f>IFERROR(Q3/AVERAGE(Q49,P49),NA())</f>
        <v>0.37211465691220991</v>
      </c>
      <c r="AP32" s="111">
        <f>IFERROR(R3/AVERAGE(R49,Q49),NA())</f>
        <v>0.3535180929349872</v>
      </c>
      <c r="AQ32" s="111">
        <f>IFERROR(S3/AVERAGE(S49,R49),NA())</f>
        <v>0.40004080925398422</v>
      </c>
      <c r="AR32" s="111">
        <f>IFERROR(T3/AVERAGE(T49,S49),NA())</f>
        <v>0.39691924425210562</v>
      </c>
      <c r="AS32" s="111">
        <f>IFERROR(U3/AVERAGE(U49,T49),NA())</f>
        <v>0.41270231484753594</v>
      </c>
      <c r="AT32" s="111">
        <f>IFERROR(V3/AVERAGE(V49,U49),NA())</f>
        <v>0.55255957060873762</v>
      </c>
      <c r="AU32" s="111">
        <f>IFERROR(W3/AVERAGE(W49,V49),NA())</f>
        <v>0.61791842541258557</v>
      </c>
      <c r="AV32" s="111">
        <f>IFERROR(X3/AVERAGE(X49,W49),NA())</f>
        <v>0.6033821296839289</v>
      </c>
      <c r="AW32" s="85"/>
      <c r="AY32" s="85" t="s">
        <v>432</v>
      </c>
      <c r="AZ32" s="91">
        <f>C3</f>
        <v>698.67</v>
      </c>
      <c r="BA32" s="91">
        <f>D3</f>
        <v>814.98</v>
      </c>
      <c r="BB32" s="91">
        <f>E3</f>
        <v>1180.05</v>
      </c>
      <c r="BC32" s="91">
        <f>F3</f>
        <v>1103.71</v>
      </c>
      <c r="BD32" s="91">
        <f>G3</f>
        <v>1235.1400000000001</v>
      </c>
      <c r="BE32" s="91">
        <f>H3</f>
        <v>1269.83</v>
      </c>
      <c r="BF32" s="91">
        <f>I3</f>
        <v>1343.02</v>
      </c>
      <c r="BG32" s="91">
        <f>J3</f>
        <v>1785.11</v>
      </c>
      <c r="BH32" s="91">
        <f>K3</f>
        <v>2110.9699999999998</v>
      </c>
      <c r="BI32" s="91">
        <f>L3</f>
        <v>2201.85</v>
      </c>
      <c r="BJ32" s="95">
        <f>AVERAGE(AZ32:BI32)</f>
        <v>1374.3330000000001</v>
      </c>
      <c r="BK32" s="95"/>
    </row>
    <row r="33" spans="2:63" ht="15" customHeight="1">
      <c r="B33" s="76" t="s">
        <v>215</v>
      </c>
      <c r="C33" s="76">
        <f>'Raw IS'!B33</f>
        <v>0</v>
      </c>
      <c r="D33" s="76">
        <f>'Raw IS'!C33</f>
        <v>0</v>
      </c>
      <c r="E33" s="76">
        <f>'Raw IS'!D33</f>
        <v>0</v>
      </c>
      <c r="F33" s="76">
        <f>'Raw IS'!E33</f>
        <v>0</v>
      </c>
      <c r="G33" s="76">
        <f>'Raw IS'!F33</f>
        <v>0</v>
      </c>
      <c r="H33" s="76">
        <f>'Raw IS'!G33</f>
        <v>0</v>
      </c>
      <c r="I33" s="76">
        <f>'Raw IS'!H33</f>
        <v>0</v>
      </c>
      <c r="J33" s="76">
        <f>'Raw IS'!I33</f>
        <v>0</v>
      </c>
      <c r="K33" s="76">
        <f>'Raw IS'!J33</f>
        <v>0</v>
      </c>
      <c r="L33" s="76">
        <f>'Raw IS'!K33</f>
        <v>0</v>
      </c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93" t="s">
        <v>433</v>
      </c>
      <c r="AM33" s="111" t="str">
        <f>""</f>
        <v/>
      </c>
      <c r="AN33" s="111">
        <f>IFERROR(AVERAGE(P49,O49)/AVERAGE(SUM(P51:P52),SUM(O51:O52)),NA())</f>
        <v>1.2609066139544822</v>
      </c>
      <c r="AO33" s="111">
        <f>IFERROR(AVERAGE(Q49,P49)/AVERAGE(SUM(Q51:Q52),SUM(P51:P52)),NA())</f>
        <v>1.1966792452830188</v>
      </c>
      <c r="AP33" s="111">
        <f>IFERROR(AVERAGE(R49,Q49)/AVERAGE(SUM(R51:R52),SUM(Q51:Q52)),NA())</f>
        <v>1.2121597434414104</v>
      </c>
      <c r="AQ33" s="111">
        <f>IFERROR(AVERAGE(S49,R49)/AVERAGE(SUM(S51:S52),SUM(R51:R52)),NA())</f>
        <v>1.2136107606256066</v>
      </c>
      <c r="AR33" s="111">
        <f>IFERROR(AVERAGE(T49,S49)/AVERAGE(SUM(T51:T52),SUM(S51:S52)),NA())</f>
        <v>1.2363542560345027</v>
      </c>
      <c r="AS33" s="111">
        <f>IFERROR(AVERAGE(U49,T49)/AVERAGE(SUM(U51:U52),SUM(T51:T52)),NA())</f>
        <v>1.287849916200178</v>
      </c>
      <c r="AT33" s="111">
        <f>IFERROR(AVERAGE(V49,U49)/AVERAGE(SUM(V51:V52),SUM(U51:U52)),NA())</f>
        <v>1.325763296126067</v>
      </c>
      <c r="AU33" s="111">
        <f>IFERROR(AVERAGE(W49,V49)/AVERAGE(SUM(W51:W52),SUM(V51:V52)),NA())</f>
        <v>1.3975605914635021</v>
      </c>
      <c r="AV33" s="111">
        <f>IFERROR(AVERAGE(X49,W49)/AVERAGE(SUM(X51:X52),SUM(W51:W52)),NA())</f>
        <v>1.4122131643972655</v>
      </c>
      <c r="AW33" s="85"/>
      <c r="AY33" s="85" t="s">
        <v>434</v>
      </c>
      <c r="AZ33" s="91" t="str">
        <f>""</f>
        <v/>
      </c>
      <c r="BA33" s="91">
        <f>BA32-AZ32</f>
        <v>116.31000000000006</v>
      </c>
      <c r="BB33" s="91">
        <f>BB32-BA32</f>
        <v>365.06999999999994</v>
      </c>
      <c r="BC33" s="91">
        <f>BC32-BB32</f>
        <v>-76.339999999999918</v>
      </c>
      <c r="BD33" s="91">
        <f>BD32-BC32</f>
        <v>131.43000000000006</v>
      </c>
      <c r="BE33" s="91">
        <f>BE32-BD32</f>
        <v>34.689999999999827</v>
      </c>
      <c r="BF33" s="91">
        <f>BF32-BE32</f>
        <v>73.190000000000055</v>
      </c>
      <c r="BG33" s="91">
        <f>BG32-BF32</f>
        <v>442.08999999999992</v>
      </c>
      <c r="BH33" s="91">
        <f>BH32-BG32</f>
        <v>325.8599999999999</v>
      </c>
      <c r="BI33" s="91">
        <f>BI32-BH32</f>
        <v>90.880000000000109</v>
      </c>
      <c r="BJ33" s="95">
        <f>AVERAGE(BA33:BI33)</f>
        <v>167.02</v>
      </c>
      <c r="BK33" s="95"/>
    </row>
    <row r="34" spans="2:63" ht="15" customHeight="1">
      <c r="B34" s="76" t="s">
        <v>216</v>
      </c>
      <c r="C34" s="76">
        <f>'Raw IS'!B34</f>
        <v>0</v>
      </c>
      <c r="D34" s="76">
        <f>'Raw IS'!C34</f>
        <v>-12.72</v>
      </c>
      <c r="E34" s="76">
        <f>'Raw IS'!D34</f>
        <v>-1.24</v>
      </c>
      <c r="F34" s="76">
        <f>'Raw IS'!E34</f>
        <v>0</v>
      </c>
      <c r="G34" s="76">
        <f>'Raw IS'!F34</f>
        <v>0.62</v>
      </c>
      <c r="H34" s="76">
        <f>'Raw IS'!G34</f>
        <v>0.24</v>
      </c>
      <c r="I34" s="76">
        <f>'Raw IS'!H34</f>
        <v>-0.54</v>
      </c>
      <c r="J34" s="76">
        <f>'Raw IS'!I34</f>
        <v>0</v>
      </c>
      <c r="K34" s="76">
        <f>'Raw IS'!J34</f>
        <v>-0.12</v>
      </c>
      <c r="L34" s="76">
        <f>'Raw IS'!K34</f>
        <v>0.44</v>
      </c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93" t="s">
        <v>435</v>
      </c>
      <c r="AM34" s="94" t="str">
        <f>""</f>
        <v/>
      </c>
      <c r="AN34" s="94">
        <f>IFERROR(AN31*AN32*AN33,NA())</f>
        <v>-7.11026819104605E-2</v>
      </c>
      <c r="AO34" s="94">
        <f>IFERROR(AO31*AO32*AO33,NA())</f>
        <v>-9.6415094339622372E-3</v>
      </c>
      <c r="AP34" s="94">
        <f>IFERROR(AP31*AP32*AP33,NA())</f>
        <v>-2.3369039807736355E-2</v>
      </c>
      <c r="AQ34" s="94">
        <f>IFERROR(AQ31*AQ32*AQ33,NA())</f>
        <v>1.3494019472581531E-2</v>
      </c>
      <c r="AR34" s="94">
        <f>IFERROR(AR31*AR32*AR33,NA())</f>
        <v>1.277235451882423E-2</v>
      </c>
      <c r="AS34" s="94">
        <f>IFERROR(AS31*AS32*AS33,NA())</f>
        <v>-8.0028335618783128E-2</v>
      </c>
      <c r="AT34" s="94">
        <f>IFERROR(AT31*AT32*AT33,NA())</f>
        <v>-3.8476690741956747E-2</v>
      </c>
      <c r="AU34" s="94">
        <f>IFERROR(AU31*AU32*AU33,NA())</f>
        <v>5.6258169032234344E-2</v>
      </c>
      <c r="AV34" s="94">
        <f>IFERROR(AV31*AV32*AV33,NA())</f>
        <v>0.1832032708788455</v>
      </c>
      <c r="AW34" s="85"/>
      <c r="AY34" s="85" t="s">
        <v>436</v>
      </c>
      <c r="AZ34" s="91">
        <f>AZ20</f>
        <v>495.84000000000003</v>
      </c>
      <c r="BA34" s="91">
        <f>BA20</f>
        <v>482.95999999999992</v>
      </c>
      <c r="BB34" s="91">
        <f>BB20</f>
        <v>756.87</v>
      </c>
      <c r="BC34" s="91">
        <f>BC20</f>
        <v>722.69</v>
      </c>
      <c r="BD34" s="91">
        <f>BD20</f>
        <v>782.53</v>
      </c>
      <c r="BE34" s="91">
        <f>BE20</f>
        <v>1030.8400000000001</v>
      </c>
      <c r="BF34" s="91">
        <f>BF20</f>
        <v>1057.28</v>
      </c>
      <c r="BG34" s="91">
        <f>BG20</f>
        <v>1198.3699999999999</v>
      </c>
      <c r="BH34" s="91">
        <f>BH20</f>
        <v>1497.08</v>
      </c>
      <c r="BI34" s="91">
        <f>BI20</f>
        <v>1511.67</v>
      </c>
      <c r="BJ34" s="95">
        <f>AVERAGE(AZ34:BI34)</f>
        <v>953.61300000000006</v>
      </c>
      <c r="BK34" s="95"/>
    </row>
    <row r="35" spans="2:63" ht="15" customHeight="1">
      <c r="B35" s="76" t="s">
        <v>217</v>
      </c>
      <c r="C35" s="76">
        <f>'Raw IS'!B35</f>
        <v>0</v>
      </c>
      <c r="D35" s="76">
        <f>'Raw IS'!C35</f>
        <v>0</v>
      </c>
      <c r="E35" s="76">
        <f>'Raw IS'!D35</f>
        <v>0</v>
      </c>
      <c r="F35" s="76">
        <f>'Raw IS'!E35</f>
        <v>0</v>
      </c>
      <c r="G35" s="76">
        <f>'Raw IS'!F35</f>
        <v>0</v>
      </c>
      <c r="H35" s="76">
        <f>'Raw IS'!G35</f>
        <v>0</v>
      </c>
      <c r="I35" s="76">
        <f>'Raw IS'!H35</f>
        <v>0</v>
      </c>
      <c r="J35" s="76">
        <f>'Raw IS'!I35</f>
        <v>0</v>
      </c>
      <c r="K35" s="76">
        <f>'Raw IS'!J35</f>
        <v>0</v>
      </c>
      <c r="L35" s="76">
        <f>'Raw IS'!K35</f>
        <v>0</v>
      </c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85"/>
      <c r="AY35" s="85" t="s">
        <v>414</v>
      </c>
      <c r="AZ35" s="91" t="str">
        <f>AZ21</f>
        <v/>
      </c>
      <c r="BA35" s="91">
        <f>BA21</f>
        <v>-12.880000000000109</v>
      </c>
      <c r="BB35" s="91">
        <f>BB21</f>
        <v>273.91000000000008</v>
      </c>
      <c r="BC35" s="91">
        <f>BC21</f>
        <v>-34.17999999999995</v>
      </c>
      <c r="BD35" s="91">
        <f>BD21</f>
        <v>59.839999999999918</v>
      </c>
      <c r="BE35" s="91">
        <f>BE21</f>
        <v>248.31000000000017</v>
      </c>
      <c r="BF35" s="91">
        <f>BF21</f>
        <v>26.439999999999827</v>
      </c>
      <c r="BG35" s="91">
        <f>BG21</f>
        <v>141.08999999999992</v>
      </c>
      <c r="BH35" s="91">
        <f>BH21</f>
        <v>298.71000000000004</v>
      </c>
      <c r="BI35" s="91">
        <f>BI21</f>
        <v>14.590000000000146</v>
      </c>
      <c r="BJ35" s="95">
        <f>AVERAGE(BA35:BI35)</f>
        <v>112.87</v>
      </c>
      <c r="BK35" s="95"/>
    </row>
    <row r="36" spans="2:63" ht="15" customHeight="1">
      <c r="B36" s="76" t="s">
        <v>218</v>
      </c>
      <c r="C36" s="76">
        <f>'Raw IS'!B36</f>
        <v>-70.72</v>
      </c>
      <c r="D36" s="76">
        <f>'Raw IS'!C36</f>
        <v>-133.1</v>
      </c>
      <c r="E36" s="76">
        <f>'Raw IS'!D36</f>
        <v>-25.56</v>
      </c>
      <c r="F36" s="76">
        <f>'Raw IS'!E36</f>
        <v>-60.18</v>
      </c>
      <c r="G36" s="76">
        <f>'Raw IS'!F36</f>
        <v>34.32</v>
      </c>
      <c r="H36" s="76">
        <f>'Raw IS'!G36</f>
        <v>33.06</v>
      </c>
      <c r="I36" s="76">
        <f>'Raw IS'!H36</f>
        <v>-202.23</v>
      </c>
      <c r="J36" s="76">
        <f>'Raw IS'!I36</f>
        <v>-93.76</v>
      </c>
      <c r="K36" s="76">
        <f>'Raw IS'!J36</f>
        <v>137.52000000000001</v>
      </c>
      <c r="L36" s="76">
        <f>'Raw IS'!K36</f>
        <v>252.84</v>
      </c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4" t="s">
        <v>437</v>
      </c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Y36" s="105" t="s">
        <v>438</v>
      </c>
      <c r="AZ36" s="106">
        <f>IFERROR(AZ34/AZ32,"")</f>
        <v>0.70969127055691539</v>
      </c>
      <c r="BA36" s="106">
        <f>IFERROR(BA34/BA32,"")</f>
        <v>0.59260349947237956</v>
      </c>
      <c r="BB36" s="106">
        <f>IFERROR(BB34/BB32,"")</f>
        <v>0.64138807677640786</v>
      </c>
      <c r="BC36" s="106">
        <f>IFERROR(BC34/BC32,"")</f>
        <v>0.65478250627429313</v>
      </c>
      <c r="BD36" s="106">
        <f>IFERROR(BD34/BD32,"")</f>
        <v>0.63355571028385438</v>
      </c>
      <c r="BE36" s="106">
        <f>IFERROR(BE34/BE32,"")</f>
        <v>0.81179370466912915</v>
      </c>
      <c r="BF36" s="106">
        <f>IFERROR(BF34/BF32,"")</f>
        <v>0.78724069634108207</v>
      </c>
      <c r="BG36" s="106">
        <f>IFERROR(BG34/BG32,"")</f>
        <v>0.67131437278374995</v>
      </c>
      <c r="BH36" s="106">
        <f>IFERROR(BH34/BH32,"")</f>
        <v>0.70919056168491268</v>
      </c>
      <c r="BI36" s="106">
        <f>IFERROR(BI34/BI32,"")</f>
        <v>0.68654540500034067</v>
      </c>
      <c r="BJ36" s="107">
        <f>AVERAGE(AZ36:BI36)</f>
        <v>0.68981058038430654</v>
      </c>
      <c r="BK36" s="108"/>
    </row>
    <row r="37" spans="2:63" ht="15" customHeight="1"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93" t="s">
        <v>439</v>
      </c>
      <c r="AM37" s="112" t="str">
        <f>""</f>
        <v/>
      </c>
      <c r="AN37" s="112">
        <f>IFERROR(AVERAGE(P45,O45)/P3*365,"")</f>
        <v>132.68490897261199</v>
      </c>
      <c r="AO37" s="112">
        <f>IFERROR(AVERAGE(Q45,P45)/Q3*365,"")</f>
        <v>110.2639930511419</v>
      </c>
      <c r="AP37" s="112">
        <f>IFERROR(AVERAGE(R45,Q45)/R3*365,"")</f>
        <v>136.61167788640134</v>
      </c>
      <c r="AQ37" s="112">
        <f>IFERROR(AVERAGE(S45,R45)/S3*365,"")</f>
        <v>94.624759136616092</v>
      </c>
      <c r="AR37" s="112">
        <f>IFERROR(AVERAGE(T45,S45)/T3*365,"")</f>
        <v>107.17202302670437</v>
      </c>
      <c r="AS37" s="112">
        <f>IFERROR(AVERAGE(U45,T45)/U3*365,"")</f>
        <v>147.30914282735924</v>
      </c>
      <c r="AT37" s="112">
        <f>IFERROR(AVERAGE(V45,U45)/V3*365,"")</f>
        <v>125.84363148489449</v>
      </c>
      <c r="AU37" s="112">
        <f>IFERROR(AVERAGE(W45,V45)/W3*365,"")</f>
        <v>122.86029645139438</v>
      </c>
      <c r="AV37" s="112">
        <f>IFERROR(AVERAGE(X45,W45)/X3*365,"")</f>
        <v>133.22827395144989</v>
      </c>
      <c r="AW37" s="85"/>
      <c r="AY37" s="105" t="s">
        <v>440</v>
      </c>
      <c r="AZ37" s="106" t="str">
        <f>""</f>
        <v/>
      </c>
      <c r="BA37" s="106">
        <f>IFERROR(BA35/BA33,"")</f>
        <v>-0.11073854354741727</v>
      </c>
      <c r="BB37" s="106">
        <f>IFERROR(BB35/BB33,"")</f>
        <v>0.75029446407538314</v>
      </c>
      <c r="BC37" s="106">
        <f>IFERROR(BC35/BC33,"")</f>
        <v>0.44773382237359166</v>
      </c>
      <c r="BD37" s="106">
        <f>IFERROR(BD35/BD33,"")</f>
        <v>0.4552993989195761</v>
      </c>
      <c r="BE37" s="106">
        <f>IFERROR(BE35/BE33,"")</f>
        <v>7.157970596713791</v>
      </c>
      <c r="BF37" s="106">
        <f>IFERROR(BF35/BF33,"")</f>
        <v>0.36125153709522895</v>
      </c>
      <c r="BG37" s="106">
        <f>IFERROR(BG35/BG33,"")</f>
        <v>0.31914316089484029</v>
      </c>
      <c r="BH37" s="106">
        <f>IFERROR(BH35/BH33,"")</f>
        <v>0.91668201067943322</v>
      </c>
      <c r="BI37" s="106">
        <f>IFERROR(BI35/BI33,"")</f>
        <v>0.16054137323943804</v>
      </c>
      <c r="BJ37" s="109">
        <f>AVERAGE(BA37:BI37)</f>
        <v>1.1620197578270961</v>
      </c>
      <c r="BK37" s="108" t="s">
        <v>441</v>
      </c>
    </row>
    <row r="38" spans="2:63" ht="15" customHeight="1"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93" t="s">
        <v>442</v>
      </c>
      <c r="AM38" s="112" t="str">
        <f>""</f>
        <v/>
      </c>
      <c r="AN38" s="112">
        <f>IFERROR(AVERAGE(P44,O44)/P6*365,"")</f>
        <v>282.50949057920445</v>
      </c>
      <c r="AO38" s="112">
        <f>IFERROR(AVERAGE(Q44,P44)/Q6*365,"")</f>
        <v>250.98931744068366</v>
      </c>
      <c r="AP38" s="112">
        <f>IFERROR(AVERAGE(R44,Q44)/R6*365,"")</f>
        <v>346.55956193821675</v>
      </c>
      <c r="AQ38" s="112">
        <f>IFERROR(AVERAGE(S44,R44)/S6*365,"")</f>
        <v>449.71032446822534</v>
      </c>
      <c r="AR38" s="112">
        <f>IFERROR(AVERAGE(T44,S44)/T6*365,"")</f>
        <v>499.69266286703697</v>
      </c>
      <c r="AS38" s="112">
        <f>IFERROR(AVERAGE(U44,T44)/U6*365,"")</f>
        <v>405.94018296335281</v>
      </c>
      <c r="AT38" s="112">
        <f>IFERROR(AVERAGE(V44,U44)/V6*365,"")</f>
        <v>337.2769444821501</v>
      </c>
      <c r="AU38" s="112">
        <f>IFERROR(AVERAGE(W44,V44)/W6*365,"")</f>
        <v>364.50554031053531</v>
      </c>
      <c r="AV38" s="112">
        <f>IFERROR(AVERAGE(X44,W44)/X6*365,"")</f>
        <v>447.97694346179327</v>
      </c>
      <c r="AW38" s="85"/>
    </row>
    <row r="39" spans="2:63" ht="13.5" customHeight="1">
      <c r="B39" s="8" t="s">
        <v>443</v>
      </c>
      <c r="C39" s="8"/>
      <c r="D39" s="8"/>
      <c r="E39" s="8"/>
      <c r="F39" s="8"/>
      <c r="G39" s="8"/>
      <c r="H39" s="8"/>
      <c r="I39" s="8"/>
      <c r="J39" s="8"/>
      <c r="K39" s="8"/>
      <c r="L39" s="8"/>
      <c r="N39" s="7" t="s">
        <v>444</v>
      </c>
      <c r="O39" s="7"/>
      <c r="P39" s="7"/>
      <c r="Q39" s="7"/>
      <c r="R39" s="7"/>
      <c r="S39" s="7"/>
      <c r="T39" s="7"/>
      <c r="U39" s="7"/>
      <c r="V39" s="7"/>
      <c r="W39" s="7"/>
      <c r="X39" s="7"/>
      <c r="Y39" s="85"/>
      <c r="Z39" s="7" t="s">
        <v>445</v>
      </c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86"/>
      <c r="AL39" s="93" t="s">
        <v>446</v>
      </c>
      <c r="AM39" s="112" t="str">
        <f>""</f>
        <v/>
      </c>
      <c r="AN39" s="112">
        <f>IFERROR(AVERAGE(P57,O57)/P6*365,"")</f>
        <v>222.59651081646894</v>
      </c>
      <c r="AO39" s="112">
        <f>IFERROR(AVERAGE(Q57,P57)/Q6*365,"")</f>
        <v>183.72720116945911</v>
      </c>
      <c r="AP39" s="112">
        <f>IFERROR(AVERAGE(R57,Q57)/R6*365,"")</f>
        <v>222.31758187829317</v>
      </c>
      <c r="AQ39" s="112">
        <f>IFERROR(AVERAGE(S57,R57)/S6*365,"")</f>
        <v>221.42056986214712</v>
      </c>
      <c r="AR39" s="112">
        <f>IFERROR(AVERAGE(T57,S57)/T6*365,"")</f>
        <v>172.59883846764299</v>
      </c>
      <c r="AS39" s="112">
        <f>IFERROR(AVERAGE(U57,T57)/U6*365,"")</f>
        <v>156.97656689597588</v>
      </c>
      <c r="AT39" s="112">
        <f>IFERROR(AVERAGE(V57,U57)/V6*365,"")</f>
        <v>159.02792860051582</v>
      </c>
      <c r="AU39" s="112">
        <f>IFERROR(AVERAGE(W57,V57)/W6*365,"")</f>
        <v>155.98724049694908</v>
      </c>
      <c r="AV39" s="112">
        <f>IFERROR(AVERAGE(X57,W57)/X6*365,"")</f>
        <v>169.62902661283263</v>
      </c>
      <c r="AW39" s="85"/>
    </row>
    <row r="40" spans="2:63">
      <c r="B40" s="75" t="s">
        <v>99</v>
      </c>
      <c r="C40" s="75">
        <v>201703</v>
      </c>
      <c r="D40" s="75">
        <v>201803</v>
      </c>
      <c r="E40" s="75">
        <v>201903</v>
      </c>
      <c r="F40" s="75">
        <v>202003</v>
      </c>
      <c r="G40" s="75">
        <v>202103</v>
      </c>
      <c r="H40" s="75">
        <v>202203</v>
      </c>
      <c r="I40" s="75">
        <v>202303</v>
      </c>
      <c r="J40" s="75">
        <v>202403</v>
      </c>
      <c r="K40" s="75">
        <v>202503</v>
      </c>
      <c r="L40" s="75">
        <v>202603</v>
      </c>
      <c r="N40" s="87" t="s">
        <v>99</v>
      </c>
      <c r="O40" s="87">
        <v>201703</v>
      </c>
      <c r="P40" s="87">
        <v>201803</v>
      </c>
      <c r="Q40" s="87">
        <v>201903</v>
      </c>
      <c r="R40" s="87">
        <v>202003</v>
      </c>
      <c r="S40" s="87">
        <v>202103</v>
      </c>
      <c r="T40" s="87">
        <v>202203</v>
      </c>
      <c r="U40" s="87">
        <v>202303</v>
      </c>
      <c r="V40" s="87">
        <v>202403</v>
      </c>
      <c r="W40" s="87">
        <v>202503</v>
      </c>
      <c r="X40" s="87">
        <v>202603</v>
      </c>
      <c r="Y40" s="85"/>
      <c r="Z40" s="87" t="s">
        <v>99</v>
      </c>
      <c r="AA40" s="87">
        <v>201703</v>
      </c>
      <c r="AB40" s="87">
        <v>201803</v>
      </c>
      <c r="AC40" s="87">
        <v>201903</v>
      </c>
      <c r="AD40" s="87">
        <v>202003</v>
      </c>
      <c r="AE40" s="87">
        <v>202103</v>
      </c>
      <c r="AF40" s="87">
        <v>202203</v>
      </c>
      <c r="AG40" s="87">
        <v>202303</v>
      </c>
      <c r="AH40" s="87">
        <v>202403</v>
      </c>
      <c r="AI40" s="87">
        <v>202503</v>
      </c>
      <c r="AJ40" s="87">
        <v>202603</v>
      </c>
      <c r="AK40" s="88"/>
      <c r="AL40" s="93" t="s">
        <v>447</v>
      </c>
      <c r="AM40" s="112" t="str">
        <f>""</f>
        <v/>
      </c>
      <c r="AN40" s="112">
        <f>IFERROR(AN37+AN38,"")</f>
        <v>415.19439955181645</v>
      </c>
      <c r="AO40" s="112">
        <f>IFERROR(AO37+AO38,"")</f>
        <v>361.25331049182557</v>
      </c>
      <c r="AP40" s="112">
        <f>IFERROR(AP37+AP38,"")</f>
        <v>483.17123982461806</v>
      </c>
      <c r="AQ40" s="112">
        <f>IFERROR(AQ37+AQ38,"")</f>
        <v>544.33508360484143</v>
      </c>
      <c r="AR40" s="112">
        <f>IFERROR(AR37+AR38,"")</f>
        <v>606.86468589374135</v>
      </c>
      <c r="AS40" s="112">
        <f>IFERROR(AS37+AS38,"")</f>
        <v>553.24932579071208</v>
      </c>
      <c r="AT40" s="112">
        <f>IFERROR(AT37+AT38,"")</f>
        <v>463.1205759670446</v>
      </c>
      <c r="AU40" s="112">
        <f>IFERROR(AU37+AU38,"")</f>
        <v>487.3658367619297</v>
      </c>
      <c r="AV40" s="112">
        <f>IFERROR(AV37+AV38,"")</f>
        <v>581.20521741324319</v>
      </c>
      <c r="AW40" s="85"/>
      <c r="AY40" s="85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</row>
    <row r="41" spans="2:63" ht="14.85">
      <c r="B41" s="76" t="s">
        <v>100</v>
      </c>
      <c r="C41" s="77">
        <f>'Raw BS'!B3</f>
        <v>0</v>
      </c>
      <c r="D41" s="77">
        <f>'Raw BS'!C3</f>
        <v>0</v>
      </c>
      <c r="E41" s="77">
        <f>'Raw BS'!D3</f>
        <v>0</v>
      </c>
      <c r="F41" s="77">
        <f>'Raw BS'!E3</f>
        <v>0</v>
      </c>
      <c r="G41" s="77">
        <f>'Raw BS'!F3</f>
        <v>0</v>
      </c>
      <c r="H41" s="77">
        <f>'Raw BS'!G3</f>
        <v>0</v>
      </c>
      <c r="I41" s="77">
        <f>'Raw BS'!H3</f>
        <v>0</v>
      </c>
      <c r="J41" s="77">
        <f>'Raw BS'!I3</f>
        <v>0</v>
      </c>
      <c r="K41" s="77">
        <f>'Raw BS'!J3</f>
        <v>0</v>
      </c>
      <c r="L41" s="77">
        <f>'Raw BS'!K3</f>
        <v>0</v>
      </c>
      <c r="N41" s="85" t="s">
        <v>101</v>
      </c>
      <c r="O41" s="91">
        <f>SUM(C43:C50)</f>
        <v>737.2</v>
      </c>
      <c r="P41" s="91">
        <f>SUM(D43:D50)</f>
        <v>812.6</v>
      </c>
      <c r="Q41" s="91">
        <f>SUM(E43:E50)</f>
        <v>898.68</v>
      </c>
      <c r="R41" s="91">
        <f>SUM(F43:F50)</f>
        <v>1147.22</v>
      </c>
      <c r="S41" s="91">
        <f>SUM(G43:G50)</f>
        <v>1401.86</v>
      </c>
      <c r="T41" s="91">
        <f>SUM(H43:H50)</f>
        <v>1483.85</v>
      </c>
      <c r="U41" s="91">
        <f>SUM(I43:I50)</f>
        <v>1404.11</v>
      </c>
      <c r="V41" s="91">
        <f>SUM(J43:J50)</f>
        <v>1375.1100000000001</v>
      </c>
      <c r="W41" s="91">
        <f>SUM(K43:K50)</f>
        <v>1330.24</v>
      </c>
      <c r="X41" s="91">
        <f>SUM(L43:L50)</f>
        <v>1312.7200000000003</v>
      </c>
      <c r="Y41" s="85"/>
      <c r="Z41" s="113" t="s">
        <v>448</v>
      </c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4"/>
      <c r="AL41" s="93" t="s">
        <v>449</v>
      </c>
      <c r="AM41" s="112" t="str">
        <f>""</f>
        <v/>
      </c>
      <c r="AN41" s="112">
        <f>IFERROR(AN40-AN39,"")</f>
        <v>192.59788873534751</v>
      </c>
      <c r="AO41" s="112">
        <f>IFERROR(AO40-AO39,"")</f>
        <v>177.52610932236647</v>
      </c>
      <c r="AP41" s="112">
        <f>IFERROR(AP40-AP39,"")</f>
        <v>260.85365794632492</v>
      </c>
      <c r="AQ41" s="112">
        <f>IFERROR(AQ40-AQ39,"")</f>
        <v>322.91451374269434</v>
      </c>
      <c r="AR41" s="112">
        <f>IFERROR(AR40-AR39,"")</f>
        <v>434.26584742609839</v>
      </c>
      <c r="AS41" s="112">
        <f>IFERROR(AS40-AS39,"")</f>
        <v>396.27275889473617</v>
      </c>
      <c r="AT41" s="112">
        <f>IFERROR(AT40-AT39,"")</f>
        <v>304.09264736652881</v>
      </c>
      <c r="AU41" s="112">
        <f>IFERROR(AU40-AU39,"")</f>
        <v>331.37859626498062</v>
      </c>
      <c r="AV41" s="112">
        <f>IFERROR(AV40-AV39,"")</f>
        <v>411.57619080041059</v>
      </c>
      <c r="AW41" s="85"/>
      <c r="AY41" s="85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</row>
    <row r="42" spans="2:63" ht="15" customHeight="1">
      <c r="B42" s="76" t="s">
        <v>101</v>
      </c>
      <c r="C42" s="78">
        <f>'Raw BS'!B4</f>
        <v>737.19</v>
      </c>
      <c r="D42" s="78">
        <f>'Raw BS'!C4</f>
        <v>812.6</v>
      </c>
      <c r="E42" s="78">
        <f>'Raw BS'!D4</f>
        <v>898.68</v>
      </c>
      <c r="F42" s="78">
        <f>'Raw BS'!E4</f>
        <v>1147.21</v>
      </c>
      <c r="G42" s="78">
        <f>'Raw BS'!F4</f>
        <v>1447.92</v>
      </c>
      <c r="H42" s="78">
        <f>'Raw BS'!G4</f>
        <v>1483.85</v>
      </c>
      <c r="I42" s="78">
        <f>'Raw BS'!H4</f>
        <v>1404.12</v>
      </c>
      <c r="J42" s="78">
        <f>'Raw BS'!I4</f>
        <v>1375.11</v>
      </c>
      <c r="K42" s="78">
        <f>'Raw BS'!J4</f>
        <v>1330.24</v>
      </c>
      <c r="L42" s="78">
        <f>'Raw BS'!K4</f>
        <v>1312.72</v>
      </c>
      <c r="N42" s="85" t="s">
        <v>450</v>
      </c>
      <c r="O42" s="91">
        <f>SUM(C52:C53,C55:C56)</f>
        <v>9.51</v>
      </c>
      <c r="P42" s="91">
        <f>SUM(D52:D53,D55:D56)</f>
        <v>9.2100000000000009</v>
      </c>
      <c r="Q42" s="91">
        <f>SUM(E52:E53,E55:E56)</f>
        <v>129.19999999999999</v>
      </c>
      <c r="R42" s="91">
        <f>SUM(F52:F53,F55:F56)</f>
        <v>134.38</v>
      </c>
      <c r="S42" s="91">
        <f>SUM(G52:G53,G55:G56)</f>
        <v>159.12</v>
      </c>
      <c r="T42" s="91">
        <f>SUM(H52:H53,H55:H56)</f>
        <v>0.28000000000000003</v>
      </c>
      <c r="U42" s="91">
        <f>SUM(I52:I53,I55:I56)</f>
        <v>0.16</v>
      </c>
      <c r="V42" s="91">
        <f>SUM(J52:J53,J55:J56)</f>
        <v>0.02</v>
      </c>
      <c r="W42" s="91">
        <f>SUM(K52:K53,K55:K56)</f>
        <v>0.02</v>
      </c>
      <c r="X42" s="91">
        <f>SUM(L52:L53,L55:L56)</f>
        <v>0.02</v>
      </c>
      <c r="Y42" s="85"/>
      <c r="Z42" s="85" t="s">
        <v>101</v>
      </c>
      <c r="AA42" s="91">
        <f>O41</f>
        <v>737.2</v>
      </c>
      <c r="AB42" s="91">
        <f>P41</f>
        <v>812.6</v>
      </c>
      <c r="AC42" s="91">
        <f>Q41</f>
        <v>898.68</v>
      </c>
      <c r="AD42" s="91">
        <f>R41</f>
        <v>1147.22</v>
      </c>
      <c r="AE42" s="91">
        <f>S41</f>
        <v>1401.86</v>
      </c>
      <c r="AF42" s="91">
        <f>T41</f>
        <v>1483.85</v>
      </c>
      <c r="AG42" s="91">
        <f>U41</f>
        <v>1404.11</v>
      </c>
      <c r="AH42" s="91">
        <f>V41</f>
        <v>1375.1100000000001</v>
      </c>
      <c r="AI42" s="91">
        <f>W41</f>
        <v>1330.24</v>
      </c>
      <c r="AJ42" s="91">
        <f>X41</f>
        <v>1312.7200000000003</v>
      </c>
      <c r="AK42" s="91"/>
      <c r="AL42" s="93" t="s">
        <v>451</v>
      </c>
      <c r="AM42" s="111">
        <f>IFERROR(SUM(O44:O48)/SUM(O57:O60),0)</f>
        <v>1.9063701892463256</v>
      </c>
      <c r="AN42" s="111">
        <f>IFERROR(SUM(P44:P48)/SUM(P57:P60),0)</f>
        <v>5.0407973937994868</v>
      </c>
      <c r="AO42" s="111">
        <f>IFERROR(SUM(Q44:Q48)/SUM(Q57:Q60),0)</f>
        <v>4.0531496062992129</v>
      </c>
      <c r="AP42" s="111">
        <f>IFERROR(SUM(R44:R48)/SUM(R57:R60),0)</f>
        <v>2.997085480717967</v>
      </c>
      <c r="AQ42" s="111">
        <f>IFERROR(SUM(S44:S48)/SUM(S57:S60),0)</f>
        <v>2.7457437901200108</v>
      </c>
      <c r="AR42" s="111">
        <f>IFERROR(SUM(T44:T48)/SUM(T57:T60),0)</f>
        <v>2.9855106587216778</v>
      </c>
      <c r="AS42" s="111">
        <f>IFERROR(SUM(U44:U48)/SUM(U57:U60),0)</f>
        <v>2.4835365853658535</v>
      </c>
      <c r="AT42" s="111">
        <f>IFERROR(SUM(V44:V48)/SUM(V57:V60),0)</f>
        <v>2.3635032537960949</v>
      </c>
      <c r="AU42" s="111">
        <f>IFERROR(SUM(W44:W48)/SUM(W57:W60),0)</f>
        <v>2.0458985654808108</v>
      </c>
      <c r="AV42" s="111">
        <f>IFERROR(SUM(X44:X48)/SUM(X57:X60),0)</f>
        <v>2.483904101857914</v>
      </c>
      <c r="AW42" s="85"/>
      <c r="AY42" s="85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</row>
    <row r="43" spans="2:63" ht="15" customHeight="1">
      <c r="B43" s="76" t="s">
        <v>103</v>
      </c>
      <c r="C43" s="78">
        <f>'Raw BS'!B5</f>
        <v>484.03</v>
      </c>
      <c r="D43" s="78">
        <f>'Raw BS'!C5</f>
        <v>572.44000000000005</v>
      </c>
      <c r="E43" s="78">
        <f>'Raw BS'!D5</f>
        <v>804.5</v>
      </c>
      <c r="F43" s="78">
        <f>'Raw BS'!E5</f>
        <v>815.2</v>
      </c>
      <c r="G43" s="78">
        <f>'Raw BS'!F5</f>
        <v>832.81</v>
      </c>
      <c r="H43" s="78">
        <f>'Raw BS'!G5</f>
        <v>924.49</v>
      </c>
      <c r="I43" s="78">
        <f>'Raw BS'!H5</f>
        <v>1196.1199999999999</v>
      </c>
      <c r="J43" s="78">
        <f>'Raw BS'!I5</f>
        <v>1125.2</v>
      </c>
      <c r="K43" s="78">
        <f>'Raw BS'!J5</f>
        <v>1211.01</v>
      </c>
      <c r="L43" s="78">
        <f>'Raw BS'!K5</f>
        <v>1135.9000000000001</v>
      </c>
      <c r="N43" s="85" t="s">
        <v>452</v>
      </c>
      <c r="O43" s="91">
        <f>SUM(C57:C62)</f>
        <v>31.49</v>
      </c>
      <c r="P43" s="91">
        <f>SUM(D57:D62)</f>
        <v>35.4</v>
      </c>
      <c r="Q43" s="91">
        <f>SUM(E57:E62)</f>
        <v>82.44</v>
      </c>
      <c r="R43" s="91">
        <f>SUM(F57:F62)</f>
        <v>127.36</v>
      </c>
      <c r="S43" s="91">
        <f>SUM(G57:G62)</f>
        <v>141.35</v>
      </c>
      <c r="T43" s="91">
        <f>SUM(H57:H62)</f>
        <v>186.26000000000002</v>
      </c>
      <c r="U43" s="91">
        <f>SUM(I57:I62)</f>
        <v>196.89999999999998</v>
      </c>
      <c r="V43" s="91">
        <f>SUM(J57:J62)</f>
        <v>153.15</v>
      </c>
      <c r="W43" s="91">
        <f>SUM(K57:K62)</f>
        <v>201.19</v>
      </c>
      <c r="X43" s="91">
        <f>SUM(L57:L62)</f>
        <v>224.10999999999999</v>
      </c>
      <c r="Y43" s="85"/>
      <c r="Z43" s="85" t="s">
        <v>453</v>
      </c>
      <c r="AA43" s="91">
        <f>O43</f>
        <v>31.49</v>
      </c>
      <c r="AB43" s="91">
        <f>P43</f>
        <v>35.4</v>
      </c>
      <c r="AC43" s="91">
        <f>Q43</f>
        <v>82.44</v>
      </c>
      <c r="AD43" s="91">
        <f>R43</f>
        <v>127.36</v>
      </c>
      <c r="AE43" s="91">
        <f>S43</f>
        <v>141.35</v>
      </c>
      <c r="AF43" s="91">
        <f>T43</f>
        <v>186.26000000000002</v>
      </c>
      <c r="AG43" s="91">
        <f>U43</f>
        <v>196.89999999999998</v>
      </c>
      <c r="AH43" s="91">
        <f>V43</f>
        <v>153.15</v>
      </c>
      <c r="AI43" s="91">
        <f>W43</f>
        <v>201.19</v>
      </c>
      <c r="AJ43" s="91">
        <f>X43</f>
        <v>224.10999999999999</v>
      </c>
      <c r="AK43" s="91"/>
      <c r="AL43" s="93" t="s">
        <v>454</v>
      </c>
      <c r="AM43" s="111">
        <f>IFERROR((SUM(O44:O48)-O44)/SUM(O57:O60),0)</f>
        <v>1.1888387967703318</v>
      </c>
      <c r="AN43" s="111">
        <f>IFERROR((SUM(P44:P48)-P44)/SUM(P57:P60),0)</f>
        <v>4.4521153804664406</v>
      </c>
      <c r="AO43" s="111">
        <f>IFERROR((SUM(Q44:Q48)-Q44)/SUM(Q57:Q60),0)</f>
        <v>3.3797621888173071</v>
      </c>
      <c r="AP43" s="111">
        <f>IFERROR((SUM(R44:R48)-R44)/SUM(R57:R60),0)</f>
        <v>2.2923760440732184</v>
      </c>
      <c r="AQ43" s="111">
        <f>IFERROR((SUM(S44:S48)-S44)/SUM(S57:S60),0)</f>
        <v>1.6725409672660578</v>
      </c>
      <c r="AR43" s="111">
        <f>IFERROR((SUM(T44:T48)-T44)/SUM(T57:T60),0)</f>
        <v>1.8984116059623637</v>
      </c>
      <c r="AS43" s="111">
        <f>IFERROR((SUM(U44:U48)-U44)/SUM(U57:U60),0)</f>
        <v>1.5060037523452157</v>
      </c>
      <c r="AT43" s="111">
        <f>IFERROR((SUM(V44:V48)-V44)/SUM(V57:V60),0)</f>
        <v>1.3653199566160517</v>
      </c>
      <c r="AU43" s="111">
        <f>IFERROR((SUM(W44:W48)-W44)/SUM(W57:W60),0)</f>
        <v>1.0491547123400906</v>
      </c>
      <c r="AV43" s="111">
        <f>IFERROR((SUM(X44:X48)-X44)/SUM(X57:X60),0)</f>
        <v>1.3834119692078473</v>
      </c>
      <c r="AW43" s="85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</row>
    <row r="44" spans="2:63" ht="15" customHeight="1">
      <c r="B44" s="76" t="s">
        <v>105</v>
      </c>
      <c r="C44" s="76">
        <f>'Raw BS'!B6</f>
        <v>249.98</v>
      </c>
      <c r="D44" s="76">
        <f>'Raw BS'!C6</f>
        <v>238.15</v>
      </c>
      <c r="E44" s="76">
        <f>'Raw BS'!D6</f>
        <v>92.39</v>
      </c>
      <c r="F44" s="76">
        <f>'Raw BS'!E6</f>
        <v>330.47</v>
      </c>
      <c r="G44" s="76">
        <f>'Raw BS'!F6</f>
        <v>567.5</v>
      </c>
      <c r="H44" s="76">
        <f>'Raw BS'!G6</f>
        <v>493.81</v>
      </c>
      <c r="I44" s="76">
        <f>'Raw BS'!H6</f>
        <v>147.44999999999999</v>
      </c>
      <c r="J44" s="78">
        <f>'Raw BS'!I6</f>
        <v>122.71</v>
      </c>
      <c r="K44" s="78">
        <f>'Raw BS'!J6</f>
        <v>30.67</v>
      </c>
      <c r="L44" s="78">
        <f>'Raw BS'!K6</f>
        <v>100.14</v>
      </c>
      <c r="N44" s="85" t="s">
        <v>292</v>
      </c>
      <c r="O44" s="91">
        <f>C65</f>
        <v>281.70999999999998</v>
      </c>
      <c r="P44" s="91">
        <f>D65</f>
        <v>272.86</v>
      </c>
      <c r="Q44" s="91">
        <f>E65</f>
        <v>338.66</v>
      </c>
      <c r="R44" s="91">
        <f>F65</f>
        <v>396.54</v>
      </c>
      <c r="S44" s="91">
        <f>G65</f>
        <v>538.34</v>
      </c>
      <c r="T44" s="91">
        <f>H65</f>
        <v>600.22</v>
      </c>
      <c r="U44" s="91">
        <f>I65</f>
        <v>625.23</v>
      </c>
      <c r="V44" s="91">
        <f>J65</f>
        <v>736.26</v>
      </c>
      <c r="W44" s="91">
        <f>K65</f>
        <v>988.74</v>
      </c>
      <c r="X44" s="91">
        <f>L65</f>
        <v>974.97</v>
      </c>
      <c r="Y44" s="85"/>
      <c r="Z44" s="85" t="s">
        <v>292</v>
      </c>
      <c r="AA44" s="91">
        <f>O44</f>
        <v>281.70999999999998</v>
      </c>
      <c r="AB44" s="91">
        <f>P44</f>
        <v>272.86</v>
      </c>
      <c r="AC44" s="91">
        <f>Q44</f>
        <v>338.66</v>
      </c>
      <c r="AD44" s="91">
        <f>R44</f>
        <v>396.54</v>
      </c>
      <c r="AE44" s="91">
        <f>S44</f>
        <v>538.34</v>
      </c>
      <c r="AF44" s="91">
        <f>T44</f>
        <v>600.22</v>
      </c>
      <c r="AG44" s="91">
        <f>U44</f>
        <v>625.23</v>
      </c>
      <c r="AH44" s="91">
        <f>V44</f>
        <v>736.26</v>
      </c>
      <c r="AI44" s="91">
        <f>W44</f>
        <v>988.74</v>
      </c>
      <c r="AJ44" s="91">
        <f>X44</f>
        <v>974.97</v>
      </c>
      <c r="AK44" s="91"/>
      <c r="AL44" s="93" t="s">
        <v>455</v>
      </c>
      <c r="AM44" s="111">
        <f>IFERROR(SUM(O46:O47)/SUM(O57:O60),0)</f>
        <v>6.1485952981330069E-2</v>
      </c>
      <c r="AN44" s="111">
        <f>IFERROR(SUM(P46:P47)/SUM(P57:P60),0)</f>
        <v>3.4023214170136566</v>
      </c>
      <c r="AO44" s="111">
        <f>IFERROR(SUM(Q46:Q47)/SUM(Q57:Q60),0)</f>
        <v>1.9918476099578464</v>
      </c>
      <c r="AP44" s="111">
        <f>IFERROR(SUM(R46:R47)/SUM(R57:R60),0)</f>
        <v>1.1603163319708549</v>
      </c>
      <c r="AQ44" s="111">
        <f>IFERROR(SUM(S46:S47)/SUM(S57:S60),0)</f>
        <v>0.63570033092779388</v>
      </c>
      <c r="AR44" s="111">
        <f>IFERROR(SUM(T46:T47)/SUM(T57:T60),0)</f>
        <v>0.68405991342618588</v>
      </c>
      <c r="AS44" s="111">
        <f>IFERROR(SUM(U46:U47)/SUM(U57:U60),0)</f>
        <v>0.29221388367729834</v>
      </c>
      <c r="AT44" s="111">
        <f>IFERROR(SUM(V46:V47)/SUM(V57:V60),0)</f>
        <v>0.21624186550976135</v>
      </c>
      <c r="AU44" s="111">
        <f>IFERROR(SUM(W46:W47)/SUM(W57:W60),0)</f>
        <v>0.11858221518795931</v>
      </c>
      <c r="AV44" s="111">
        <f>IFERROR(SUM(X46:X47)/SUM(X57:X60),0)</f>
        <v>0.33264103663905015</v>
      </c>
      <c r="AW44" s="85"/>
      <c r="AY44" s="85"/>
      <c r="AZ44" s="115"/>
      <c r="BA44" s="115"/>
      <c r="BB44" s="115"/>
      <c r="BC44" s="115"/>
      <c r="BD44" s="115"/>
      <c r="BE44" s="115"/>
      <c r="BF44" s="115"/>
      <c r="BG44" s="115"/>
      <c r="BH44" s="115"/>
      <c r="BI44" s="115"/>
      <c r="BJ44" s="91"/>
      <c r="BK44" s="95"/>
    </row>
    <row r="45" spans="2:63" ht="15" customHeight="1">
      <c r="B45" s="76" t="s">
        <v>106</v>
      </c>
      <c r="C45" s="76">
        <f>'Raw BS'!B7</f>
        <v>0</v>
      </c>
      <c r="D45" s="76">
        <f>'Raw BS'!C7</f>
        <v>0</v>
      </c>
      <c r="E45" s="76">
        <f>'Raw BS'!D7</f>
        <v>0</v>
      </c>
      <c r="F45" s="76">
        <f>'Raw BS'!E7</f>
        <v>0</v>
      </c>
      <c r="G45" s="76">
        <f>'Raw BS'!F7</f>
        <v>0</v>
      </c>
      <c r="H45" s="76">
        <f>'Raw BS'!G7</f>
        <v>64</v>
      </c>
      <c r="I45" s="76">
        <f>'Raw BS'!H7</f>
        <v>58.99</v>
      </c>
      <c r="J45" s="76">
        <f>'Raw BS'!I7</f>
        <v>69.290000000000006</v>
      </c>
      <c r="K45" s="76">
        <f>'Raw BS'!J7</f>
        <v>68.31</v>
      </c>
      <c r="L45" s="76">
        <f>'Raw BS'!K7</f>
        <v>67.8</v>
      </c>
      <c r="N45" s="85" t="s">
        <v>387</v>
      </c>
      <c r="O45" s="91">
        <f>C69</f>
        <v>315.32</v>
      </c>
      <c r="P45" s="91">
        <f>D69</f>
        <v>276.92</v>
      </c>
      <c r="Q45" s="91">
        <f>E69</f>
        <v>436.05</v>
      </c>
      <c r="R45" s="91">
        <f>F69</f>
        <v>390.14</v>
      </c>
      <c r="S45" s="91">
        <f>G69</f>
        <v>250.27</v>
      </c>
      <c r="T45" s="91">
        <f>H69</f>
        <v>495.43</v>
      </c>
      <c r="U45" s="91">
        <f>I69</f>
        <v>588.62</v>
      </c>
      <c r="V45" s="91">
        <f>J69</f>
        <v>642.30999999999995</v>
      </c>
      <c r="W45" s="91">
        <f>K69</f>
        <v>778.81</v>
      </c>
      <c r="X45" s="91">
        <f>L69</f>
        <v>828.58</v>
      </c>
      <c r="Y45" s="85"/>
      <c r="Z45" s="85" t="s">
        <v>387</v>
      </c>
      <c r="AA45" s="91">
        <f>O45</f>
        <v>315.32</v>
      </c>
      <c r="AB45" s="91">
        <f>P45</f>
        <v>276.92</v>
      </c>
      <c r="AC45" s="91">
        <f>Q45</f>
        <v>436.05</v>
      </c>
      <c r="AD45" s="91">
        <f>R45</f>
        <v>390.14</v>
      </c>
      <c r="AE45" s="91">
        <f>S45</f>
        <v>250.27</v>
      </c>
      <c r="AF45" s="91">
        <f>T45</f>
        <v>495.43</v>
      </c>
      <c r="AG45" s="91">
        <f>U45</f>
        <v>588.62</v>
      </c>
      <c r="AH45" s="91">
        <f>V45</f>
        <v>642.30999999999995</v>
      </c>
      <c r="AI45" s="91">
        <f>W45</f>
        <v>778.81</v>
      </c>
      <c r="AJ45" s="91">
        <f>X45</f>
        <v>828.58</v>
      </c>
      <c r="AK45" s="91"/>
      <c r="AL45" s="8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85"/>
    </row>
    <row r="46" spans="2:63" ht="15" customHeight="1">
      <c r="B46" s="76" t="s">
        <v>107</v>
      </c>
      <c r="C46" s="76">
        <f>'Raw BS'!B8</f>
        <v>3.19</v>
      </c>
      <c r="D46" s="76">
        <f>'Raw BS'!C8</f>
        <v>2.0099999999999998</v>
      </c>
      <c r="E46" s="76">
        <f>'Raw BS'!D8</f>
        <v>1.79</v>
      </c>
      <c r="F46" s="76">
        <f>'Raw BS'!E8</f>
        <v>1.55</v>
      </c>
      <c r="G46" s="76">
        <f>'Raw BS'!F8</f>
        <v>1.55</v>
      </c>
      <c r="H46" s="76">
        <f>'Raw BS'!G8</f>
        <v>1.55</v>
      </c>
      <c r="I46" s="76">
        <f>'Raw BS'!H8</f>
        <v>1.55</v>
      </c>
      <c r="J46" s="76">
        <f>'Raw BS'!I8</f>
        <v>57.91</v>
      </c>
      <c r="K46" s="76">
        <f>'Raw BS'!J8</f>
        <v>20.25</v>
      </c>
      <c r="L46" s="76">
        <f>'Raw BS'!K8</f>
        <v>8.8800000000000008</v>
      </c>
      <c r="N46" s="85" t="s">
        <v>456</v>
      </c>
      <c r="O46" s="91">
        <f>C68</f>
        <v>8</v>
      </c>
      <c r="P46" s="91">
        <f>D68</f>
        <v>895.55</v>
      </c>
      <c r="Q46" s="91">
        <f>E68</f>
        <v>800.75</v>
      </c>
      <c r="R46" s="91">
        <f>F68</f>
        <v>419.1</v>
      </c>
      <c r="S46" s="91">
        <f>G68</f>
        <v>236.43</v>
      </c>
      <c r="T46" s="91">
        <f>H68</f>
        <v>263.58</v>
      </c>
      <c r="U46" s="91">
        <f>I68</f>
        <v>1.54</v>
      </c>
      <c r="V46" s="91">
        <f>J68</f>
        <v>1.34</v>
      </c>
      <c r="W46" s="91">
        <f>K68</f>
        <v>0</v>
      </c>
      <c r="X46" s="91">
        <f>L68</f>
        <v>0</v>
      </c>
      <c r="Y46" s="85"/>
      <c r="Z46" s="85" t="s">
        <v>457</v>
      </c>
      <c r="AA46" s="91">
        <f>O48</f>
        <v>127.28999999999999</v>
      </c>
      <c r="AB46" s="91">
        <f>P48</f>
        <v>209.67000000000002</v>
      </c>
      <c r="AC46" s="91">
        <f>Q48</f>
        <v>261.95999999999998</v>
      </c>
      <c r="AD46" s="91">
        <f>R48</f>
        <v>246.87</v>
      </c>
      <c r="AE46" s="91">
        <f>S48</f>
        <v>269.83</v>
      </c>
      <c r="AF46" s="91">
        <f>T48</f>
        <v>175.04999999999998</v>
      </c>
      <c r="AG46" s="91">
        <f>U48</f>
        <v>187.72</v>
      </c>
      <c r="AH46" s="91">
        <f>V48</f>
        <v>205.25</v>
      </c>
      <c r="AI46" s="91">
        <f>W48</f>
        <v>144.29</v>
      </c>
      <c r="AJ46" s="91">
        <f>X48</f>
        <v>102.34</v>
      </c>
      <c r="AK46" s="91"/>
      <c r="AL46" s="4" t="s">
        <v>458</v>
      </c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</row>
    <row r="47" spans="2:63" ht="15" customHeight="1">
      <c r="B47" s="76" t="s">
        <v>108</v>
      </c>
      <c r="C47" s="76">
        <f>'Raw BS'!B9</f>
        <v>0</v>
      </c>
      <c r="D47" s="76">
        <f>'Raw BS'!C9</f>
        <v>0</v>
      </c>
      <c r="E47" s="76">
        <f>'Raw BS'!D9</f>
        <v>0</v>
      </c>
      <c r="F47" s="76">
        <f>'Raw BS'!E9</f>
        <v>0</v>
      </c>
      <c r="G47" s="76">
        <f>'Raw BS'!F9</f>
        <v>0</v>
      </c>
      <c r="H47" s="76">
        <f>'Raw BS'!G9</f>
        <v>0</v>
      </c>
      <c r="I47" s="76">
        <f>'Raw BS'!H9</f>
        <v>0</v>
      </c>
      <c r="J47" s="76">
        <f>'Raw BS'!I9</f>
        <v>0</v>
      </c>
      <c r="K47" s="76">
        <f>'Raw BS'!J9</f>
        <v>0</v>
      </c>
      <c r="L47" s="76">
        <f>'Raw BS'!K9</f>
        <v>0</v>
      </c>
      <c r="N47" s="85" t="s">
        <v>459</v>
      </c>
      <c r="O47" s="91">
        <f>SUM(C70:C71)</f>
        <v>16.14</v>
      </c>
      <c r="P47" s="91">
        <f>SUM(D70:D71)</f>
        <v>681.46</v>
      </c>
      <c r="Q47" s="91">
        <f>SUM(E70:E71)</f>
        <v>200.99</v>
      </c>
      <c r="R47" s="91">
        <f>SUM(F70:F71)</f>
        <v>233.81</v>
      </c>
      <c r="S47" s="91">
        <f>SUM(G70:G71)</f>
        <v>82.449999999999989</v>
      </c>
      <c r="T47" s="91">
        <f>SUM(H70:H71)</f>
        <v>114.11</v>
      </c>
      <c r="U47" s="91">
        <f>SUM(I70:I71)</f>
        <v>185.36</v>
      </c>
      <c r="V47" s="91">
        <f>SUM(J70:J71)</f>
        <v>158.16</v>
      </c>
      <c r="W47" s="91">
        <f>SUM(K70:K71)</f>
        <v>117.63</v>
      </c>
      <c r="X47" s="91">
        <f>SUM(L70:L71)</f>
        <v>294.70000000000005</v>
      </c>
      <c r="Y47" s="85"/>
      <c r="Z47" s="96" t="s">
        <v>460</v>
      </c>
      <c r="AA47" s="97">
        <f>SUM(AA42:AA46)</f>
        <v>1493.01</v>
      </c>
      <c r="AB47" s="97">
        <f>SUM(AB42:AB46)</f>
        <v>1607.4500000000003</v>
      </c>
      <c r="AC47" s="97">
        <f>SUM(AC42:AC46)</f>
        <v>2017.79</v>
      </c>
      <c r="AD47" s="97">
        <f>SUM(AD42:AD46)</f>
        <v>2308.1299999999997</v>
      </c>
      <c r="AE47" s="97">
        <f>SUM(AE42:AE46)</f>
        <v>2601.6499999999996</v>
      </c>
      <c r="AF47" s="97">
        <f>SUM(AF42:AF46)</f>
        <v>2940.81</v>
      </c>
      <c r="AG47" s="97">
        <f>SUM(AG42:AG46)</f>
        <v>3002.5799999999995</v>
      </c>
      <c r="AH47" s="97">
        <f>SUM(AH42:AH46)</f>
        <v>3112.0800000000004</v>
      </c>
      <c r="AI47" s="97">
        <f>SUM(AI42:AI46)</f>
        <v>3443.27</v>
      </c>
      <c r="AJ47" s="97">
        <f>SUM(AJ42:AJ46)</f>
        <v>3442.7200000000003</v>
      </c>
      <c r="AK47" s="98"/>
      <c r="AL47" s="93" t="s">
        <v>461</v>
      </c>
      <c r="AM47" s="111">
        <f>IFERROR((O54+O55+O58+O59)/SUM(O51:O52),0)</f>
        <v>9.2204116557437168E-2</v>
      </c>
      <c r="AN47" s="111">
        <f>IFERROR((P54+P55+P58+P59)/SUM(P51:P52),0)</f>
        <v>5.6199605237137559E-2</v>
      </c>
      <c r="AO47" s="111">
        <f>IFERROR((Q54+Q55+Q58+Q59)/SUM(Q51:Q52),0)</f>
        <v>7.6212541652194155E-2</v>
      </c>
      <c r="AP47" s="111">
        <f>IFERROR((R54+R55+R58+R59)/SUM(R51:R52),0)</f>
        <v>7.2700337764434006E-2</v>
      </c>
      <c r="AQ47" s="111">
        <f>IFERROR((S54+S55+S58+S59)/SUM(S51:S52),0)</f>
        <v>3.935732919278951E-2</v>
      </c>
      <c r="AR47" s="111">
        <f>IFERROR((T54+T55+T58+T59)/SUM(T51:T52),0)</f>
        <v>0.12939150094904925</v>
      </c>
      <c r="AS47" s="111">
        <f>IFERROR((U54+U55+U58+U59)/SUM(U51:U52),0)</f>
        <v>0.12635404262308547</v>
      </c>
      <c r="AT47" s="111">
        <f>IFERROR((V54+V55+V58+V59)/SUM(V51:V52),0)</f>
        <v>9.3331419431571194E-2</v>
      </c>
      <c r="AU47" s="111">
        <f>IFERROR((W54+W55+W58+W59)/SUM(W51:W52),0)</f>
        <v>0.17921806585352917</v>
      </c>
      <c r="AV47" s="111">
        <f>IFERROR((X54+X55+X58+X59)/SUM(X51:X52),0)</f>
        <v>0.18405190178991993</v>
      </c>
      <c r="AW47" s="85"/>
    </row>
    <row r="48" spans="2:63" ht="15" customHeight="1">
      <c r="B48" s="76" t="s">
        <v>109</v>
      </c>
      <c r="C48" s="76">
        <f>'Raw BS'!B10</f>
        <v>0</v>
      </c>
      <c r="D48" s="76">
        <f>'Raw BS'!C10</f>
        <v>0</v>
      </c>
      <c r="E48" s="76">
        <f>'Raw BS'!D10</f>
        <v>0</v>
      </c>
      <c r="F48" s="76">
        <f>'Raw BS'!E10</f>
        <v>0</v>
      </c>
      <c r="G48" s="76">
        <f>'Raw BS'!F10</f>
        <v>0</v>
      </c>
      <c r="H48" s="76">
        <f>'Raw BS'!G10</f>
        <v>0</v>
      </c>
      <c r="I48" s="76">
        <f>'Raw BS'!H10</f>
        <v>0</v>
      </c>
      <c r="J48" s="76">
        <f>'Raw BS'!I10</f>
        <v>0</v>
      </c>
      <c r="K48" s="76">
        <f>'Raw BS'!J10</f>
        <v>0</v>
      </c>
      <c r="L48" s="76">
        <f>'Raw BS'!K10</f>
        <v>0</v>
      </c>
      <c r="N48" s="85" t="s">
        <v>462</v>
      </c>
      <c r="O48" s="91">
        <f>SUM(C66,C72:C77)</f>
        <v>127.28999999999999</v>
      </c>
      <c r="P48" s="91">
        <f>SUM(D66,D72:D77)</f>
        <v>209.67000000000002</v>
      </c>
      <c r="Q48" s="91">
        <f>SUM(E66,E72:E77)</f>
        <v>261.95999999999998</v>
      </c>
      <c r="R48" s="91">
        <f>SUM(F66,F72:F77)</f>
        <v>246.87</v>
      </c>
      <c r="S48" s="91">
        <f>SUM(G66,G72:G77)</f>
        <v>269.83</v>
      </c>
      <c r="T48" s="91">
        <f>SUM(H66,H72:H77)</f>
        <v>175.04999999999998</v>
      </c>
      <c r="U48" s="91">
        <f>SUM(I66,I72:I77)</f>
        <v>187.72</v>
      </c>
      <c r="V48" s="91">
        <f>SUM(J66,J72:J77)</f>
        <v>205.25</v>
      </c>
      <c r="W48" s="91">
        <f>SUM(K66,K72:K77)</f>
        <v>144.29</v>
      </c>
      <c r="X48" s="91">
        <f>SUM(L66,L72:L77)</f>
        <v>102.34</v>
      </c>
      <c r="Y48" s="85"/>
      <c r="Z48" s="85"/>
      <c r="AA48" s="91"/>
      <c r="AB48" s="91"/>
      <c r="AC48" s="91"/>
      <c r="AD48" s="91"/>
      <c r="AE48" s="91"/>
      <c r="AF48" s="91"/>
      <c r="AG48" s="91"/>
      <c r="AH48" s="91"/>
      <c r="AI48" s="91"/>
      <c r="AJ48" s="91"/>
      <c r="AK48" s="91"/>
      <c r="AL48" s="93" t="s">
        <v>463</v>
      </c>
      <c r="AM48" s="111">
        <f>IFERROR((O54+O55+O58+O59)/((O54+O55+O58+O59)+SUM(O51:O52)),0)</f>
        <v>8.4420224351524242E-2</v>
      </c>
      <c r="AN48" s="111">
        <f>IFERROR((P54+P55+P58+P59)/((P54+P55+P58+P59)+SUM(P51:P52)),0)</f>
        <v>5.3209265519957888E-2</v>
      </c>
      <c r="AO48" s="111">
        <f>IFERROR((Q54+Q55+Q58+Q59)/((Q54+Q55+Q58+Q59)+SUM(Q51:Q52)),0)</f>
        <v>7.0815511530086042E-2</v>
      </c>
      <c r="AP48" s="111">
        <f>IFERROR((R54+R55+R58+R59)/((R54+R55+R58+R59)+SUM(R51:R52)),0)</f>
        <v>6.7773203013942795E-2</v>
      </c>
      <c r="AQ48" s="111">
        <f>IFERROR((S54+S55+S58+S59)/((S54+S55+S58+S59)+SUM(S51:S52)),0)</f>
        <v>3.786698576836528E-2</v>
      </c>
      <c r="AR48" s="111">
        <f>IFERROR((T54+T55+T58+T59)/((T54+T55+T58+T59)+SUM(T51:T52)),0)</f>
        <v>0.11456744701931888</v>
      </c>
      <c r="AS48" s="111">
        <f>IFERROR((U54+U55+U58+U59)/((U54+U55+U58+U59)+SUM(U51:U52)),0)</f>
        <v>0.11217968581959237</v>
      </c>
      <c r="AT48" s="111">
        <f>IFERROR((V54+V55+V58+V59)/((V54+V55+V58+V59)+SUM(V51:V52)),0)</f>
        <v>8.5364252570455434E-2</v>
      </c>
      <c r="AU48" s="111">
        <f>IFERROR((W54+W55+W58+W59)/((W54+W55+W58+W59)+SUM(W51:W52)),0)</f>
        <v>0.15198042757580163</v>
      </c>
      <c r="AV48" s="111">
        <f>IFERROR((X54+X55+X58+X59)/((X54+X55+X58+X59)+SUM(X51:X52)),0)</f>
        <v>0.15544242740684799</v>
      </c>
      <c r="AW48" s="85"/>
    </row>
    <row r="49" spans="2:49" ht="15" customHeight="1">
      <c r="B49" s="76" t="s">
        <v>110</v>
      </c>
      <c r="C49" s="76">
        <f>'Raw BS'!B11</f>
        <v>0</v>
      </c>
      <c r="D49" s="76">
        <f>'Raw BS'!C11</f>
        <v>0</v>
      </c>
      <c r="E49" s="76">
        <f>'Raw BS'!D11</f>
        <v>0</v>
      </c>
      <c r="F49" s="76">
        <f>'Raw BS'!E11</f>
        <v>0</v>
      </c>
      <c r="G49" s="76">
        <f>'Raw BS'!F11</f>
        <v>0</v>
      </c>
      <c r="H49" s="76">
        <f>'Raw BS'!G11</f>
        <v>0</v>
      </c>
      <c r="I49" s="76">
        <f>'Raw BS'!H11</f>
        <v>0</v>
      </c>
      <c r="J49" s="76">
        <f>'Raw BS'!I11</f>
        <v>0</v>
      </c>
      <c r="K49" s="76">
        <f>'Raw BS'!J11</f>
        <v>0</v>
      </c>
      <c r="L49" s="76">
        <f>'Raw BS'!K11</f>
        <v>0</v>
      </c>
      <c r="N49" s="96" t="s">
        <v>464</v>
      </c>
      <c r="O49" s="97">
        <f>SUM(O41:O48)</f>
        <v>1526.66</v>
      </c>
      <c r="P49" s="97">
        <f>SUM(P41:P48)</f>
        <v>3193.67</v>
      </c>
      <c r="Q49" s="97">
        <f>SUM(Q41:Q48)</f>
        <v>3148.7299999999996</v>
      </c>
      <c r="R49" s="97">
        <f>SUM(R41:R48)</f>
        <v>3095.4199999999996</v>
      </c>
      <c r="S49" s="97">
        <f>SUM(S41:S48)</f>
        <v>3079.6499999999996</v>
      </c>
      <c r="T49" s="97">
        <f>SUM(T41:T48)</f>
        <v>3318.7799999999997</v>
      </c>
      <c r="U49" s="97">
        <f>SUM(U41:U48)</f>
        <v>3189.64</v>
      </c>
      <c r="V49" s="97">
        <f>SUM(V41:V48)</f>
        <v>3271.6</v>
      </c>
      <c r="W49" s="97">
        <f>SUM(W41:W48)</f>
        <v>3560.92</v>
      </c>
      <c r="X49" s="97">
        <f>SUM(X41:X48)</f>
        <v>3737.4400000000005</v>
      </c>
      <c r="Y49" s="85"/>
      <c r="Z49" s="113" t="s">
        <v>465</v>
      </c>
      <c r="AA49" s="116"/>
      <c r="AB49" s="116"/>
      <c r="AC49" s="116"/>
      <c r="AD49" s="116"/>
      <c r="AE49" s="116"/>
      <c r="AF49" s="116"/>
      <c r="AG49" s="116"/>
      <c r="AH49" s="116"/>
      <c r="AI49" s="116"/>
      <c r="AJ49" s="116"/>
      <c r="AK49" s="98"/>
      <c r="AL49" s="93" t="s">
        <v>466</v>
      </c>
      <c r="AM49" s="111">
        <f>IFERROR((O54+O55+O58+O59)/O9,0)</f>
        <v>-2.7314763231197792</v>
      </c>
      <c r="AN49" s="111">
        <f>IFERROR((P54+P55+P58+P59)/P9,0)</f>
        <v>-2.1211097028587527</v>
      </c>
      <c r="AO49" s="111">
        <f>IFERROR((Q54+Q55+Q58+Q59)/Q9,0)</f>
        <v>13.382707774798861</v>
      </c>
      <c r="AP49" s="111">
        <f>IFERROR((R54+R55+R58+R59)/R9,0)</f>
        <v>4.5450728574956774</v>
      </c>
      <c r="AQ49" s="111">
        <f>IFERROR((S54+S55+S58+S59)/S9,0)</f>
        <v>0.71217268223637675</v>
      </c>
      <c r="AR49" s="111">
        <f>IFERROR((T54+T55+T58+T59)/T9,0)</f>
        <v>2.8162926018287626</v>
      </c>
      <c r="AS49" s="111">
        <f>IFERROR((U54+U55+U58+U59)/U9,0)</f>
        <v>-43.708806818180641</v>
      </c>
      <c r="AT49" s="111">
        <f>IFERROR((V54+V55+V58+V59)/V9,0)</f>
        <v>1.9209082468135428</v>
      </c>
      <c r="AU49" s="111">
        <f>IFERROR((W54+W55+W58+W59)/W9,0)</f>
        <v>1.4630888133786393</v>
      </c>
      <c r="AV49" s="111">
        <f>IFERROR((X54+X55+X58+X59)/X9,0)</f>
        <v>1.0691763398105989</v>
      </c>
      <c r="AW49" s="85"/>
    </row>
    <row r="50" spans="2:49" ht="15" customHeight="1">
      <c r="B50" s="76" t="s">
        <v>111</v>
      </c>
      <c r="C50" s="76">
        <f>'Raw BS'!B12</f>
        <v>0</v>
      </c>
      <c r="D50" s="76">
        <f>'Raw BS'!C12</f>
        <v>0</v>
      </c>
      <c r="E50" s="76">
        <f>'Raw BS'!D12</f>
        <v>0</v>
      </c>
      <c r="F50" s="76">
        <f>'Raw BS'!E12</f>
        <v>0</v>
      </c>
      <c r="G50" s="76">
        <f>'Raw BS'!F12</f>
        <v>0</v>
      </c>
      <c r="H50" s="76">
        <f>'Raw BS'!G12</f>
        <v>0</v>
      </c>
      <c r="I50" s="76">
        <f>'Raw BS'!H12</f>
        <v>0</v>
      </c>
      <c r="J50" s="76">
        <f>'Raw BS'!I12</f>
        <v>0</v>
      </c>
      <c r="K50" s="76">
        <f>'Raw BS'!J12</f>
        <v>0</v>
      </c>
      <c r="L50" s="76">
        <f>'Raw BS'!K12</f>
        <v>0</v>
      </c>
      <c r="N50" s="85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85"/>
      <c r="Z50" s="85" t="s">
        <v>467</v>
      </c>
      <c r="AA50" s="91">
        <f>O42</f>
        <v>9.51</v>
      </c>
      <c r="AB50" s="91">
        <f>P42</f>
        <v>9.2100000000000009</v>
      </c>
      <c r="AC50" s="91">
        <f>Q42</f>
        <v>129.19999999999999</v>
      </c>
      <c r="AD50" s="91">
        <f>R42</f>
        <v>134.38</v>
      </c>
      <c r="AE50" s="91">
        <f>S42</f>
        <v>159.12</v>
      </c>
      <c r="AF50" s="91">
        <f>T42</f>
        <v>0.28000000000000003</v>
      </c>
      <c r="AG50" s="91">
        <f>U42</f>
        <v>0.16</v>
      </c>
      <c r="AH50" s="91">
        <f>V42</f>
        <v>0.02</v>
      </c>
      <c r="AI50" s="91">
        <f>W42</f>
        <v>0.02</v>
      </c>
      <c r="AJ50" s="91">
        <f>X42</f>
        <v>0.02</v>
      </c>
      <c r="AK50" s="91"/>
      <c r="AL50" s="93" t="s">
        <v>468</v>
      </c>
      <c r="AM50" s="111">
        <f>IFERROR(((O54+O55+O58+O59)-O46-O47)/O9,0)</f>
        <v>-2.0590529247910876</v>
      </c>
      <c r="AN50" s="111">
        <f>IFERROR(((P54+P55+P58+P59)-P46-P47)/P9,0)</f>
        <v>20.087170821011124</v>
      </c>
      <c r="AO50" s="111">
        <f>IFERROR(((Q54+Q55+Q58+Q59)-Q46-Q47)/Q9,0)</f>
        <v>-53.758042895442102</v>
      </c>
      <c r="AP50" s="111">
        <f>IFERROR(((R54+R55+R58+R59)-R46-R47)/R9,0)</f>
        <v>-11.580143245245736</v>
      </c>
      <c r="AQ50" s="111">
        <f>IFERROR(((S54+S55+S58+S59)-S46-S47)/S9,0)</f>
        <v>-1.5445859872611469</v>
      </c>
      <c r="AR50" s="111">
        <f>IFERROR(((T54+T55+T58+T59)-T46-T47)/T9,0)</f>
        <v>-0.32327514546965908</v>
      </c>
      <c r="AS50" s="111">
        <f>IFERROR(((U54+U55+U58+U59)-U46-U47)/U9,0)</f>
        <v>-17.160511363635898</v>
      </c>
      <c r="AT50" s="111">
        <f>IFERROR(((V54+V55+V58+V59)-V46-V47)/V9,0)</f>
        <v>0.57457584198531386</v>
      </c>
      <c r="AU50" s="111">
        <f>IFERROR(((W54+W55+W58+W59)-W46-W47)/W9,0)</f>
        <v>1.0712239323072823</v>
      </c>
      <c r="AV50" s="111">
        <f>IFERROR(((X54+X55+X58+X59)-X46-X47)/X9,0)</f>
        <v>0.43919280018811863</v>
      </c>
      <c r="AW50" s="85"/>
    </row>
    <row r="51" spans="2:49" ht="15" customHeight="1">
      <c r="B51" s="76" t="s">
        <v>112</v>
      </c>
      <c r="C51" s="77">
        <f>'Raw BS'!B13</f>
        <v>0</v>
      </c>
      <c r="D51" s="77">
        <f>'Raw BS'!C13</f>
        <v>0</v>
      </c>
      <c r="E51" s="77">
        <f>'Raw BS'!D13</f>
        <v>0</v>
      </c>
      <c r="F51" s="77">
        <f>'Raw BS'!E13</f>
        <v>0</v>
      </c>
      <c r="G51" s="77">
        <f>'Raw BS'!F13</f>
        <v>0</v>
      </c>
      <c r="H51" s="77">
        <f>'Raw BS'!G13</f>
        <v>0</v>
      </c>
      <c r="I51" s="77">
        <f>'Raw BS'!H13</f>
        <v>0</v>
      </c>
      <c r="J51" s="77">
        <f>'Raw BS'!I13</f>
        <v>0</v>
      </c>
      <c r="K51" s="77">
        <f>'Raw BS'!J13</f>
        <v>0</v>
      </c>
      <c r="L51" s="77">
        <f>'Raw BS'!K13</f>
        <v>0</v>
      </c>
      <c r="N51" s="85" t="s">
        <v>469</v>
      </c>
      <c r="O51" s="91">
        <f>C88</f>
        <v>18.18</v>
      </c>
      <c r="P51" s="91">
        <f>D88</f>
        <v>14.07</v>
      </c>
      <c r="Q51" s="91">
        <f>E88</f>
        <v>14.08</v>
      </c>
      <c r="R51" s="91">
        <f>F88</f>
        <v>14.08</v>
      </c>
      <c r="S51" s="91">
        <f>G88</f>
        <v>14.08</v>
      </c>
      <c r="T51" s="91">
        <f>H88</f>
        <v>14.08</v>
      </c>
      <c r="U51" s="91">
        <f>I88</f>
        <v>14.08</v>
      </c>
      <c r="V51" s="91">
        <f>J88</f>
        <v>14.08</v>
      </c>
      <c r="W51" s="91">
        <f>K88</f>
        <v>14.08</v>
      </c>
      <c r="X51" s="91">
        <f>L88</f>
        <v>14.08</v>
      </c>
      <c r="Y51" s="85"/>
      <c r="Z51" s="85" t="s">
        <v>470</v>
      </c>
      <c r="AA51" s="91">
        <f>O46</f>
        <v>8</v>
      </c>
      <c r="AB51" s="91">
        <f>P46</f>
        <v>895.55</v>
      </c>
      <c r="AC51" s="91">
        <f>Q46</f>
        <v>800.75</v>
      </c>
      <c r="AD51" s="91">
        <f>R46</f>
        <v>419.1</v>
      </c>
      <c r="AE51" s="91">
        <f>S46</f>
        <v>236.43</v>
      </c>
      <c r="AF51" s="91">
        <f>T46</f>
        <v>263.58</v>
      </c>
      <c r="AG51" s="91">
        <f>U46</f>
        <v>1.54</v>
      </c>
      <c r="AH51" s="91">
        <f>V46</f>
        <v>1.34</v>
      </c>
      <c r="AI51" s="91">
        <f>W46</f>
        <v>0</v>
      </c>
      <c r="AJ51" s="91">
        <f>X46</f>
        <v>0</v>
      </c>
      <c r="AK51" s="91"/>
      <c r="AL51" s="93" t="s">
        <v>471</v>
      </c>
      <c r="AM51" s="111">
        <f>IFERROR(O11/O12,0)</f>
        <v>-23.636904761904759</v>
      </c>
      <c r="AN51" s="111">
        <f>IFERROR(P11/P12,0)</f>
        <v>-15.171036204744068</v>
      </c>
      <c r="AO51" s="111">
        <f>IFERROR(Q11/Q12,0)</f>
        <v>-6.974734042553183</v>
      </c>
      <c r="AP51" s="111">
        <f>IFERROR(R11/R12,0)</f>
        <v>-5.2458598726114642</v>
      </c>
      <c r="AQ51" s="111">
        <f>IFERROR(S11/S12,0)</f>
        <v>11.121093749999991</v>
      </c>
      <c r="AR51" s="111">
        <f>IFERROR(T11/T12,0)</f>
        <v>4.7675941080196322</v>
      </c>
      <c r="AS51" s="111">
        <f>IFERROR(U11/U12,0)</f>
        <v>-6.9601386481802541</v>
      </c>
      <c r="AT51" s="111">
        <f>IFERROR(V11/V12,0)</f>
        <v>-0.20697263901148263</v>
      </c>
      <c r="AU51" s="111">
        <f>IFERROR(W11/W12,0)</f>
        <v>8.3509272467903024</v>
      </c>
      <c r="AV51" s="111">
        <f>IFERROR(X11/X12,0)</f>
        <v>10.84742006964229</v>
      </c>
      <c r="AW51" s="85"/>
    </row>
    <row r="52" spans="2:49" ht="15" customHeight="1">
      <c r="B52" s="76" t="s">
        <v>113</v>
      </c>
      <c r="C52" s="76">
        <f>'Raw BS'!B14</f>
        <v>3.79</v>
      </c>
      <c r="D52" s="76">
        <f>'Raw BS'!C14</f>
        <v>3.72</v>
      </c>
      <c r="E52" s="76">
        <f>'Raw BS'!D14</f>
        <v>3.66</v>
      </c>
      <c r="F52" s="76">
        <f>'Raw BS'!E14</f>
        <v>3.6</v>
      </c>
      <c r="G52" s="76">
        <f>'Raw BS'!F14</f>
        <v>3.53</v>
      </c>
      <c r="H52" s="76">
        <f>'Raw BS'!G14</f>
        <v>0</v>
      </c>
      <c r="I52" s="76">
        <f>'Raw BS'!H14</f>
        <v>0</v>
      </c>
      <c r="J52" s="76">
        <f>'Raw BS'!I14</f>
        <v>0</v>
      </c>
      <c r="K52" s="76">
        <f>'Raw BS'!J14</f>
        <v>0</v>
      </c>
      <c r="L52" s="76">
        <f>'Raw BS'!K14</f>
        <v>0</v>
      </c>
      <c r="N52" s="85" t="s">
        <v>472</v>
      </c>
      <c r="O52" s="91">
        <f>C96</f>
        <v>1045.33</v>
      </c>
      <c r="P52" s="91">
        <f>D96</f>
        <v>2666.02</v>
      </c>
      <c r="Q52" s="91">
        <f>E96</f>
        <v>2605.83</v>
      </c>
      <c r="R52" s="91">
        <f>F96</f>
        <v>2517.27</v>
      </c>
      <c r="S52" s="91">
        <f>G96</f>
        <v>2542.75</v>
      </c>
      <c r="T52" s="91">
        <f>H96</f>
        <v>2604.33</v>
      </c>
      <c r="U52" s="91">
        <f>I96</f>
        <v>2421.2199999999998</v>
      </c>
      <c r="V52" s="91">
        <f>J96</f>
        <v>2424.2199999999998</v>
      </c>
      <c r="W52" s="91">
        <f>K96</f>
        <v>2436.5100000000002</v>
      </c>
      <c r="X52" s="91">
        <f>L96</f>
        <v>2703.36</v>
      </c>
      <c r="Y52" s="85"/>
      <c r="Z52" s="85" t="s">
        <v>473</v>
      </c>
      <c r="AA52" s="91">
        <f>O47</f>
        <v>16.14</v>
      </c>
      <c r="AB52" s="91">
        <f>P47</f>
        <v>681.46</v>
      </c>
      <c r="AC52" s="91">
        <f>Q47</f>
        <v>200.99</v>
      </c>
      <c r="AD52" s="91">
        <f>R47</f>
        <v>233.81</v>
      </c>
      <c r="AE52" s="91">
        <f>S47</f>
        <v>82.449999999999989</v>
      </c>
      <c r="AF52" s="91">
        <f>T47</f>
        <v>114.11</v>
      </c>
      <c r="AG52" s="91">
        <f>U47</f>
        <v>185.36</v>
      </c>
      <c r="AH52" s="91">
        <f>V47</f>
        <v>158.16</v>
      </c>
      <c r="AI52" s="91">
        <f>W47</f>
        <v>117.63</v>
      </c>
      <c r="AJ52" s="91">
        <f>X47</f>
        <v>294.70000000000005</v>
      </c>
      <c r="AK52" s="91"/>
      <c r="AL52" s="85"/>
      <c r="AM52" s="95"/>
      <c r="AN52" s="95"/>
      <c r="AO52" s="95"/>
      <c r="AP52" s="95"/>
      <c r="AQ52" s="95"/>
      <c r="AR52" s="95"/>
      <c r="AS52" s="95"/>
      <c r="AT52" s="95"/>
      <c r="AU52" s="95"/>
      <c r="AV52" s="95"/>
      <c r="AW52" s="85"/>
    </row>
    <row r="53" spans="2:49" ht="15" customHeight="1">
      <c r="B53" s="76" t="s">
        <v>114</v>
      </c>
      <c r="C53" s="76">
        <f>'Raw BS'!B15</f>
        <v>5.62</v>
      </c>
      <c r="D53" s="76">
        <f>'Raw BS'!C15</f>
        <v>5.4</v>
      </c>
      <c r="E53" s="76">
        <f>'Raw BS'!D15</f>
        <v>5.46</v>
      </c>
      <c r="F53" s="76">
        <f>'Raw BS'!E15</f>
        <v>6.27</v>
      </c>
      <c r="G53" s="76">
        <f>'Raw BS'!F15</f>
        <v>5.93</v>
      </c>
      <c r="H53" s="76">
        <f>'Raw BS'!G15</f>
        <v>0</v>
      </c>
      <c r="I53" s="76">
        <f>'Raw BS'!H15</f>
        <v>0</v>
      </c>
      <c r="J53" s="76">
        <f>'Raw BS'!I15</f>
        <v>0</v>
      </c>
      <c r="K53" s="76">
        <f>'Raw BS'!J15</f>
        <v>0</v>
      </c>
      <c r="L53" s="76">
        <f>'Raw BS'!K15</f>
        <v>0</v>
      </c>
      <c r="N53" s="85" t="s">
        <v>9</v>
      </c>
      <c r="O53" s="91">
        <f>C102</f>
        <v>0</v>
      </c>
      <c r="P53" s="91">
        <f>D102</f>
        <v>0</v>
      </c>
      <c r="Q53" s="91">
        <f>E102</f>
        <v>0</v>
      </c>
      <c r="R53" s="91">
        <f>F102</f>
        <v>0</v>
      </c>
      <c r="S53" s="91">
        <f>G102</f>
        <v>0</v>
      </c>
      <c r="T53" s="91">
        <f>H102</f>
        <v>0</v>
      </c>
      <c r="U53" s="91">
        <f>I102</f>
        <v>0</v>
      </c>
      <c r="V53" s="91">
        <f>J102</f>
        <v>0</v>
      </c>
      <c r="W53" s="91">
        <f>K102</f>
        <v>0</v>
      </c>
      <c r="X53" s="91">
        <f>L102</f>
        <v>0</v>
      </c>
      <c r="Y53" s="85"/>
      <c r="Z53" s="96" t="s">
        <v>474</v>
      </c>
      <c r="AA53" s="97">
        <f>SUM(AA50:AA52)</f>
        <v>33.65</v>
      </c>
      <c r="AB53" s="97">
        <f>SUM(AB50:AB52)</f>
        <v>1586.22</v>
      </c>
      <c r="AC53" s="97">
        <f>SUM(AC50:AC52)</f>
        <v>1130.94</v>
      </c>
      <c r="AD53" s="97">
        <f>SUM(AD50:AD52)</f>
        <v>787.29</v>
      </c>
      <c r="AE53" s="97">
        <f>SUM(AE50:AE52)</f>
        <v>478</v>
      </c>
      <c r="AF53" s="97">
        <f>SUM(AF50:AF52)</f>
        <v>377.96999999999997</v>
      </c>
      <c r="AG53" s="97">
        <f>SUM(AG50:AG52)</f>
        <v>187.06</v>
      </c>
      <c r="AH53" s="97">
        <f>SUM(AH50:AH52)</f>
        <v>159.52000000000001</v>
      </c>
      <c r="AI53" s="97">
        <f>SUM(AI50:AI52)</f>
        <v>117.64999999999999</v>
      </c>
      <c r="AJ53" s="97">
        <f>SUM(AJ50:AJ52)</f>
        <v>294.72000000000003</v>
      </c>
      <c r="AK53" s="98"/>
      <c r="AL53" s="4" t="s">
        <v>475</v>
      </c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</row>
    <row r="54" spans="2:49" ht="15" customHeight="1">
      <c r="B54" s="76" t="s">
        <v>115</v>
      </c>
      <c r="C54" s="77">
        <f>'Raw BS'!B16</f>
        <v>0</v>
      </c>
      <c r="D54" s="77">
        <f>'Raw BS'!C16</f>
        <v>0</v>
      </c>
      <c r="E54" s="77">
        <f>'Raw BS'!D16</f>
        <v>0</v>
      </c>
      <c r="F54" s="77">
        <f>'Raw BS'!E16</f>
        <v>0</v>
      </c>
      <c r="G54" s="77">
        <f>'Raw BS'!F16</f>
        <v>0</v>
      </c>
      <c r="H54" s="77">
        <f>'Raw BS'!G16</f>
        <v>0</v>
      </c>
      <c r="I54" s="77">
        <f>'Raw BS'!H16</f>
        <v>0</v>
      </c>
      <c r="J54" s="77">
        <f>'Raw BS'!I16</f>
        <v>0</v>
      </c>
      <c r="K54" s="77">
        <f>'Raw BS'!J16</f>
        <v>0</v>
      </c>
      <c r="L54" s="77">
        <f>'Raw BS'!K16</f>
        <v>0</v>
      </c>
      <c r="N54" s="85" t="s">
        <v>476</v>
      </c>
      <c r="O54" s="91">
        <f>C105</f>
        <v>0.44</v>
      </c>
      <c r="P54" s="91">
        <f>D105</f>
        <v>0.33</v>
      </c>
      <c r="Q54" s="91">
        <f>E105</f>
        <v>0</v>
      </c>
      <c r="R54" s="91">
        <f>F105</f>
        <v>0</v>
      </c>
      <c r="S54" s="91">
        <f>G105</f>
        <v>0</v>
      </c>
      <c r="T54" s="91">
        <f>H105</f>
        <v>89.01</v>
      </c>
      <c r="U54" s="91">
        <f>I105</f>
        <v>63.65</v>
      </c>
      <c r="V54" s="91">
        <f>J105</f>
        <v>38.22</v>
      </c>
      <c r="W54" s="91">
        <f>K105</f>
        <v>60.81</v>
      </c>
      <c r="X54" s="91">
        <f>L105</f>
        <v>39.119999999999997</v>
      </c>
      <c r="Y54" s="85"/>
      <c r="Z54" s="96" t="s">
        <v>142</v>
      </c>
      <c r="AA54" s="97">
        <f>AA47+AA53</f>
        <v>1526.66</v>
      </c>
      <c r="AB54" s="97">
        <f>AB47+AB53</f>
        <v>3193.67</v>
      </c>
      <c r="AC54" s="97">
        <f>AC47+AC53</f>
        <v>3148.73</v>
      </c>
      <c r="AD54" s="97">
        <f>AD47+AD53</f>
        <v>3095.4199999999996</v>
      </c>
      <c r="AE54" s="97">
        <f>AE47+AE53</f>
        <v>3079.6499999999996</v>
      </c>
      <c r="AF54" s="97">
        <f>AF47+AF53</f>
        <v>3318.7799999999997</v>
      </c>
      <c r="AG54" s="97">
        <f>AG47+AG53</f>
        <v>3189.6399999999994</v>
      </c>
      <c r="AH54" s="97">
        <f>AH47+AH53</f>
        <v>3271.6000000000004</v>
      </c>
      <c r="AI54" s="97">
        <f>AI47+AI53</f>
        <v>3560.92</v>
      </c>
      <c r="AJ54" s="97">
        <f>AJ47+AJ53</f>
        <v>3737.4400000000005</v>
      </c>
      <c r="AK54" s="98"/>
      <c r="AL54" s="93" t="s">
        <v>477</v>
      </c>
      <c r="AM54" s="111" t="str">
        <f>""</f>
        <v/>
      </c>
      <c r="AN54" s="111">
        <f>IFERROR(P3/AVERAGE(SUM(P44:P48)-SUM(P57:P60),SUM(O44:O48)-SUM(O57:O60)),"")</f>
        <v>0.73096733668341707</v>
      </c>
      <c r="AO54" s="111">
        <f>IFERROR(Q3/AVERAGE(SUM(Q44:Q48)-SUM(Q57:Q60),SUM(P44:P48)-SUM(P57:P60)),"")</f>
        <v>0.69242820762577584</v>
      </c>
      <c r="AP54" s="111">
        <f>IFERROR(R3/AVERAGE(SUM(R44:R48)-SUM(R57:R60),SUM(Q44:Q48)-SUM(Q57:Q60)),"")</f>
        <v>0.83009119112531726</v>
      </c>
      <c r="AQ54" s="111">
        <f>IFERROR(S3/AVERAGE(SUM(S44:S48)-SUM(S57:S60),SUM(R44:R48)-SUM(R57:R60)),"")</f>
        <v>1.235473577866024</v>
      </c>
      <c r="AR54" s="111">
        <f>IFERROR(T3/AVERAGE(SUM(T44:T48)-SUM(T57:T60),SUM(S44:S48)-SUM(S57:S60)),"")</f>
        <v>1.2878861640195542</v>
      </c>
      <c r="AS54" s="111">
        <f>IFERROR(U3/AVERAGE(SUM(U44:U48)-SUM(U57:U60),SUM(T44:T48)-SUM(T57:T60)),"")</f>
        <v>1.3133835012933166</v>
      </c>
      <c r="AT54" s="111">
        <f>IFERROR(V3/AVERAGE(SUM(V44:V48)-SUM(V57:V60),SUM(U44:U48)-SUM(U57:U60)),"")</f>
        <v>1.8265825569556788</v>
      </c>
      <c r="AU54" s="111">
        <f>IFERROR(W3/AVERAGE(SUM(W44:W48)-SUM(W57:W60),SUM(V44:V48)-SUM(V57:V60)),"")</f>
        <v>2.0663168919646444</v>
      </c>
      <c r="AV54" s="111">
        <f>IFERROR(X3/AVERAGE(SUM(X44:X48)-SUM(X57:X60),SUM(W44:W48)-SUM(W57:W60)),"")</f>
        <v>1.8722020279318923</v>
      </c>
      <c r="AW54" s="85"/>
    </row>
    <row r="55" spans="2:49" ht="15" customHeight="1">
      <c r="B55" s="76" t="s">
        <v>116</v>
      </c>
      <c r="C55" s="78">
        <f>'Raw BS'!B17</f>
        <v>0</v>
      </c>
      <c r="D55" s="78">
        <f>'Raw BS'!C17</f>
        <v>0</v>
      </c>
      <c r="E55" s="78">
        <f>'Raw BS'!D17</f>
        <v>0</v>
      </c>
      <c r="F55" s="78">
        <f>'Raw BS'!E17</f>
        <v>0</v>
      </c>
      <c r="G55" s="78">
        <f>'Raw BS'!F17</f>
        <v>0</v>
      </c>
      <c r="H55" s="76">
        <f>'Raw BS'!G17</f>
        <v>0</v>
      </c>
      <c r="I55" s="76">
        <f>'Raw BS'!H17</f>
        <v>0</v>
      </c>
      <c r="J55" s="76">
        <f>'Raw BS'!I17</f>
        <v>0</v>
      </c>
      <c r="K55" s="76">
        <f>'Raw BS'!J17</f>
        <v>0</v>
      </c>
      <c r="L55" s="76">
        <f>'Raw BS'!K17</f>
        <v>0</v>
      </c>
      <c r="N55" s="85" t="s">
        <v>161</v>
      </c>
      <c r="O55" s="91">
        <f>C106</f>
        <v>0</v>
      </c>
      <c r="P55" s="91">
        <f>D106</f>
        <v>0</v>
      </c>
      <c r="Q55" s="91">
        <f>E106</f>
        <v>0</v>
      </c>
      <c r="R55" s="91">
        <f>F106</f>
        <v>0</v>
      </c>
      <c r="S55" s="91">
        <f>G106</f>
        <v>0</v>
      </c>
      <c r="T55" s="91">
        <f>H106</f>
        <v>4.22</v>
      </c>
      <c r="U55" s="91">
        <f>I106</f>
        <v>5.16</v>
      </c>
      <c r="V55" s="91">
        <f>J106</f>
        <v>4.21</v>
      </c>
      <c r="W55" s="91">
        <f>K106</f>
        <v>4.6100000000000003</v>
      </c>
      <c r="X55" s="91">
        <f>L106</f>
        <v>26</v>
      </c>
      <c r="Y55" s="85"/>
      <c r="Z55" s="85"/>
      <c r="AA55" s="91"/>
      <c r="AB55" s="91"/>
      <c r="AC55" s="91"/>
      <c r="AD55" s="91"/>
      <c r="AE55" s="91"/>
      <c r="AF55" s="91"/>
      <c r="AG55" s="91"/>
      <c r="AH55" s="91"/>
      <c r="AI55" s="91"/>
      <c r="AJ55" s="91"/>
      <c r="AK55" s="91"/>
      <c r="AL55" s="93" t="s">
        <v>478</v>
      </c>
      <c r="AM55" s="111" t="str">
        <f>""</f>
        <v/>
      </c>
      <c r="AN55" s="111">
        <f>IFERROR(P3/AVERAGE(P41,O41),"")</f>
        <v>1.0512195121951218</v>
      </c>
      <c r="AO55" s="111">
        <f>IFERROR(Q3/AVERAGE(Q41,P41),"")</f>
        <v>1.3791430975643961</v>
      </c>
      <c r="AP55" s="111">
        <f>IFERROR(R3/AVERAGE(R41,Q41),"")</f>
        <v>1.0789481401828047</v>
      </c>
      <c r="AQ55" s="111">
        <f>IFERROR(S3/AVERAGE(S41,R41),"")</f>
        <v>0.96908688624915662</v>
      </c>
      <c r="AR55" s="111">
        <f>IFERROR(T3/AVERAGE(T41,S41),"")</f>
        <v>0.88008150507154215</v>
      </c>
      <c r="AS55" s="111">
        <f>IFERROR(U3/AVERAGE(U41,T41),"")</f>
        <v>0.93008213410158036</v>
      </c>
      <c r="AT55" s="111">
        <f>IFERROR(V3/AVERAGE(V41,U41),"")</f>
        <v>1.2846122293305313</v>
      </c>
      <c r="AU55" s="111">
        <f>IFERROR(W3/AVERAGE(W41,V41),"")</f>
        <v>1.5605892028757828</v>
      </c>
      <c r="AV55" s="111">
        <f>IFERROR(X3/AVERAGE(X41,W41),"")</f>
        <v>1.6662000181614554</v>
      </c>
      <c r="AW55" s="85"/>
    </row>
    <row r="56" spans="2:49" ht="15" customHeight="1">
      <c r="B56" s="76" t="s">
        <v>117</v>
      </c>
      <c r="C56" s="76">
        <f>'Raw BS'!B18</f>
        <v>0.1</v>
      </c>
      <c r="D56" s="76">
        <f>'Raw BS'!C18</f>
        <v>0.09</v>
      </c>
      <c r="E56" s="76">
        <f>'Raw BS'!D18</f>
        <v>120.08</v>
      </c>
      <c r="F56" s="76">
        <f>'Raw BS'!E18</f>
        <v>124.51</v>
      </c>
      <c r="G56" s="76">
        <f>'Raw BS'!F18</f>
        <v>149.66</v>
      </c>
      <c r="H56" s="78">
        <f>'Raw BS'!G18</f>
        <v>0.28000000000000003</v>
      </c>
      <c r="I56" s="78">
        <f>'Raw BS'!H18</f>
        <v>0.16</v>
      </c>
      <c r="J56" s="78">
        <f>'Raw BS'!I18</f>
        <v>0.02</v>
      </c>
      <c r="K56" s="78">
        <f>'Raw BS'!J18</f>
        <v>0.02</v>
      </c>
      <c r="L56" s="78">
        <f>'Raw BS'!K18</f>
        <v>0.02</v>
      </c>
      <c r="N56" s="85" t="s">
        <v>479</v>
      </c>
      <c r="O56" s="91">
        <f>SUM(C107:C112)</f>
        <v>69.97999999999999</v>
      </c>
      <c r="P56" s="91">
        <f>SUM(D107:D112)</f>
        <v>49.739999999999995</v>
      </c>
      <c r="Q56" s="91">
        <f>SUM(E107:E112)</f>
        <v>26.790000000000003</v>
      </c>
      <c r="R56" s="91">
        <f>SUM(F107:F112)</f>
        <v>28.200000000000003</v>
      </c>
      <c r="S56" s="91">
        <f>SUM(G107:G112)</f>
        <v>48.8</v>
      </c>
      <c r="T56" s="91">
        <f>SUM(H107:H112)</f>
        <v>44.65</v>
      </c>
      <c r="U56" s="91">
        <f>SUM(I107:I112)</f>
        <v>43.01</v>
      </c>
      <c r="V56" s="91">
        <f>SUM(J107:J112)</f>
        <v>36.669999999999995</v>
      </c>
      <c r="W56" s="91">
        <f>SUM(K107:K112)</f>
        <v>38.5</v>
      </c>
      <c r="X56" s="91">
        <f>SUM(L107:L112)</f>
        <v>68.940000000000012</v>
      </c>
      <c r="Y56" s="85"/>
      <c r="Z56" s="113" t="s">
        <v>480</v>
      </c>
      <c r="AA56" s="116"/>
      <c r="AB56" s="116"/>
      <c r="AC56" s="116"/>
      <c r="AD56" s="116"/>
      <c r="AE56" s="116"/>
      <c r="AF56" s="116"/>
      <c r="AG56" s="116"/>
      <c r="AH56" s="116"/>
      <c r="AI56" s="116"/>
      <c r="AJ56" s="116"/>
      <c r="AK56" s="98"/>
      <c r="AL56" s="93" t="s">
        <v>481</v>
      </c>
      <c r="AM56" s="111" t="str">
        <f>""</f>
        <v/>
      </c>
      <c r="AN56" s="111">
        <f>IFERROR(P6/AVERAGE(P44,O44),"")</f>
        <v>1.2919919937969959</v>
      </c>
      <c r="AO56" s="111">
        <f>IFERROR(Q6/AVERAGE(Q44,P44),"")</f>
        <v>1.4542451596023025</v>
      </c>
      <c r="AP56" s="111">
        <f>IFERROR(R6/AVERAGE(R44,Q44),"")</f>
        <v>1.0532100108813929</v>
      </c>
      <c r="AQ56" s="111">
        <f>IFERROR(S6/AVERAGE(S44,R44),"")</f>
        <v>0.81163357864110897</v>
      </c>
      <c r="AR56" s="111">
        <f>IFERROR(T6/AVERAGE(T44,S44),"")</f>
        <v>0.73044898819561566</v>
      </c>
      <c r="AS56" s="111">
        <f>IFERROR(U6/AVERAGE(U44,T44),"")</f>
        <v>0.89914725202986667</v>
      </c>
      <c r="AT56" s="111">
        <f>IFERROR(V6/AVERAGE(V44,U44),"")</f>
        <v>1.0821967109563788</v>
      </c>
      <c r="AU56" s="111">
        <f>IFERROR(W6/AVERAGE(W44,V44),"")</f>
        <v>1.0013565217391305</v>
      </c>
      <c r="AV56" s="111">
        <f>IFERROR(X6/AVERAGE(X44,W44),"")</f>
        <v>0.8147740756017946</v>
      </c>
      <c r="AW56" s="85"/>
    </row>
    <row r="57" spans="2:49">
      <c r="B57" s="76" t="s">
        <v>118</v>
      </c>
      <c r="C57" s="76">
        <f>'Raw BS'!B19</f>
        <v>0.09</v>
      </c>
      <c r="D57" s="76">
        <f>'Raw BS'!C19</f>
        <v>7.0000000000000007E-2</v>
      </c>
      <c r="E57" s="76">
        <f>'Raw BS'!D19</f>
        <v>0.06</v>
      </c>
      <c r="F57" s="76">
        <f>'Raw BS'!E19</f>
        <v>0.08</v>
      </c>
      <c r="G57" s="76">
        <f>'Raw BS'!F19</f>
        <v>7.0000000000000007E-2</v>
      </c>
      <c r="H57" s="76">
        <f>'Raw BS'!G19</f>
        <v>0.12</v>
      </c>
      <c r="I57" s="76">
        <f>'Raw BS'!H19</f>
        <v>0.13</v>
      </c>
      <c r="J57" s="76">
        <f>'Raw BS'!I19</f>
        <v>0.13</v>
      </c>
      <c r="K57" s="76">
        <f>'Raw BS'!J19</f>
        <v>0.14000000000000001</v>
      </c>
      <c r="L57" s="76">
        <f>'Raw BS'!K19</f>
        <v>0.11</v>
      </c>
      <c r="N57" s="85" t="s">
        <v>293</v>
      </c>
      <c r="O57" s="91">
        <f>C117</f>
        <v>210.73</v>
      </c>
      <c r="P57" s="91">
        <f>D117</f>
        <v>226.23</v>
      </c>
      <c r="Q57" s="91">
        <f>E117</f>
        <v>221.41</v>
      </c>
      <c r="R57" s="91">
        <f>F117</f>
        <v>250.22</v>
      </c>
      <c r="S57" s="91">
        <f>G117</f>
        <v>210.08</v>
      </c>
      <c r="T57" s="91">
        <f>H117</f>
        <v>183.19</v>
      </c>
      <c r="U57" s="91">
        <f>I117</f>
        <v>290.69</v>
      </c>
      <c r="V57" s="91">
        <f>J117</f>
        <v>351.26</v>
      </c>
      <c r="W57" s="91">
        <f>K117</f>
        <v>386.94</v>
      </c>
      <c r="X57" s="91">
        <f>L117</f>
        <v>356.63</v>
      </c>
      <c r="Y57" s="85"/>
      <c r="Z57" s="85" t="s">
        <v>482</v>
      </c>
      <c r="AA57" s="91">
        <f>O56</f>
        <v>69.97999999999999</v>
      </c>
      <c r="AB57" s="91">
        <f>P56</f>
        <v>49.739999999999995</v>
      </c>
      <c r="AC57" s="91">
        <f>Q56</f>
        <v>26.790000000000003</v>
      </c>
      <c r="AD57" s="91">
        <f>R56</f>
        <v>28.200000000000003</v>
      </c>
      <c r="AE57" s="91">
        <f>S56</f>
        <v>48.8</v>
      </c>
      <c r="AF57" s="91">
        <f>T56</f>
        <v>44.65</v>
      </c>
      <c r="AG57" s="91">
        <f>U56</f>
        <v>43.01</v>
      </c>
      <c r="AH57" s="91">
        <f>V56</f>
        <v>36.669999999999995</v>
      </c>
      <c r="AI57" s="91">
        <f>W56</f>
        <v>38.5</v>
      </c>
      <c r="AJ57" s="91">
        <f>X56</f>
        <v>68.940000000000012</v>
      </c>
      <c r="AK57" s="91"/>
      <c r="AL57" s="93" t="s">
        <v>483</v>
      </c>
      <c r="AM57" s="111" t="str">
        <f>""</f>
        <v/>
      </c>
      <c r="AN57" s="111">
        <f>IFERROR(P3/AVERAGE(P45,O45),"")</f>
        <v>2.750878022423342</v>
      </c>
      <c r="AO57" s="111">
        <f>IFERROR(Q3/AVERAGE(Q45,P45),"")</f>
        <v>3.3102374573965241</v>
      </c>
      <c r="AP57" s="111">
        <f>IFERROR(R3/AVERAGE(R45,Q45),"")</f>
        <v>2.6718067272661252</v>
      </c>
      <c r="AQ57" s="111">
        <f>IFERROR(S3/AVERAGE(S45,R45),"")</f>
        <v>3.8573413906716016</v>
      </c>
      <c r="AR57" s="111">
        <f>IFERROR(T3/AVERAGE(T45,S45),"")</f>
        <v>3.4057395735550484</v>
      </c>
      <c r="AS57" s="111">
        <f>IFERROR(U3/AVERAGE(U45,T45),"")</f>
        <v>2.4777823901111571</v>
      </c>
      <c r="AT57" s="111">
        <f>IFERROR(V3/AVERAGE(V45,U45),"")</f>
        <v>2.9004248819997889</v>
      </c>
      <c r="AU57" s="111">
        <f>IFERROR(W3/AVERAGE(W45,V45),"")</f>
        <v>2.9708539743301059</v>
      </c>
      <c r="AV57" s="111">
        <f>IFERROR(X3/AVERAGE(X45,W45),"")</f>
        <v>2.7396587013730334</v>
      </c>
      <c r="AW57" s="85"/>
    </row>
    <row r="58" spans="2:49" ht="15" customHeight="1">
      <c r="B58" s="76" t="s">
        <v>119</v>
      </c>
      <c r="C58" s="76">
        <f>'Raw BS'!B20</f>
        <v>12.59</v>
      </c>
      <c r="D58" s="76">
        <f>'Raw BS'!C20</f>
        <v>9.41</v>
      </c>
      <c r="E58" s="76">
        <f>'Raw BS'!D20</f>
        <v>9.74</v>
      </c>
      <c r="F58" s="76">
        <f>'Raw BS'!E20</f>
        <v>10.029999999999999</v>
      </c>
      <c r="G58" s="76">
        <f>'Raw BS'!F20</f>
        <v>10.26</v>
      </c>
      <c r="H58" s="76">
        <f>'Raw BS'!G20</f>
        <v>8.1300000000000008</v>
      </c>
      <c r="I58" s="76">
        <f>'Raw BS'!H20</f>
        <v>6.32</v>
      </c>
      <c r="J58" s="76">
        <f>'Raw BS'!I20</f>
        <v>5.91</v>
      </c>
      <c r="K58" s="76">
        <f>'Raw BS'!J20</f>
        <v>8.27</v>
      </c>
      <c r="L58" s="76">
        <f>'Raw BS'!K20</f>
        <v>8.59</v>
      </c>
      <c r="N58" s="85" t="s">
        <v>484</v>
      </c>
      <c r="O58" s="91">
        <f>C115</f>
        <v>97.62</v>
      </c>
      <c r="P58" s="91">
        <f>D115</f>
        <v>150.29</v>
      </c>
      <c r="Q58" s="91">
        <f>E115</f>
        <v>199.67</v>
      </c>
      <c r="R58" s="91">
        <f>F115</f>
        <v>184.03</v>
      </c>
      <c r="S58" s="91">
        <f>G115</f>
        <v>100.63</v>
      </c>
      <c r="T58" s="91">
        <f>H115</f>
        <v>241.35</v>
      </c>
      <c r="U58" s="91">
        <f>I115</f>
        <v>233.74</v>
      </c>
      <c r="V58" s="91">
        <f>J115</f>
        <v>180.93</v>
      </c>
      <c r="W58" s="91">
        <f>K115</f>
        <v>369.16</v>
      </c>
      <c r="X58" s="91">
        <f>L115</f>
        <v>429.66</v>
      </c>
      <c r="Y58" s="85"/>
      <c r="Z58" s="85" t="s">
        <v>293</v>
      </c>
      <c r="AA58" s="91">
        <f>O57</f>
        <v>210.73</v>
      </c>
      <c r="AB58" s="91">
        <f>P57</f>
        <v>226.23</v>
      </c>
      <c r="AC58" s="91">
        <f>Q57</f>
        <v>221.41</v>
      </c>
      <c r="AD58" s="91">
        <f>R57</f>
        <v>250.22</v>
      </c>
      <c r="AE58" s="91">
        <f>S57</f>
        <v>210.08</v>
      </c>
      <c r="AF58" s="91">
        <f>T57</f>
        <v>183.19</v>
      </c>
      <c r="AG58" s="91">
        <f>U57</f>
        <v>290.69</v>
      </c>
      <c r="AH58" s="91">
        <f>V57</f>
        <v>351.26</v>
      </c>
      <c r="AI58" s="91">
        <f>W57</f>
        <v>386.94</v>
      </c>
      <c r="AJ58" s="91">
        <f>X57</f>
        <v>356.63</v>
      </c>
      <c r="AK58" s="91"/>
      <c r="AL58" s="93" t="s">
        <v>485</v>
      </c>
      <c r="AM58" s="111" t="str">
        <f>""</f>
        <v/>
      </c>
      <c r="AN58" s="111">
        <f>IFERROR(P6/AVERAGE(P57,O57),"")</f>
        <v>1.6397381911387772</v>
      </c>
      <c r="AO58" s="111">
        <f>IFERROR(Q6/AVERAGE(Q57,P57),"")</f>
        <v>1.9866410508444285</v>
      </c>
      <c r="AP58" s="111">
        <f>IFERROR(R6/AVERAGE(R57,Q57),"")</f>
        <v>1.6417954752666286</v>
      </c>
      <c r="AQ58" s="111">
        <f>IFERROR(S6/AVERAGE(S57,R57),"")</f>
        <v>1.648446665218336</v>
      </c>
      <c r="AR58" s="111">
        <f>IFERROR(T6/AVERAGE(T57,S57),"")</f>
        <v>2.1147303379357698</v>
      </c>
      <c r="AS58" s="111">
        <f>IFERROR(U6/AVERAGE(U57,T57),"")</f>
        <v>2.3251878112602351</v>
      </c>
      <c r="AT58" s="111">
        <f>IFERROR(V6/AVERAGE(V57,U57),"")</f>
        <v>2.2951943297764625</v>
      </c>
      <c r="AU58" s="111">
        <f>IFERROR(W6/AVERAGE(W57,V57),"")</f>
        <v>2.3399349769710103</v>
      </c>
      <c r="AV58" s="111">
        <f>IFERROR(X6/AVERAGE(X57,W57),"")</f>
        <v>2.151754374167866</v>
      </c>
      <c r="AW58" s="85"/>
    </row>
    <row r="59" spans="2:49" ht="15" customHeight="1">
      <c r="B59" s="76" t="s">
        <v>120</v>
      </c>
      <c r="C59" s="76">
        <f>'Raw BS'!B21</f>
        <v>0</v>
      </c>
      <c r="D59" s="76">
        <f>'Raw BS'!C21</f>
        <v>0</v>
      </c>
      <c r="E59" s="76">
        <f>'Raw BS'!D21</f>
        <v>0</v>
      </c>
      <c r="F59" s="76">
        <f>'Raw BS'!E21</f>
        <v>0</v>
      </c>
      <c r="G59" s="76">
        <f>'Raw BS'!F21</f>
        <v>0</v>
      </c>
      <c r="H59" s="76">
        <f>'Raw BS'!G21</f>
        <v>0</v>
      </c>
      <c r="I59" s="76">
        <f>'Raw BS'!H21</f>
        <v>0</v>
      </c>
      <c r="J59" s="76">
        <f>'Raw BS'!I21</f>
        <v>0</v>
      </c>
      <c r="K59" s="76">
        <f>'Raw BS'!J21</f>
        <v>0</v>
      </c>
      <c r="L59" s="76">
        <f>'Raw BS'!K21</f>
        <v>0</v>
      </c>
      <c r="N59" s="85" t="s">
        <v>486</v>
      </c>
      <c r="O59" s="91">
        <f>C116</f>
        <v>0</v>
      </c>
      <c r="P59" s="91">
        <f>D116</f>
        <v>0</v>
      </c>
      <c r="Q59" s="91">
        <f>E116</f>
        <v>0</v>
      </c>
      <c r="R59" s="91">
        <f>F116</f>
        <v>0</v>
      </c>
      <c r="S59" s="91">
        <f>G116</f>
        <v>0</v>
      </c>
      <c r="T59" s="91">
        <f>H116</f>
        <v>4.22</v>
      </c>
      <c r="U59" s="91">
        <f>I116</f>
        <v>5.16</v>
      </c>
      <c r="V59" s="91">
        <f>J116</f>
        <v>4.21</v>
      </c>
      <c r="W59" s="91">
        <f>K116</f>
        <v>4.6100000000000003</v>
      </c>
      <c r="X59" s="91">
        <f>L116</f>
        <v>5.37</v>
      </c>
      <c r="Y59" s="85"/>
      <c r="Z59" s="85" t="s">
        <v>487</v>
      </c>
      <c r="AA59" s="91">
        <f>O60</f>
        <v>84.26</v>
      </c>
      <c r="AB59" s="91">
        <f>P60</f>
        <v>86.990000000000009</v>
      </c>
      <c r="AC59" s="91">
        <f>Q60</f>
        <v>81.84</v>
      </c>
      <c r="AD59" s="91">
        <f>R60</f>
        <v>128.44999999999999</v>
      </c>
      <c r="AE59" s="91">
        <f>S60</f>
        <v>190.91</v>
      </c>
      <c r="AF59" s="91">
        <f>T60</f>
        <v>123.37</v>
      </c>
      <c r="AG59" s="91">
        <f>U60</f>
        <v>110.00999999999999</v>
      </c>
      <c r="AH59" s="91">
        <f>V60</f>
        <v>201.20000000000002</v>
      </c>
      <c r="AI59" s="91">
        <f>W60</f>
        <v>231.26</v>
      </c>
      <c r="AJ59" s="91">
        <f>X60</f>
        <v>94.28</v>
      </c>
      <c r="AK59" s="91"/>
      <c r="AL59" s="85"/>
      <c r="AM59" s="95"/>
      <c r="AN59" s="95"/>
      <c r="AO59" s="95"/>
      <c r="AP59" s="95"/>
      <c r="AQ59" s="95"/>
      <c r="AR59" s="95"/>
      <c r="AS59" s="95"/>
      <c r="AT59" s="95"/>
      <c r="AU59" s="95"/>
      <c r="AV59" s="95"/>
      <c r="AW59" s="85"/>
    </row>
    <row r="60" spans="2:49" ht="15" customHeight="1">
      <c r="B60" s="76" t="s">
        <v>121</v>
      </c>
      <c r="C60" s="76">
        <f>'Raw BS'!B22</f>
        <v>0</v>
      </c>
      <c r="D60" s="76">
        <f>'Raw BS'!C22</f>
        <v>0</v>
      </c>
      <c r="E60" s="76">
        <f>'Raw BS'!D22</f>
        <v>0</v>
      </c>
      <c r="F60" s="76">
        <f>'Raw BS'!E22</f>
        <v>0</v>
      </c>
      <c r="G60" s="76">
        <f>'Raw BS'!F22</f>
        <v>0</v>
      </c>
      <c r="H60" s="76">
        <f>'Raw BS'!G22</f>
        <v>0</v>
      </c>
      <c r="I60" s="76">
        <f>'Raw BS'!H22</f>
        <v>0</v>
      </c>
      <c r="J60" s="76">
        <f>'Raw BS'!I22</f>
        <v>0</v>
      </c>
      <c r="K60" s="76">
        <f>'Raw BS'!J22</f>
        <v>0</v>
      </c>
      <c r="L60" s="76">
        <f>'Raw BS'!K22</f>
        <v>0</v>
      </c>
      <c r="N60" s="85" t="s">
        <v>407</v>
      </c>
      <c r="O60" s="91">
        <f>SUM(C118:C123)</f>
        <v>84.26</v>
      </c>
      <c r="P60" s="91">
        <f>SUM(D118:D123)</f>
        <v>86.990000000000009</v>
      </c>
      <c r="Q60" s="91">
        <f>SUM(E118:E123)</f>
        <v>81.84</v>
      </c>
      <c r="R60" s="91">
        <f>SUM(F118:F123)</f>
        <v>128.44999999999999</v>
      </c>
      <c r="S60" s="91">
        <f>SUM(G118:G123)</f>
        <v>190.91</v>
      </c>
      <c r="T60" s="91">
        <f>SUM(H118:H123)</f>
        <v>123.37</v>
      </c>
      <c r="U60" s="91">
        <f>SUM(I118:I123)</f>
        <v>110.00999999999999</v>
      </c>
      <c r="V60" s="91">
        <f>SUM(J118:J123)</f>
        <v>201.20000000000002</v>
      </c>
      <c r="W60" s="91">
        <f>SUM(K118:K123)</f>
        <v>231.26</v>
      </c>
      <c r="X60" s="91">
        <f>SUM(L118:L123)</f>
        <v>94.28</v>
      </c>
      <c r="Y60" s="85"/>
      <c r="Z60" s="96" t="s">
        <v>488</v>
      </c>
      <c r="AA60" s="97">
        <f>SUM(AA57:AA59)</f>
        <v>364.96999999999997</v>
      </c>
      <c r="AB60" s="97">
        <f>SUM(AB57:AB59)</f>
        <v>362.96</v>
      </c>
      <c r="AC60" s="97">
        <f>SUM(AC57:AC59)</f>
        <v>330.03999999999996</v>
      </c>
      <c r="AD60" s="97">
        <f>SUM(AD57:AD59)</f>
        <v>406.87</v>
      </c>
      <c r="AE60" s="97">
        <f>SUM(AE57:AE59)</f>
        <v>449.78999999999996</v>
      </c>
      <c r="AF60" s="97">
        <f>SUM(AF57:AF59)</f>
        <v>351.21000000000004</v>
      </c>
      <c r="AG60" s="97">
        <f>SUM(AG57:AG59)</f>
        <v>443.71</v>
      </c>
      <c r="AH60" s="97">
        <f>SUM(AH57:AH59)</f>
        <v>589.13</v>
      </c>
      <c r="AI60" s="97">
        <f>SUM(AI57:AI59)</f>
        <v>656.7</v>
      </c>
      <c r="AJ60" s="97">
        <f>SUM(AJ57:AJ59)</f>
        <v>519.85</v>
      </c>
      <c r="AK60" s="98"/>
      <c r="AL60" s="4" t="s">
        <v>489</v>
      </c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</row>
    <row r="61" spans="2:49" ht="15" customHeight="1">
      <c r="B61" s="76" t="s">
        <v>122</v>
      </c>
      <c r="C61" s="76">
        <f>'Raw BS'!B23</f>
        <v>12.9</v>
      </c>
      <c r="D61" s="76">
        <f>'Raw BS'!C23</f>
        <v>22.31</v>
      </c>
      <c r="E61" s="76">
        <f>'Raw BS'!D23</f>
        <v>55.96</v>
      </c>
      <c r="F61" s="76">
        <f>'Raw BS'!E23</f>
        <v>114.31</v>
      </c>
      <c r="G61" s="76">
        <f>'Raw BS'!F23</f>
        <v>117.07</v>
      </c>
      <c r="H61" s="76">
        <f>'Raw BS'!G23</f>
        <v>173.65</v>
      </c>
      <c r="I61" s="76">
        <f>'Raw BS'!H23</f>
        <v>180.34</v>
      </c>
      <c r="J61" s="76">
        <f>'Raw BS'!I23</f>
        <v>140.33000000000001</v>
      </c>
      <c r="K61" s="76">
        <f>'Raw BS'!J23</f>
        <v>167</v>
      </c>
      <c r="L61" s="76">
        <f>'Raw BS'!K23</f>
        <v>184.85</v>
      </c>
      <c r="N61" s="96" t="s">
        <v>490</v>
      </c>
      <c r="O61" s="97">
        <f>SUM(O51:O60)</f>
        <v>1526.5400000000002</v>
      </c>
      <c r="P61" s="97">
        <f>SUM(P51:P60)</f>
        <v>3193.67</v>
      </c>
      <c r="Q61" s="97">
        <f>SUM(Q51:Q60)</f>
        <v>3149.62</v>
      </c>
      <c r="R61" s="97">
        <f>SUM(R51:R60)</f>
        <v>3122.2499999999995</v>
      </c>
      <c r="S61" s="97">
        <f>SUM(S51:S60)</f>
        <v>3107.25</v>
      </c>
      <c r="T61" s="97">
        <f>SUM(T51:T60)</f>
        <v>3308.4199999999996</v>
      </c>
      <c r="U61" s="97">
        <f>SUM(U51:U60)</f>
        <v>3186.7200000000003</v>
      </c>
      <c r="V61" s="97">
        <f>SUM(V51:V60)</f>
        <v>3254.9999999999995</v>
      </c>
      <c r="W61" s="97">
        <f>SUM(W51:W60)</f>
        <v>3546.4800000000005</v>
      </c>
      <c r="X61" s="97">
        <f>SUM(X51:X60)</f>
        <v>3737.44</v>
      </c>
      <c r="Y61" s="85"/>
      <c r="Z61" s="85"/>
      <c r="AA61" s="91"/>
      <c r="AB61" s="91"/>
      <c r="AC61" s="91"/>
      <c r="AD61" s="91"/>
      <c r="AE61" s="91"/>
      <c r="AF61" s="91"/>
      <c r="AG61" s="91"/>
      <c r="AH61" s="91"/>
      <c r="AI61" s="91"/>
      <c r="AJ61" s="91"/>
      <c r="AK61" s="91"/>
      <c r="AL61" s="93" t="s">
        <v>491</v>
      </c>
      <c r="AM61" s="117">
        <f>(O44+O45+O48-O57-O60)</f>
        <v>429.32999999999993</v>
      </c>
      <c r="AN61" s="117">
        <f>(P44+P45+P48-P57-P60)</f>
        <v>446.23</v>
      </c>
      <c r="AO61" s="117">
        <f>(Q44+Q45+Q48-Q57-Q60)</f>
        <v>733.42000000000007</v>
      </c>
      <c r="AP61" s="117">
        <f>(R44+R45+R48-R57-R60)</f>
        <v>654.88000000000011</v>
      </c>
      <c r="AQ61" s="117">
        <f>(S44+S45+S48-S57-S60)</f>
        <v>657.45</v>
      </c>
      <c r="AR61" s="117">
        <f>(T44+T45+T48-T57-T60)</f>
        <v>964.14</v>
      </c>
      <c r="AS61" s="117">
        <f>(U44+U45+U48-U57-U60)</f>
        <v>1000.8699999999999</v>
      </c>
      <c r="AT61" s="117">
        <f>(V44+V45+V48-V57-V60)</f>
        <v>1031.3599999999999</v>
      </c>
      <c r="AU61" s="117">
        <f>(W44+W45+W48-W57-W60)</f>
        <v>1293.6399999999999</v>
      </c>
      <c r="AV61" s="117">
        <f>(X44+X45+X48-X57-X60)</f>
        <v>1454.9800000000002</v>
      </c>
      <c r="AW61" s="85"/>
    </row>
    <row r="62" spans="2:49">
      <c r="B62" s="76" t="s">
        <v>123</v>
      </c>
      <c r="C62" s="76">
        <f>'Raw BS'!B24</f>
        <v>5.91</v>
      </c>
      <c r="D62" s="76">
        <f>'Raw BS'!C24</f>
        <v>3.61</v>
      </c>
      <c r="E62" s="76">
        <f>'Raw BS'!D24</f>
        <v>16.68</v>
      </c>
      <c r="F62" s="76">
        <f>'Raw BS'!E24</f>
        <v>2.94</v>
      </c>
      <c r="G62" s="76">
        <f>'Raw BS'!F24</f>
        <v>13.95</v>
      </c>
      <c r="H62" s="76">
        <f>'Raw BS'!G24</f>
        <v>4.3600000000000003</v>
      </c>
      <c r="I62" s="76">
        <f>'Raw BS'!H24</f>
        <v>10.11</v>
      </c>
      <c r="J62" s="76">
        <f>'Raw BS'!I24</f>
        <v>6.78</v>
      </c>
      <c r="K62" s="76">
        <f>'Raw BS'!J24</f>
        <v>25.78</v>
      </c>
      <c r="L62" s="76">
        <f>'Raw BS'!K24</f>
        <v>30.56</v>
      </c>
      <c r="N62" s="103" t="s">
        <v>492</v>
      </c>
      <c r="O62" s="104">
        <f>O49-O61</f>
        <v>0.11999999999989086</v>
      </c>
      <c r="P62" s="104">
        <f>P49-P61</f>
        <v>0</v>
      </c>
      <c r="Q62" s="104">
        <f>Q49-Q61</f>
        <v>-0.89000000000032742</v>
      </c>
      <c r="R62" s="104">
        <f>R49-R61</f>
        <v>-26.829999999999927</v>
      </c>
      <c r="S62" s="104">
        <f>S49-S61</f>
        <v>-27.600000000000364</v>
      </c>
      <c r="T62" s="104">
        <f>T49-T61</f>
        <v>10.360000000000127</v>
      </c>
      <c r="U62" s="104">
        <f>U49-U61</f>
        <v>2.919999999999618</v>
      </c>
      <c r="V62" s="104">
        <f>V49-V61</f>
        <v>16.600000000000364</v>
      </c>
      <c r="W62" s="104">
        <f>W49-W61</f>
        <v>14.4399999999996</v>
      </c>
      <c r="X62" s="104">
        <f>X49-X61</f>
        <v>0</v>
      </c>
      <c r="Y62" s="85"/>
      <c r="Z62" s="113" t="s">
        <v>493</v>
      </c>
      <c r="AA62" s="116"/>
      <c r="AB62" s="116"/>
      <c r="AC62" s="116"/>
      <c r="AD62" s="116"/>
      <c r="AE62" s="116"/>
      <c r="AF62" s="116"/>
      <c r="AG62" s="116"/>
      <c r="AH62" s="116"/>
      <c r="AI62" s="116"/>
      <c r="AJ62" s="116"/>
      <c r="AK62" s="98"/>
      <c r="AL62" s="93" t="s">
        <v>494</v>
      </c>
      <c r="AM62" s="117" t="str">
        <f>""</f>
        <v/>
      </c>
      <c r="AN62" s="117">
        <f>(P44+P45+P48-P57-P60)-(O44+O45+O48-O57-O60)</f>
        <v>16.900000000000091</v>
      </c>
      <c r="AO62" s="117">
        <f>(Q44+Q45+Q48-Q57-Q60)-(P44+P45+P48-P57-P60)</f>
        <v>287.19000000000005</v>
      </c>
      <c r="AP62" s="117">
        <f>(R44+R45+R48-R57-R60)-(Q44+Q45+Q48-Q57-Q60)</f>
        <v>-78.539999999999964</v>
      </c>
      <c r="AQ62" s="117">
        <f>(S44+S45+S48-S57-S60)-(R44+R45+R48-R57-R60)</f>
        <v>2.5699999999999363</v>
      </c>
      <c r="AR62" s="117">
        <f>(T44+T45+T48-T57-T60)-(S44+S45+S48-S57-S60)</f>
        <v>306.68999999999994</v>
      </c>
      <c r="AS62" s="117">
        <f>(U44+U45+U48-U57-U60)-(T44+T45+T48-T57-T60)</f>
        <v>36.729999999999905</v>
      </c>
      <c r="AT62" s="117">
        <f>(V44+V45+V48-V57-V60)-(U44+U45+U48-U57-U60)</f>
        <v>30.490000000000009</v>
      </c>
      <c r="AU62" s="117">
        <f>(W44+W45+W48-W57-W60)-(V44+V45+V48-V57-V60)</f>
        <v>262.27999999999997</v>
      </c>
      <c r="AV62" s="117">
        <f>(X44+X45+X48-X57-X60)-(W44+W45+W48-W57-W60)</f>
        <v>161.34000000000037</v>
      </c>
      <c r="AW62" s="85"/>
    </row>
    <row r="63" spans="2:49" ht="15" customHeight="1">
      <c r="B63" s="76" t="s">
        <v>124</v>
      </c>
      <c r="C63" s="78">
        <f>'Raw BS'!B25</f>
        <v>778.19</v>
      </c>
      <c r="D63" s="78">
        <f>'Raw BS'!C25</f>
        <v>857.2</v>
      </c>
      <c r="E63" s="78">
        <f>'Raw BS'!D25</f>
        <v>1110.33</v>
      </c>
      <c r="F63" s="78">
        <f>'Raw BS'!E25</f>
        <v>1458.27</v>
      </c>
      <c r="G63" s="78">
        <f>'Raw BS'!F25</f>
        <v>1748.4</v>
      </c>
      <c r="H63" s="78">
        <f>'Raw BS'!G25</f>
        <v>1670.38</v>
      </c>
      <c r="I63" s="78">
        <f>'Raw BS'!H25</f>
        <v>1601.17</v>
      </c>
      <c r="J63" s="78">
        <f>'Raw BS'!I25</f>
        <v>1528.28</v>
      </c>
      <c r="K63" s="78">
        <f>'Raw BS'!J25</f>
        <v>1531.45</v>
      </c>
      <c r="L63" s="78">
        <f>'Raw BS'!K25</f>
        <v>1536.85</v>
      </c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 t="s">
        <v>495</v>
      </c>
      <c r="AA63" s="91">
        <f>O54</f>
        <v>0.44</v>
      </c>
      <c r="AB63" s="91">
        <f>P54</f>
        <v>0.33</v>
      </c>
      <c r="AC63" s="91">
        <f>Q54</f>
        <v>0</v>
      </c>
      <c r="AD63" s="91">
        <f>R54</f>
        <v>0</v>
      </c>
      <c r="AE63" s="91">
        <f>S54</f>
        <v>0</v>
      </c>
      <c r="AF63" s="91">
        <f>T54</f>
        <v>89.01</v>
      </c>
      <c r="AG63" s="91">
        <f>U54</f>
        <v>63.65</v>
      </c>
      <c r="AH63" s="91">
        <f>V54</f>
        <v>38.22</v>
      </c>
      <c r="AI63" s="91">
        <f>W54</f>
        <v>60.81</v>
      </c>
      <c r="AJ63" s="91">
        <f>X54</f>
        <v>39.119999999999997</v>
      </c>
      <c r="AK63" s="91"/>
      <c r="AL63" s="93" t="s">
        <v>316</v>
      </c>
      <c r="AM63" s="117" t="str">
        <f>""</f>
        <v/>
      </c>
      <c r="AN63" s="117">
        <f>P41-O41+P10</f>
        <v>125.90999999999997</v>
      </c>
      <c r="AO63" s="117">
        <f>Q41-P41+Q10</f>
        <v>153.44999999999993</v>
      </c>
      <c r="AP63" s="117">
        <f>R41-Q41+R10</f>
        <v>330.21000000000009</v>
      </c>
      <c r="AQ63" s="117">
        <f>S41-R41+S10</f>
        <v>338.99999999999989</v>
      </c>
      <c r="AR63" s="117">
        <f>T41-S41+T10</f>
        <v>173.16000000000003</v>
      </c>
      <c r="AS63" s="117">
        <f>U41-T41+U10</f>
        <v>33.699999999999989</v>
      </c>
      <c r="AT63" s="117">
        <f>V41-U41+V10</f>
        <v>94.160000000000224</v>
      </c>
      <c r="AU63" s="117">
        <f>W41-V41+W10</f>
        <v>79.689999999999884</v>
      </c>
      <c r="AV63" s="117">
        <f>X41-W41+X10</f>
        <v>107.60000000000025</v>
      </c>
      <c r="AW63" s="85"/>
    </row>
    <row r="64" spans="2:49" ht="15" customHeight="1">
      <c r="B64" s="76" t="s">
        <v>125</v>
      </c>
      <c r="C64" s="77">
        <f>'Raw BS'!B26</f>
        <v>0</v>
      </c>
      <c r="D64" s="77">
        <f>'Raw BS'!C26</f>
        <v>0</v>
      </c>
      <c r="E64" s="77">
        <f>'Raw BS'!D26</f>
        <v>0</v>
      </c>
      <c r="F64" s="77">
        <f>'Raw BS'!E26</f>
        <v>0</v>
      </c>
      <c r="G64" s="77">
        <f>'Raw BS'!F26</f>
        <v>0</v>
      </c>
      <c r="H64" s="77">
        <f>'Raw BS'!G26</f>
        <v>0</v>
      </c>
      <c r="I64" s="77">
        <f>'Raw BS'!H26</f>
        <v>0</v>
      </c>
      <c r="J64" s="77">
        <f>'Raw BS'!I26</f>
        <v>0</v>
      </c>
      <c r="K64" s="77">
        <f>'Raw BS'!J26</f>
        <v>0</v>
      </c>
      <c r="L64" s="77">
        <f>'Raw BS'!K26</f>
        <v>0</v>
      </c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 t="s">
        <v>496</v>
      </c>
      <c r="AA64" s="91">
        <f>O55</f>
        <v>0</v>
      </c>
      <c r="AB64" s="91">
        <f>P55</f>
        <v>0</v>
      </c>
      <c r="AC64" s="91">
        <f>Q55</f>
        <v>0</v>
      </c>
      <c r="AD64" s="91">
        <f>R55</f>
        <v>0</v>
      </c>
      <c r="AE64" s="91">
        <f>S55</f>
        <v>0</v>
      </c>
      <c r="AF64" s="91">
        <f>T55</f>
        <v>4.22</v>
      </c>
      <c r="AG64" s="91">
        <f>U55</f>
        <v>5.16</v>
      </c>
      <c r="AH64" s="91">
        <f>V55</f>
        <v>4.21</v>
      </c>
      <c r="AI64" s="91">
        <f>W55</f>
        <v>4.6100000000000003</v>
      </c>
      <c r="AJ64" s="91">
        <f>X55</f>
        <v>26</v>
      </c>
      <c r="AK64" s="91"/>
      <c r="AL64" s="93" t="s">
        <v>497</v>
      </c>
      <c r="AM64" s="117" t="str">
        <f>""</f>
        <v/>
      </c>
      <c r="AN64" s="117">
        <f>P17+P10-AN62</f>
        <v>-99.480000000000075</v>
      </c>
      <c r="AO64" s="117">
        <f>Q17+Q10-AO62</f>
        <v>-245.36999999999998</v>
      </c>
      <c r="AP64" s="117">
        <f>R17+R10-AP62</f>
        <v>100.01999999999998</v>
      </c>
      <c r="AQ64" s="117">
        <f>S17+S10-AQ62</f>
        <v>116.12000000000002</v>
      </c>
      <c r="AR64" s="117">
        <f>T17+T10-AR62</f>
        <v>-182.46999999999997</v>
      </c>
      <c r="AS64" s="117">
        <f>U17+U10-AS62</f>
        <v>-125.5100000000001</v>
      </c>
      <c r="AT64" s="117">
        <f>V17+V10-AT62</f>
        <v>-1.0900000000002024</v>
      </c>
      <c r="AU64" s="117">
        <f>W17+W10-AU62</f>
        <v>-0.19999999999993179</v>
      </c>
      <c r="AV64" s="117">
        <f>X17+X10-AV62</f>
        <v>437.17999999999961</v>
      </c>
      <c r="AW64" s="85"/>
    </row>
    <row r="65" spans="2:49" ht="15" customHeight="1">
      <c r="B65" s="76" t="s">
        <v>126</v>
      </c>
      <c r="C65" s="78">
        <f>'Raw BS'!B27</f>
        <v>281.70999999999998</v>
      </c>
      <c r="D65" s="78">
        <f>'Raw BS'!C27</f>
        <v>272.86</v>
      </c>
      <c r="E65" s="78">
        <f>'Raw BS'!D27</f>
        <v>338.66</v>
      </c>
      <c r="F65" s="78">
        <f>'Raw BS'!E27</f>
        <v>396.54</v>
      </c>
      <c r="G65" s="78">
        <f>'Raw BS'!F27</f>
        <v>538.34</v>
      </c>
      <c r="H65" s="78">
        <f>'Raw BS'!G27</f>
        <v>600.22</v>
      </c>
      <c r="I65" s="78">
        <f>'Raw BS'!H27</f>
        <v>625.23</v>
      </c>
      <c r="J65" s="78">
        <f>'Raw BS'!I27</f>
        <v>736.26</v>
      </c>
      <c r="K65" s="78">
        <f>'Raw BS'!J27</f>
        <v>988.74</v>
      </c>
      <c r="L65" s="78">
        <f>'Raw BS'!K27</f>
        <v>974.97</v>
      </c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 t="s">
        <v>498</v>
      </c>
      <c r="AA65" s="91">
        <f>O58</f>
        <v>97.62</v>
      </c>
      <c r="AB65" s="91">
        <f>P58</f>
        <v>150.29</v>
      </c>
      <c r="AC65" s="91">
        <f>Q58</f>
        <v>199.67</v>
      </c>
      <c r="AD65" s="91">
        <f>R58</f>
        <v>184.03</v>
      </c>
      <c r="AE65" s="91">
        <f>S58</f>
        <v>100.63</v>
      </c>
      <c r="AF65" s="91">
        <f>T58</f>
        <v>241.35</v>
      </c>
      <c r="AG65" s="91">
        <f>U58</f>
        <v>233.74</v>
      </c>
      <c r="AH65" s="91">
        <f>V58</f>
        <v>180.93</v>
      </c>
      <c r="AI65" s="91">
        <f>W58</f>
        <v>369.16</v>
      </c>
      <c r="AJ65" s="91">
        <f>X58</f>
        <v>429.66</v>
      </c>
      <c r="AK65" s="91"/>
      <c r="AL65" s="93" t="s">
        <v>499</v>
      </c>
      <c r="AM65" s="117" t="str">
        <f>""</f>
        <v/>
      </c>
      <c r="AN65" s="117">
        <f>AB10+P10-AN63-AN62</f>
        <v>-278.04000000000008</v>
      </c>
      <c r="AO65" s="117">
        <f>AC10+Q10-AO63-AO62</f>
        <v>-489.78</v>
      </c>
      <c r="AP65" s="117">
        <f>AD10+R10-AP63-AP62</f>
        <v>-314.46000000000009</v>
      </c>
      <c r="AQ65" s="117">
        <f>AE10+S10-AQ63-AQ62</f>
        <v>-267.6099999999999</v>
      </c>
      <c r="AR65" s="117">
        <f>AF10+T10-AR63-AR62</f>
        <v>-395.97000000000014</v>
      </c>
      <c r="AS65" s="117">
        <f>AG10+U10-AS63-AS62</f>
        <v>-141.85000000000008</v>
      </c>
      <c r="AT65" s="117">
        <f>AH10+V10-AT63-AT62</f>
        <v>-46.570000000000348</v>
      </c>
      <c r="AU65" s="117">
        <f>AI10+W10-AU63-AU62</f>
        <v>-94.180000000000177</v>
      </c>
      <c r="AV65" s="117">
        <f>AJ10+X10-AV63-AV62</f>
        <v>96.249999999999318</v>
      </c>
      <c r="AW65" s="85"/>
    </row>
    <row r="66" spans="2:49" ht="15" customHeight="1">
      <c r="B66" s="76" t="s">
        <v>111</v>
      </c>
      <c r="C66" s="76">
        <f>'Raw BS'!B28</f>
        <v>0</v>
      </c>
      <c r="D66" s="76">
        <f>'Raw BS'!C28</f>
        <v>0</v>
      </c>
      <c r="E66" s="76">
        <f>'Raw BS'!D28</f>
        <v>0</v>
      </c>
      <c r="F66" s="76">
        <f>'Raw BS'!E28</f>
        <v>0</v>
      </c>
      <c r="G66" s="76">
        <f>'Raw BS'!F28</f>
        <v>0</v>
      </c>
      <c r="H66" s="76">
        <f>'Raw BS'!G28</f>
        <v>0</v>
      </c>
      <c r="I66" s="76">
        <f>'Raw BS'!H28</f>
        <v>0</v>
      </c>
      <c r="J66" s="76">
        <f>'Raw BS'!I28</f>
        <v>0</v>
      </c>
      <c r="K66" s="76">
        <f>'Raw BS'!J28</f>
        <v>0</v>
      </c>
      <c r="L66" s="76">
        <f>'Raw BS'!K28</f>
        <v>0</v>
      </c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 t="s">
        <v>500</v>
      </c>
      <c r="AA66" s="91">
        <f>O59</f>
        <v>0</v>
      </c>
      <c r="AB66" s="91">
        <f>P59</f>
        <v>0</v>
      </c>
      <c r="AC66" s="91">
        <f>Q59</f>
        <v>0</v>
      </c>
      <c r="AD66" s="91">
        <f>R59</f>
        <v>0</v>
      </c>
      <c r="AE66" s="91">
        <f>S59</f>
        <v>0</v>
      </c>
      <c r="AF66" s="91">
        <f>T59</f>
        <v>4.22</v>
      </c>
      <c r="AG66" s="91">
        <f>U59</f>
        <v>5.16</v>
      </c>
      <c r="AH66" s="91">
        <f>V59</f>
        <v>4.21</v>
      </c>
      <c r="AI66" s="91">
        <f>W59</f>
        <v>4.6100000000000003</v>
      </c>
      <c r="AJ66" s="91">
        <f>X59</f>
        <v>5.37</v>
      </c>
      <c r="AK66" s="91"/>
      <c r="AL66" s="93" t="s">
        <v>501</v>
      </c>
      <c r="AM66" s="117" t="str">
        <f>""</f>
        <v/>
      </c>
      <c r="AN66" s="117">
        <f>(P54+P55+P58+P59)-(O54+O55+O58+O59)</f>
        <v>52.56</v>
      </c>
      <c r="AO66" s="117">
        <f>(Q54+Q55+Q58+Q59)-(P54+P55+P58+P59)</f>
        <v>49.049999999999983</v>
      </c>
      <c r="AP66" s="117">
        <f>(R54+R55+R58+R59)-(Q54+Q55+Q58+Q59)</f>
        <v>-15.639999999999986</v>
      </c>
      <c r="AQ66" s="117">
        <f>(S54+S55+S58+S59)-(R54+R55+R58+R59)</f>
        <v>-83.4</v>
      </c>
      <c r="AR66" s="117">
        <f>(T54+T55+T58+T59)-(S54+S55+S58+S59)</f>
        <v>238.17000000000002</v>
      </c>
      <c r="AS66" s="117">
        <f>(U54+U55+U58+U59)-(T54+T55+T58+T59)</f>
        <v>-31.089999999999975</v>
      </c>
      <c r="AT66" s="117">
        <f>(V54+V55+V58+V59)-(U54+U55+U58+U59)</f>
        <v>-80.140000000000015</v>
      </c>
      <c r="AU66" s="117">
        <f>(W54+W55+W58+W59)-(V54+V55+V58+V59)</f>
        <v>211.62000000000003</v>
      </c>
      <c r="AV66" s="117">
        <f>(X54+X55+X58+X59)-(W54+W55+W58+W59)</f>
        <v>60.95999999999998</v>
      </c>
      <c r="AW66" s="85"/>
    </row>
    <row r="67" spans="2:49" ht="15" customHeight="1">
      <c r="B67" s="76" t="s">
        <v>115</v>
      </c>
      <c r="C67" s="77">
        <f>'Raw BS'!B29</f>
        <v>0</v>
      </c>
      <c r="D67" s="77">
        <f>'Raw BS'!C29</f>
        <v>0</v>
      </c>
      <c r="E67" s="77">
        <f>'Raw BS'!D29</f>
        <v>0</v>
      </c>
      <c r="F67" s="77">
        <f>'Raw BS'!E29</f>
        <v>0</v>
      </c>
      <c r="G67" s="77">
        <f>'Raw BS'!F29</f>
        <v>0</v>
      </c>
      <c r="H67" s="77">
        <f>'Raw BS'!G29</f>
        <v>0</v>
      </c>
      <c r="I67" s="77">
        <f>'Raw BS'!H29</f>
        <v>0</v>
      </c>
      <c r="J67" s="77">
        <f>'Raw BS'!I29</f>
        <v>0</v>
      </c>
      <c r="K67" s="77">
        <f>'Raw BS'!J29</f>
        <v>0</v>
      </c>
      <c r="L67" s="77">
        <f>'Raw BS'!K29</f>
        <v>0</v>
      </c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96" t="s">
        <v>502</v>
      </c>
      <c r="AA67" s="97">
        <f>SUM(AA63:AA66)</f>
        <v>98.06</v>
      </c>
      <c r="AB67" s="97">
        <f>SUM(AB63:AB66)</f>
        <v>150.62</v>
      </c>
      <c r="AC67" s="97">
        <f>SUM(AC63:AC66)</f>
        <v>199.67</v>
      </c>
      <c r="AD67" s="97">
        <f>SUM(AD63:AD66)</f>
        <v>184.03</v>
      </c>
      <c r="AE67" s="97">
        <f>SUM(AE63:AE66)</f>
        <v>100.63</v>
      </c>
      <c r="AF67" s="97">
        <f>SUM(AF63:AF66)</f>
        <v>338.8</v>
      </c>
      <c r="AG67" s="97">
        <f>SUM(AG63:AG66)</f>
        <v>307.71000000000004</v>
      </c>
      <c r="AH67" s="97">
        <f>SUM(AH63:AH66)</f>
        <v>227.57000000000002</v>
      </c>
      <c r="AI67" s="97">
        <f>SUM(AI63:AI66)</f>
        <v>439.19000000000005</v>
      </c>
      <c r="AJ67" s="97">
        <f>SUM(AJ63:AJ66)</f>
        <v>500.15000000000003</v>
      </c>
      <c r="AK67" s="98"/>
      <c r="AL67" s="93" t="s">
        <v>503</v>
      </c>
      <c r="AM67" s="117" t="str">
        <f>""</f>
        <v/>
      </c>
      <c r="AN67" s="117">
        <f>AN64-AN63+AN66</f>
        <v>-172.83000000000004</v>
      </c>
      <c r="AO67" s="117">
        <f>AO64-AO63+AO66</f>
        <v>-349.77</v>
      </c>
      <c r="AP67" s="117">
        <f>AP64-AP63+AP66</f>
        <v>-245.8300000000001</v>
      </c>
      <c r="AQ67" s="117">
        <f>AQ64-AQ63+AQ66</f>
        <v>-306.27999999999986</v>
      </c>
      <c r="AR67" s="117">
        <f>AR64-AR63+AR66</f>
        <v>-117.45999999999998</v>
      </c>
      <c r="AS67" s="117">
        <f>AS64-AS63+AS66</f>
        <v>-190.30000000000007</v>
      </c>
      <c r="AT67" s="117">
        <f>AT64-AT63+AT66</f>
        <v>-175.39000000000044</v>
      </c>
      <c r="AU67" s="117">
        <f>AU64-AU63+AU66</f>
        <v>131.73000000000022</v>
      </c>
      <c r="AV67" s="117">
        <f>AV64-AV63+AV66</f>
        <v>390.53999999999934</v>
      </c>
      <c r="AW67" s="85"/>
    </row>
    <row r="68" spans="2:49" ht="15" customHeight="1">
      <c r="B68" s="76" t="s">
        <v>127</v>
      </c>
      <c r="C68" s="78">
        <f>'Raw BS'!B30</f>
        <v>8</v>
      </c>
      <c r="D68" s="76">
        <f>'Raw BS'!C30</f>
        <v>895.55</v>
      </c>
      <c r="E68" s="78">
        <f>'Raw BS'!D30</f>
        <v>800.75</v>
      </c>
      <c r="F68" s="76">
        <f>'Raw BS'!E30</f>
        <v>419.1</v>
      </c>
      <c r="G68" s="78">
        <f>'Raw BS'!F30</f>
        <v>236.43</v>
      </c>
      <c r="H68" s="76">
        <f>'Raw BS'!G30</f>
        <v>263.58</v>
      </c>
      <c r="I68" s="76">
        <f>'Raw BS'!H30</f>
        <v>1.54</v>
      </c>
      <c r="J68" s="76">
        <f>'Raw BS'!I30</f>
        <v>1.34</v>
      </c>
      <c r="K68" s="76">
        <f>'Raw BS'!J30</f>
        <v>0</v>
      </c>
      <c r="L68" s="76">
        <f>'Raw BS'!K30</f>
        <v>0</v>
      </c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1"/>
      <c r="AL68" s="93" t="s">
        <v>504</v>
      </c>
      <c r="AM68" s="111" t="str">
        <f>""</f>
        <v/>
      </c>
      <c r="AN68" s="111">
        <f>IFERROR(AN64/P9,"")</f>
        <v>1.4009294465568243</v>
      </c>
      <c r="AO68" s="111">
        <f>IFERROR(AO64/Q9,"")</f>
        <v>-16.445710455763994</v>
      </c>
      <c r="AP68" s="111">
        <f>IFERROR(AP64/R9,"")</f>
        <v>2.4702395653247704</v>
      </c>
      <c r="AQ68" s="111">
        <f>IFERROR(AQ64/S9,"")</f>
        <v>0.82179759377211647</v>
      </c>
      <c r="AR68" s="111">
        <f>IFERROR(AR64/T9,"")</f>
        <v>-1.5167913549459688</v>
      </c>
      <c r="AS68" s="111">
        <f>IFERROR(AS64/U9,"")</f>
        <v>17.828124999999531</v>
      </c>
      <c r="AT68" s="111">
        <f>IFERROR(AT64/V9,"")</f>
        <v>-9.2006415126209516E-3</v>
      </c>
      <c r="AU68" s="111">
        <f>IFERROR(AU64/W9,"")</f>
        <v>-6.6626690652252566E-4</v>
      </c>
      <c r="AV68" s="111">
        <f>IFERROR(AV64/X9,"")</f>
        <v>0.93456465508027031</v>
      </c>
      <c r="AW68" s="85"/>
    </row>
    <row r="69" spans="2:49" ht="15" customHeight="1">
      <c r="B69" s="76" t="s">
        <v>128</v>
      </c>
      <c r="C69" s="76">
        <f>'Raw BS'!B31</f>
        <v>315.32</v>
      </c>
      <c r="D69" s="78">
        <f>'Raw BS'!C31</f>
        <v>276.92</v>
      </c>
      <c r="E69" s="78">
        <f>'Raw BS'!D31</f>
        <v>436.05</v>
      </c>
      <c r="F69" s="78">
        <f>'Raw BS'!E31</f>
        <v>390.14</v>
      </c>
      <c r="G69" s="78">
        <f>'Raw BS'!F31</f>
        <v>250.27</v>
      </c>
      <c r="H69" s="78">
        <f>'Raw BS'!G31</f>
        <v>495.43</v>
      </c>
      <c r="I69" s="78">
        <f>'Raw BS'!H31</f>
        <v>588.62</v>
      </c>
      <c r="J69" s="78">
        <f>'Raw BS'!I31</f>
        <v>642.30999999999995</v>
      </c>
      <c r="K69" s="78">
        <f>'Raw BS'!J31</f>
        <v>778.81</v>
      </c>
      <c r="L69" s="78">
        <f>'Raw BS'!K31</f>
        <v>828.58</v>
      </c>
      <c r="N69" s="118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113" t="s">
        <v>505</v>
      </c>
      <c r="AA69" s="116"/>
      <c r="AB69" s="116"/>
      <c r="AC69" s="116"/>
      <c r="AD69" s="116"/>
      <c r="AE69" s="116"/>
      <c r="AF69" s="116"/>
      <c r="AG69" s="116"/>
      <c r="AH69" s="116"/>
      <c r="AI69" s="116"/>
      <c r="AJ69" s="116"/>
      <c r="AK69" s="98"/>
      <c r="AL69" s="93" t="s">
        <v>506</v>
      </c>
      <c r="AM69" s="111" t="str">
        <f>""</f>
        <v/>
      </c>
      <c r="AN69" s="111">
        <f>IFERROR(AN64/P17,"")</f>
        <v>0.74746412202269208</v>
      </c>
      <c r="AO69" s="111">
        <f>IFERROR(AO64/Q17,"")</f>
        <v>9.6035225048923945</v>
      </c>
      <c r="AP69" s="111">
        <f>IFERROR(AP64/R17,"")</f>
        <v>-1.6617378302043528</v>
      </c>
      <c r="AQ69" s="111">
        <f>IFERROR(AQ64/S17,"")</f>
        <v>3.3824643169239783</v>
      </c>
      <c r="AR69" s="111">
        <f>IFERROR(AR64/T17,"")</f>
        <v>-5.5210287443267845</v>
      </c>
      <c r="AS69" s="111">
        <f>IFERROR(AS64/U17,"")</f>
        <v>0.62066066660073183</v>
      </c>
      <c r="AT69" s="111">
        <f>IFERROR(AT64/V17,"")</f>
        <v>1.1625426621162544E-2</v>
      </c>
      <c r="AU69" s="111">
        <f>IFERROR(AU64/W17,"")</f>
        <v>-1.4543339150664026E-3</v>
      </c>
      <c r="AV69" s="111">
        <f>IFERROR(AV64/X17,"")</f>
        <v>0.92348964934516176</v>
      </c>
      <c r="AW69" s="85"/>
    </row>
    <row r="70" spans="2:49" ht="15" customHeight="1">
      <c r="B70" s="76" t="s">
        <v>129</v>
      </c>
      <c r="C70" s="76">
        <f>'Raw BS'!B32</f>
        <v>11.21</v>
      </c>
      <c r="D70" s="76">
        <f>'Raw BS'!C32</f>
        <v>666.07</v>
      </c>
      <c r="E70" s="76">
        <f>'Raw BS'!D32</f>
        <v>197.05</v>
      </c>
      <c r="F70" s="76">
        <f>'Raw BS'!E32</f>
        <v>231.52</v>
      </c>
      <c r="G70" s="76">
        <f>'Raw BS'!F32</f>
        <v>77.459999999999994</v>
      </c>
      <c r="H70" s="76">
        <f>'Raw BS'!G32</f>
        <v>109.2</v>
      </c>
      <c r="I70" s="76">
        <f>'Raw BS'!H32</f>
        <v>183.75</v>
      </c>
      <c r="J70" s="76">
        <f>'Raw BS'!I32</f>
        <v>154.75</v>
      </c>
      <c r="K70" s="76">
        <f>'Raw BS'!J32</f>
        <v>89.58</v>
      </c>
      <c r="L70" s="76">
        <f>'Raw BS'!K32</f>
        <v>289.48</v>
      </c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 t="s">
        <v>469</v>
      </c>
      <c r="AA70" s="91">
        <f>O51</f>
        <v>18.18</v>
      </c>
      <c r="AB70" s="91">
        <f>P51</f>
        <v>14.07</v>
      </c>
      <c r="AC70" s="91">
        <f>Q51</f>
        <v>14.08</v>
      </c>
      <c r="AD70" s="91">
        <f>R51</f>
        <v>14.08</v>
      </c>
      <c r="AE70" s="91">
        <f>S51</f>
        <v>14.08</v>
      </c>
      <c r="AF70" s="91">
        <f>T51</f>
        <v>14.08</v>
      </c>
      <c r="AG70" s="91">
        <f>U51</f>
        <v>14.08</v>
      </c>
      <c r="AH70" s="91">
        <f>V51</f>
        <v>14.08</v>
      </c>
      <c r="AI70" s="91">
        <f>W51</f>
        <v>14.08</v>
      </c>
      <c r="AJ70" s="91">
        <f>X51</f>
        <v>14.08</v>
      </c>
      <c r="AK70" s="91"/>
      <c r="AL70" s="93" t="s">
        <v>507</v>
      </c>
      <c r="AM70" s="94" t="str">
        <f>""</f>
        <v/>
      </c>
      <c r="AN70" s="94">
        <f>IFERROR(AN63/P3,"")</f>
        <v>0.15456855596066729</v>
      </c>
      <c r="AO70" s="94">
        <f>IFERROR(AO63/Q3,"")</f>
        <v>0.13003686284479465</v>
      </c>
      <c r="AP70" s="94">
        <f>IFERROR(AP63/R3,"")</f>
        <v>0.29918185030488087</v>
      </c>
      <c r="AQ70" s="94">
        <f>IFERROR(AQ63/S3,"")</f>
        <v>0.27446281393202376</v>
      </c>
      <c r="AR70" s="94">
        <f>IFERROR(AR63/T3,"")</f>
        <v>0.13636471023680338</v>
      </c>
      <c r="AS70" s="94">
        <f>IFERROR(AS63/U3,"")</f>
        <v>2.5092701523432258E-2</v>
      </c>
      <c r="AT70" s="94">
        <f>IFERROR(AT63/V3,"")</f>
        <v>5.2747449736991123E-2</v>
      </c>
      <c r="AU70" s="94">
        <f>IFERROR(AU63/W3,"")</f>
        <v>3.7750418054259362E-2</v>
      </c>
      <c r="AV70" s="94">
        <f>IFERROR(AV63/X3,"")</f>
        <v>4.8867997365851561E-2</v>
      </c>
      <c r="AW70" s="85"/>
    </row>
    <row r="71" spans="2:49" ht="15" customHeight="1">
      <c r="B71" s="76" t="s">
        <v>130</v>
      </c>
      <c r="C71" s="76">
        <f>'Raw BS'!B33</f>
        <v>4.93</v>
      </c>
      <c r="D71" s="76">
        <f>'Raw BS'!C33</f>
        <v>15.39</v>
      </c>
      <c r="E71" s="76">
        <f>'Raw BS'!D33</f>
        <v>3.94</v>
      </c>
      <c r="F71" s="76">
        <f>'Raw BS'!E33</f>
        <v>2.29</v>
      </c>
      <c r="G71" s="76">
        <f>'Raw BS'!F33</f>
        <v>4.99</v>
      </c>
      <c r="H71" s="76">
        <f>'Raw BS'!G33</f>
        <v>4.91</v>
      </c>
      <c r="I71" s="76">
        <f>'Raw BS'!H33</f>
        <v>1.61</v>
      </c>
      <c r="J71" s="76">
        <f>'Raw BS'!I33</f>
        <v>3.41</v>
      </c>
      <c r="K71" s="76">
        <f>'Raw BS'!J33</f>
        <v>28.05</v>
      </c>
      <c r="L71" s="76">
        <f>'Raw BS'!K33</f>
        <v>5.22</v>
      </c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 t="s">
        <v>472</v>
      </c>
      <c r="AA71" s="91">
        <f>O52</f>
        <v>1045.33</v>
      </c>
      <c r="AB71" s="91">
        <f>P52</f>
        <v>2666.02</v>
      </c>
      <c r="AC71" s="91">
        <f>Q52</f>
        <v>2605.83</v>
      </c>
      <c r="AD71" s="91">
        <f>R52</f>
        <v>2517.27</v>
      </c>
      <c r="AE71" s="91">
        <f>S52</f>
        <v>2542.75</v>
      </c>
      <c r="AF71" s="91">
        <f>T52</f>
        <v>2604.33</v>
      </c>
      <c r="AG71" s="91">
        <f>U52</f>
        <v>2421.2199999999998</v>
      </c>
      <c r="AH71" s="91">
        <f>V52</f>
        <v>2424.2199999999998</v>
      </c>
      <c r="AI71" s="91">
        <f>W52</f>
        <v>2436.5100000000002</v>
      </c>
      <c r="AJ71" s="91">
        <f>X52</f>
        <v>2703.36</v>
      </c>
      <c r="AK71" s="91"/>
      <c r="AL71" s="93" t="s">
        <v>508</v>
      </c>
      <c r="AM71" s="94" t="str">
        <f>""</f>
        <v/>
      </c>
      <c r="AN71" s="94">
        <f>IFERROR(AN65/P3,"")</f>
        <v>-0.34132508378448062</v>
      </c>
      <c r="AO71" s="94">
        <f>IFERROR(AO65/Q3,"")</f>
        <v>-0.41505020973687556</v>
      </c>
      <c r="AP71" s="94">
        <f>IFERROR(AP65/R3,"")</f>
        <v>-0.28491179748303458</v>
      </c>
      <c r="AQ71" s="94">
        <f>IFERROR(AQ65/S3,"")</f>
        <v>-0.21666369804232707</v>
      </c>
      <c r="AR71" s="94">
        <f>IFERROR(AR65/T3,"")</f>
        <v>-0.31182914248363969</v>
      </c>
      <c r="AS71" s="94">
        <f>IFERROR(AS65/U3,"")</f>
        <v>-0.10562016946880916</v>
      </c>
      <c r="AT71" s="94">
        <f>IFERROR(AT65/V3,"")</f>
        <v>-2.6088028188739266E-2</v>
      </c>
      <c r="AU71" s="94">
        <f>IFERROR(AU65/W3,"")</f>
        <v>-4.4614561078556395E-2</v>
      </c>
      <c r="AV71" s="94">
        <f>IFERROR(AV65/X3,"")</f>
        <v>4.3713241138133532E-2</v>
      </c>
      <c r="AW71" s="85"/>
    </row>
    <row r="72" spans="2:49" ht="15" customHeight="1">
      <c r="B72" s="76" t="s">
        <v>131</v>
      </c>
      <c r="C72" s="76">
        <f>'Raw BS'!B34</f>
        <v>0.09</v>
      </c>
      <c r="D72" s="76">
        <f>'Raw BS'!C34</f>
        <v>0.05</v>
      </c>
      <c r="E72" s="76">
        <f>'Raw BS'!D34</f>
        <v>0.06</v>
      </c>
      <c r="F72" s="76">
        <f>'Raw BS'!E34</f>
        <v>0.04</v>
      </c>
      <c r="G72" s="76">
        <f>'Raw BS'!F34</f>
        <v>0.04</v>
      </c>
      <c r="H72" s="76">
        <f>'Raw BS'!G34</f>
        <v>0.05</v>
      </c>
      <c r="I72" s="76">
        <f>'Raw BS'!H34</f>
        <v>0.06</v>
      </c>
      <c r="J72" s="76">
        <f>'Raw BS'!I34</f>
        <v>0.04</v>
      </c>
      <c r="K72" s="76">
        <f>'Raw BS'!J34</f>
        <v>0.06</v>
      </c>
      <c r="L72" s="76">
        <f>'Raw BS'!K34</f>
        <v>0.06</v>
      </c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 t="s">
        <v>9</v>
      </c>
      <c r="AA72" s="91">
        <f>O53</f>
        <v>0</v>
      </c>
      <c r="AB72" s="91">
        <f>P53</f>
        <v>0</v>
      </c>
      <c r="AC72" s="91">
        <f>Q53</f>
        <v>0</v>
      </c>
      <c r="AD72" s="91">
        <f>R53</f>
        <v>0</v>
      </c>
      <c r="AE72" s="91">
        <f>S53</f>
        <v>0</v>
      </c>
      <c r="AF72" s="91">
        <f>T53</f>
        <v>0</v>
      </c>
      <c r="AG72" s="91">
        <f>U53</f>
        <v>0</v>
      </c>
      <c r="AH72" s="91">
        <f>V53</f>
        <v>0</v>
      </c>
      <c r="AI72" s="91">
        <f>W53</f>
        <v>0</v>
      </c>
      <c r="AJ72" s="91">
        <f>X53</f>
        <v>0</v>
      </c>
      <c r="AK72" s="91"/>
      <c r="AL72" s="85"/>
      <c r="AM72" s="95"/>
      <c r="AN72" s="95"/>
      <c r="AO72" s="95"/>
      <c r="AP72" s="95"/>
      <c r="AQ72" s="95"/>
      <c r="AR72" s="95"/>
      <c r="AS72" s="95"/>
      <c r="AT72" s="95"/>
      <c r="AU72" s="95"/>
      <c r="AV72" s="95"/>
      <c r="AW72" s="85"/>
    </row>
    <row r="73" spans="2:49" ht="15" customHeight="1">
      <c r="B73" s="76" t="s">
        <v>132</v>
      </c>
      <c r="C73" s="76">
        <f>'Raw BS'!B35</f>
        <v>2.4900000000000002</v>
      </c>
      <c r="D73" s="76">
        <f>'Raw BS'!C35</f>
        <v>29.25</v>
      </c>
      <c r="E73" s="76">
        <f>'Raw BS'!D35</f>
        <v>23.65</v>
      </c>
      <c r="F73" s="76">
        <f>'Raw BS'!E35</f>
        <v>15.33</v>
      </c>
      <c r="G73" s="76">
        <f>'Raw BS'!F35</f>
        <v>9.1999999999999993</v>
      </c>
      <c r="H73" s="76">
        <f>'Raw BS'!G35</f>
        <v>0.55000000000000004</v>
      </c>
      <c r="I73" s="76">
        <f>'Raw BS'!H35</f>
        <v>1.71</v>
      </c>
      <c r="J73" s="76">
        <f>'Raw BS'!I35</f>
        <v>0.23</v>
      </c>
      <c r="K73" s="76">
        <f>'Raw BS'!J35</f>
        <v>4.83</v>
      </c>
      <c r="L73" s="76">
        <f>'Raw BS'!K35</f>
        <v>4.42</v>
      </c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96" t="s">
        <v>158</v>
      </c>
      <c r="AA73" s="97">
        <f>SUM(AA70:AA72)</f>
        <v>1063.51</v>
      </c>
      <c r="AB73" s="97">
        <f>SUM(AB70:AB72)</f>
        <v>2680.09</v>
      </c>
      <c r="AC73" s="97">
        <f>SUM(AC70:AC72)</f>
        <v>2619.91</v>
      </c>
      <c r="AD73" s="97">
        <f>SUM(AD70:AD72)</f>
        <v>2531.35</v>
      </c>
      <c r="AE73" s="97">
        <f>SUM(AE70:AE72)</f>
        <v>2556.83</v>
      </c>
      <c r="AF73" s="97">
        <f>SUM(AF70:AF72)</f>
        <v>2618.41</v>
      </c>
      <c r="AG73" s="97">
        <f>SUM(AG70:AG72)</f>
        <v>2435.2999999999997</v>
      </c>
      <c r="AH73" s="97">
        <f>SUM(AH70:AH72)</f>
        <v>2438.2999999999997</v>
      </c>
      <c r="AI73" s="97">
        <f>SUM(AI70:AI72)</f>
        <v>2450.59</v>
      </c>
      <c r="AJ73" s="97">
        <f>SUM(AJ70:AJ72)</f>
        <v>2717.44</v>
      </c>
      <c r="AK73" s="98"/>
      <c r="AL73" s="4" t="s">
        <v>509</v>
      </c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</row>
    <row r="74" spans="2:49" ht="15" customHeight="1">
      <c r="B74" s="76" t="s">
        <v>133</v>
      </c>
      <c r="C74" s="76">
        <f>'Raw BS'!B36</f>
        <v>0</v>
      </c>
      <c r="D74" s="76">
        <f>'Raw BS'!C36</f>
        <v>0</v>
      </c>
      <c r="E74" s="76">
        <f>'Raw BS'!D36</f>
        <v>0</v>
      </c>
      <c r="F74" s="76">
        <f>'Raw BS'!E36</f>
        <v>0</v>
      </c>
      <c r="G74" s="76">
        <f>'Raw BS'!F36</f>
        <v>0</v>
      </c>
      <c r="H74" s="76">
        <f>'Raw BS'!G36</f>
        <v>0</v>
      </c>
      <c r="I74" s="76">
        <f>'Raw BS'!H36</f>
        <v>0</v>
      </c>
      <c r="J74" s="76">
        <f>'Raw BS'!I36</f>
        <v>0</v>
      </c>
      <c r="K74" s="76">
        <f>'Raw BS'!J36</f>
        <v>0</v>
      </c>
      <c r="L74" s="76">
        <f>'Raw BS'!K36</f>
        <v>0</v>
      </c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96" t="s">
        <v>510</v>
      </c>
      <c r="AA74" s="97">
        <f>SUM(AA60,AA67,AA73)</f>
        <v>1526.54</v>
      </c>
      <c r="AB74" s="97">
        <f>SUM(AB60,AB67,AB73)</f>
        <v>3193.67</v>
      </c>
      <c r="AC74" s="97">
        <f>SUM(AC60,AC67,AC73)</f>
        <v>3149.62</v>
      </c>
      <c r="AD74" s="97">
        <f>SUM(AD60,AD67,AD73)</f>
        <v>3122.25</v>
      </c>
      <c r="AE74" s="97">
        <f>SUM(AE60,AE67,AE73)</f>
        <v>3107.25</v>
      </c>
      <c r="AF74" s="97">
        <f>SUM(AF60,AF67,AF73)</f>
        <v>3308.42</v>
      </c>
      <c r="AG74" s="97">
        <f>SUM(AG60,AG67,AG73)</f>
        <v>3186.72</v>
      </c>
      <c r="AH74" s="97">
        <f>SUM(AH60,AH67,AH73)</f>
        <v>3255</v>
      </c>
      <c r="AI74" s="97">
        <f>SUM(AI60,AI67,AI73)</f>
        <v>3546.4800000000005</v>
      </c>
      <c r="AJ74" s="97">
        <f>SUM(AJ60,AJ67,AJ73)</f>
        <v>3737.44</v>
      </c>
      <c r="AK74" s="98"/>
      <c r="AL74" s="93" t="s">
        <v>511</v>
      </c>
      <c r="AM74" s="119">
        <f>O51</f>
        <v>18.18</v>
      </c>
      <c r="AN74" s="119">
        <f>P51</f>
        <v>14.07</v>
      </c>
      <c r="AO74" s="119">
        <f>Q51</f>
        <v>14.08</v>
      </c>
      <c r="AP74" s="119">
        <f>R51</f>
        <v>14.08</v>
      </c>
      <c r="AQ74" s="119">
        <f>S51</f>
        <v>14.08</v>
      </c>
      <c r="AR74" s="119">
        <f>T51</f>
        <v>14.08</v>
      </c>
      <c r="AS74" s="119">
        <f>U51</f>
        <v>14.08</v>
      </c>
      <c r="AT74" s="119">
        <f>V51</f>
        <v>14.08</v>
      </c>
      <c r="AU74" s="119">
        <f>W51</f>
        <v>14.08</v>
      </c>
      <c r="AV74" s="119">
        <f>X51</f>
        <v>14.08</v>
      </c>
      <c r="AW74" s="85"/>
    </row>
    <row r="75" spans="2:49" ht="15" customHeight="1">
      <c r="B75" s="76" t="s">
        <v>121</v>
      </c>
      <c r="C75" s="76">
        <f>'Raw BS'!B37</f>
        <v>0</v>
      </c>
      <c r="D75" s="76">
        <f>'Raw BS'!C37</f>
        <v>0</v>
      </c>
      <c r="E75" s="76">
        <f>'Raw BS'!D37</f>
        <v>0</v>
      </c>
      <c r="F75" s="76">
        <f>'Raw BS'!E37</f>
        <v>0</v>
      </c>
      <c r="G75" s="76">
        <f>'Raw BS'!F37</f>
        <v>0</v>
      </c>
      <c r="H75" s="76">
        <f>'Raw BS'!G37</f>
        <v>0</v>
      </c>
      <c r="I75" s="76">
        <f>'Raw BS'!H37</f>
        <v>0</v>
      </c>
      <c r="J75" s="76">
        <f>'Raw BS'!I37</f>
        <v>0</v>
      </c>
      <c r="K75" s="76">
        <f>'Raw BS'!J37</f>
        <v>0</v>
      </c>
      <c r="L75" s="76">
        <f>'Raw BS'!K37</f>
        <v>0</v>
      </c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101" t="s">
        <v>492</v>
      </c>
      <c r="AA75" s="102">
        <f>AA54-AA74</f>
        <v>0.12000000000011823</v>
      </c>
      <c r="AB75" s="102">
        <f>AB54-AB74</f>
        <v>0</v>
      </c>
      <c r="AC75" s="102">
        <f>AC54-AC74</f>
        <v>-0.88999999999987267</v>
      </c>
      <c r="AD75" s="102">
        <f>AD54-AD74</f>
        <v>-26.830000000000382</v>
      </c>
      <c r="AE75" s="102">
        <f>AE54-AE74</f>
        <v>-27.600000000000364</v>
      </c>
      <c r="AF75" s="102">
        <f>AF54-AF74</f>
        <v>10.359999999999673</v>
      </c>
      <c r="AG75" s="102">
        <f>AG54-AG74</f>
        <v>2.919999999999618</v>
      </c>
      <c r="AH75" s="102">
        <f>AH54-AH74</f>
        <v>16.600000000000364</v>
      </c>
      <c r="AI75" s="102">
        <f>AI54-AI74</f>
        <v>14.4399999999996</v>
      </c>
      <c r="AJ75" s="102">
        <f>AJ54-AJ74</f>
        <v>0</v>
      </c>
      <c r="AK75" s="98"/>
      <c r="AL75" s="93" t="s">
        <v>512</v>
      </c>
      <c r="AM75" s="119">
        <f>IFERROR(O17/O51,0)</f>
        <v>-3.891089108910891</v>
      </c>
      <c r="AN75" s="119">
        <f>IFERROR(P17/P51,0)</f>
        <v>-9.4591329068940997</v>
      </c>
      <c r="AO75" s="119">
        <f>IFERROR(Q17/Q51,0)</f>
        <v>-1.8146306818181765</v>
      </c>
      <c r="AP75" s="119">
        <f>IFERROR(R17/R51,0)</f>
        <v>-4.2748579545454541</v>
      </c>
      <c r="AQ75" s="119">
        <f>IFERROR(S17/S51,0)</f>
        <v>2.438210227272724</v>
      </c>
      <c r="AR75" s="119">
        <f>IFERROR(T17/T51,0)</f>
        <v>2.3473011363636331</v>
      </c>
      <c r="AS75" s="119">
        <f>IFERROR(U17/U51,0)</f>
        <v>-14.362215909090922</v>
      </c>
      <c r="AT75" s="119">
        <f>IFERROR(V17/V51,0)</f>
        <v>-6.6590909090909225</v>
      </c>
      <c r="AU75" s="119">
        <f>IFERROR(W17/W51,0)</f>
        <v>9.7670454545454586</v>
      </c>
      <c r="AV75" s="119">
        <f>IFERROR(X17/X51,0)</f>
        <v>33.622159090909093</v>
      </c>
      <c r="AW75" s="85"/>
    </row>
    <row r="76" spans="2:49" ht="15" customHeight="1">
      <c r="B76" s="76" t="s">
        <v>134</v>
      </c>
      <c r="C76" s="76">
        <f>'Raw BS'!B38</f>
        <v>124.71</v>
      </c>
      <c r="D76" s="76">
        <f>'Raw BS'!C38</f>
        <v>180.37</v>
      </c>
      <c r="E76" s="76">
        <f>'Raw BS'!D38</f>
        <v>238.25</v>
      </c>
      <c r="F76" s="76">
        <f>'Raw BS'!E38</f>
        <v>231.5</v>
      </c>
      <c r="G76" s="76">
        <f>'Raw BS'!F38</f>
        <v>260.58999999999997</v>
      </c>
      <c r="H76" s="76">
        <f>'Raw BS'!G38</f>
        <v>170.98</v>
      </c>
      <c r="I76" s="76">
        <f>'Raw BS'!H38</f>
        <v>185.95</v>
      </c>
      <c r="J76" s="76">
        <f>'Raw BS'!I38</f>
        <v>204.98</v>
      </c>
      <c r="K76" s="76">
        <f>'Raw BS'!J38</f>
        <v>139.4</v>
      </c>
      <c r="L76" s="76">
        <f>'Raw BS'!K38</f>
        <v>94.61</v>
      </c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3" t="s">
        <v>513</v>
      </c>
      <c r="AM76" s="119">
        <f>IFERROR(SUM(O51:O52)/O51,0)</f>
        <v>58.498899889988998</v>
      </c>
      <c r="AN76" s="119">
        <f>IFERROR(SUM(P51:P52)/P51,0)</f>
        <v>190.48258706467664</v>
      </c>
      <c r="AO76" s="119">
        <f>IFERROR(SUM(Q51:Q52)/Q51,0)</f>
        <v>186.07315340909091</v>
      </c>
      <c r="AP76" s="119">
        <f>IFERROR(SUM(R51:R52)/R51,0)</f>
        <v>179.78338068181819</v>
      </c>
      <c r="AQ76" s="119">
        <f>IFERROR(SUM(S51:S52)/S51,0)</f>
        <v>181.59303977272728</v>
      </c>
      <c r="AR76" s="119">
        <f>IFERROR(SUM(T51:T52)/T51,0)</f>
        <v>185.96661931818181</v>
      </c>
      <c r="AS76" s="119">
        <f>IFERROR(SUM(U51:U52)/U51,0)</f>
        <v>172.96164772727272</v>
      </c>
      <c r="AT76" s="119">
        <f>IFERROR(SUM(V51:V52)/V51,0)</f>
        <v>173.17471590909088</v>
      </c>
      <c r="AU76" s="119">
        <f>IFERROR(SUM(W51:W52)/W51,0)</f>
        <v>174.04758522727275</v>
      </c>
      <c r="AV76" s="119">
        <f>IFERROR(SUM(X51:X52)/X51,0)</f>
        <v>193</v>
      </c>
      <c r="AW76" s="85"/>
    </row>
    <row r="77" spans="2:49" ht="15" customHeight="1">
      <c r="B77" s="76" t="s">
        <v>135</v>
      </c>
      <c r="C77" s="76">
        <f>'Raw BS'!B39</f>
        <v>0</v>
      </c>
      <c r="D77" s="76">
        <f>'Raw BS'!C39</f>
        <v>0</v>
      </c>
      <c r="E77" s="76">
        <f>'Raw BS'!D39</f>
        <v>0</v>
      </c>
      <c r="F77" s="76">
        <f>'Raw BS'!E39</f>
        <v>0</v>
      </c>
      <c r="G77" s="76">
        <f>'Raw BS'!F39</f>
        <v>0</v>
      </c>
      <c r="H77" s="76">
        <f>'Raw BS'!G39</f>
        <v>3.47</v>
      </c>
      <c r="I77" s="76">
        <f>'Raw BS'!H39</f>
        <v>0</v>
      </c>
      <c r="J77" s="76">
        <f>'Raw BS'!I39</f>
        <v>0</v>
      </c>
      <c r="K77" s="76">
        <f>'Raw BS'!J39</f>
        <v>0</v>
      </c>
      <c r="L77" s="76">
        <f>'Raw BS'!K39</f>
        <v>3.25</v>
      </c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96" t="s">
        <v>514</v>
      </c>
      <c r="AA77" s="97">
        <f>AA47-AA60</f>
        <v>1128.04</v>
      </c>
      <c r="AB77" s="97">
        <f>AB47-AB60</f>
        <v>1244.4900000000002</v>
      </c>
      <c r="AC77" s="97">
        <f>AC47-AC60</f>
        <v>1687.75</v>
      </c>
      <c r="AD77" s="97">
        <f>AD47-AD60</f>
        <v>1901.2599999999998</v>
      </c>
      <c r="AE77" s="97">
        <f>AE47-AE60</f>
        <v>2151.8599999999997</v>
      </c>
      <c r="AF77" s="97">
        <f>AF47-AF60</f>
        <v>2589.6</v>
      </c>
      <c r="AG77" s="97">
        <f>AG47-AG60</f>
        <v>2558.8699999999994</v>
      </c>
      <c r="AH77" s="97">
        <f>AH47-AH60</f>
        <v>2522.9500000000003</v>
      </c>
      <c r="AI77" s="97">
        <f>AI47-AI60</f>
        <v>2786.5699999999997</v>
      </c>
      <c r="AJ77" s="97">
        <f>AJ47-AJ60</f>
        <v>2922.8700000000003</v>
      </c>
      <c r="AK77" s="98"/>
      <c r="AL77" s="93" t="s">
        <v>515</v>
      </c>
      <c r="AM77" s="119" t="s">
        <v>516</v>
      </c>
      <c r="AN77" s="119">
        <f>IFERROR(AN64/P51,NA())</f>
        <v>-7.0703624733475534</v>
      </c>
      <c r="AO77" s="119">
        <f>IFERROR(AO64/Q51,NA())</f>
        <v>-17.42684659090909</v>
      </c>
      <c r="AP77" s="119">
        <f>IFERROR(AP64/R51,NA())</f>
        <v>7.1036931818181808</v>
      </c>
      <c r="AQ77" s="119">
        <f>IFERROR(AQ64/S51,NA())</f>
        <v>8.2471590909090917</v>
      </c>
      <c r="AR77" s="119">
        <f>IFERROR(AR64/T51,NA())</f>
        <v>-12.959517045454543</v>
      </c>
      <c r="AS77" s="119">
        <f>IFERROR(AS64/U51,NA())</f>
        <v>-8.9140625000000071</v>
      </c>
      <c r="AT77" s="119">
        <f>IFERROR(AT64/V51,NA())</f>
        <v>-7.7414772727287098E-2</v>
      </c>
      <c r="AU77" s="119">
        <f>IFERROR(AU64/W51,NA())</f>
        <v>-1.4204545454540611E-2</v>
      </c>
      <c r="AV77" s="119">
        <f>IFERROR(AV64/X51,NA())</f>
        <v>31.049715909090882</v>
      </c>
      <c r="AW77" s="85"/>
    </row>
    <row r="78" spans="2:49" ht="15" customHeight="1">
      <c r="B78" s="76" t="s">
        <v>136</v>
      </c>
      <c r="C78" s="78">
        <f>'Raw BS'!B40</f>
        <v>748.46</v>
      </c>
      <c r="D78" s="78">
        <f>'Raw BS'!C40</f>
        <v>2336.4699999999998</v>
      </c>
      <c r="E78" s="78">
        <f>'Raw BS'!D40</f>
        <v>2038.41</v>
      </c>
      <c r="F78" s="78">
        <f>'Raw BS'!E40</f>
        <v>1686.47</v>
      </c>
      <c r="G78" s="78">
        <f>'Raw BS'!F40</f>
        <v>1377.32</v>
      </c>
      <c r="H78" s="78">
        <f>'Raw BS'!G40</f>
        <v>1648.39</v>
      </c>
      <c r="I78" s="78">
        <f>'Raw BS'!H40</f>
        <v>1588.47</v>
      </c>
      <c r="J78" s="78">
        <f>'Raw BS'!I40</f>
        <v>1743.32</v>
      </c>
      <c r="K78" s="78">
        <f>'Raw BS'!J40</f>
        <v>2029.47</v>
      </c>
      <c r="L78" s="78">
        <f>'Raw BS'!K40</f>
        <v>2197.34</v>
      </c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96" t="s">
        <v>517</v>
      </c>
      <c r="AA78" s="97">
        <f>AA53-AA67</f>
        <v>-64.41</v>
      </c>
      <c r="AB78" s="97">
        <f>AB53-AB67</f>
        <v>1435.6</v>
      </c>
      <c r="AC78" s="97">
        <f>AC53-AC67</f>
        <v>931.2700000000001</v>
      </c>
      <c r="AD78" s="97">
        <f>AD53-AD67</f>
        <v>603.26</v>
      </c>
      <c r="AE78" s="97">
        <f>AE53-AE67</f>
        <v>377.37</v>
      </c>
      <c r="AF78" s="97">
        <f>AF53-AF67</f>
        <v>39.169999999999959</v>
      </c>
      <c r="AG78" s="97">
        <f>AG53-AG67</f>
        <v>-120.65000000000003</v>
      </c>
      <c r="AH78" s="97">
        <f>AH53-AH67</f>
        <v>-68.050000000000011</v>
      </c>
      <c r="AI78" s="97">
        <f>AI53-AI67</f>
        <v>-321.54000000000008</v>
      </c>
      <c r="AJ78" s="97">
        <f>AJ53-AJ67</f>
        <v>-205.43</v>
      </c>
      <c r="AK78" s="98"/>
      <c r="AL78" s="93" t="s">
        <v>518</v>
      </c>
      <c r="AM78" s="119" t="s">
        <v>516</v>
      </c>
      <c r="AN78" s="119">
        <f>IFERROR(AN65/P51,NA())</f>
        <v>-19.761194029850753</v>
      </c>
      <c r="AO78" s="119">
        <f>IFERROR(AO65/Q51,NA())</f>
        <v>-34.78551136363636</v>
      </c>
      <c r="AP78" s="119">
        <f>IFERROR(AP65/R51,NA())</f>
        <v>-22.333806818181824</v>
      </c>
      <c r="AQ78" s="119">
        <f>IFERROR(AQ65/S51,NA())</f>
        <v>-19.00639204545454</v>
      </c>
      <c r="AR78" s="119">
        <f>IFERROR(AR65/T51,NA())</f>
        <v>-28.122869318181827</v>
      </c>
      <c r="AS78" s="119">
        <f>IFERROR(AS65/U51,NA())</f>
        <v>-10.074573863636369</v>
      </c>
      <c r="AT78" s="119">
        <f>IFERROR(AT65/V51,NA())</f>
        <v>-3.307528409090934</v>
      </c>
      <c r="AU78" s="119">
        <f>IFERROR(AU65/W51,NA())</f>
        <v>-6.6889204545454675</v>
      </c>
      <c r="AV78" s="119">
        <f>IFERROR(AV65/X51,NA())</f>
        <v>6.8359374999999512</v>
      </c>
      <c r="AW78" s="85"/>
    </row>
    <row r="79" spans="2:49" ht="14.85">
      <c r="B79" s="77"/>
      <c r="C79" s="77">
        <f>'Raw BS'!B41</f>
        <v>0</v>
      </c>
      <c r="D79" s="77">
        <f>'Raw BS'!C41</f>
        <v>0</v>
      </c>
      <c r="E79" s="77">
        <f>'Raw BS'!D41</f>
        <v>0</v>
      </c>
      <c r="F79" s="77">
        <f>'Raw BS'!E41</f>
        <v>0</v>
      </c>
      <c r="G79" s="77">
        <f>'Raw BS'!F41</f>
        <v>0</v>
      </c>
      <c r="H79" s="77">
        <f>'Raw BS'!G41</f>
        <v>0</v>
      </c>
      <c r="I79" s="77">
        <f>'Raw BS'!H41</f>
        <v>0</v>
      </c>
      <c r="J79" s="77">
        <f>'Raw BS'!I41</f>
        <v>0</v>
      </c>
      <c r="K79" s="77">
        <f>'Raw BS'!J41</f>
        <v>0</v>
      </c>
      <c r="L79" s="77">
        <f>'Raw BS'!K41</f>
        <v>0</v>
      </c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120" t="s">
        <v>519</v>
      </c>
      <c r="AA79" s="121">
        <f>AA77+AA78-AA73</f>
        <v>0.11999999999989086</v>
      </c>
      <c r="AB79" s="121">
        <f>AB77+AB78-AB73</f>
        <v>0</v>
      </c>
      <c r="AC79" s="121">
        <f>AC77+AC78-AC73</f>
        <v>-0.88999999999987267</v>
      </c>
      <c r="AD79" s="121">
        <f>AD77+AD78-AD73</f>
        <v>-26.830000000000382</v>
      </c>
      <c r="AE79" s="121">
        <f>AE77+AE78-AE73</f>
        <v>-27.600000000000364</v>
      </c>
      <c r="AF79" s="121">
        <f>AF77+AF78-AF73</f>
        <v>10.360000000000127</v>
      </c>
      <c r="AG79" s="121">
        <f>AG77+AG78-AG73</f>
        <v>2.919999999999618</v>
      </c>
      <c r="AH79" s="121">
        <f>AH77+AH78-AH73</f>
        <v>16.600000000000364</v>
      </c>
      <c r="AI79" s="121">
        <f>AI77+AI78-AI73</f>
        <v>14.4399999999996</v>
      </c>
      <c r="AJ79" s="121">
        <f>AJ77+AJ78-AJ73</f>
        <v>0</v>
      </c>
      <c r="AK79" s="98"/>
      <c r="AL79" s="93" t="s">
        <v>520</v>
      </c>
      <c r="AM79" s="119" t="s">
        <v>516</v>
      </c>
      <c r="AN79" s="119">
        <f>IFERROR(AN67/P51,NA())</f>
        <v>-12.283582089552242</v>
      </c>
      <c r="AO79" s="119">
        <f>IFERROR(AO67/Q51,NA())</f>
        <v>-24.841619318181817</v>
      </c>
      <c r="AP79" s="119">
        <f>IFERROR(AP67/R51,NA())</f>
        <v>-17.459517045454554</v>
      </c>
      <c r="AQ79" s="119">
        <f>IFERROR(AQ67/S51,NA())</f>
        <v>-21.752840909090899</v>
      </c>
      <c r="AR79" s="119">
        <f>IFERROR(AR67/T51,NA())</f>
        <v>-8.3423295454545432</v>
      </c>
      <c r="AS79" s="119">
        <f>IFERROR(AS67/U51,NA())</f>
        <v>-13.515625000000005</v>
      </c>
      <c r="AT79" s="119">
        <f>IFERROR(AT67/V51,NA())</f>
        <v>-12.456676136363667</v>
      </c>
      <c r="AU79" s="119">
        <f>IFERROR(AU67/W51,NA())</f>
        <v>9.3558238636363793</v>
      </c>
      <c r="AV79" s="119">
        <f>IFERROR(AV67/X51,NA())</f>
        <v>27.73721590909086</v>
      </c>
      <c r="AW79" s="85"/>
    </row>
    <row r="80" spans="2:49" ht="15" customHeight="1">
      <c r="B80" s="76" t="s">
        <v>137</v>
      </c>
      <c r="C80" s="76">
        <f>'Raw BS'!B42</f>
        <v>0</v>
      </c>
      <c r="D80" s="76">
        <f>'Raw BS'!C42</f>
        <v>0</v>
      </c>
      <c r="E80" s="76">
        <f>'Raw BS'!D42</f>
        <v>0</v>
      </c>
      <c r="F80" s="76">
        <f>'Raw BS'!E42</f>
        <v>0</v>
      </c>
      <c r="G80" s="76">
        <f>'Raw BS'!F42</f>
        <v>0</v>
      </c>
      <c r="H80" s="76">
        <f>'Raw BS'!G42</f>
        <v>0</v>
      </c>
      <c r="I80" s="76">
        <f>'Raw BS'!H42</f>
        <v>0</v>
      </c>
      <c r="J80" s="76">
        <f>'Raw BS'!I42</f>
        <v>0</v>
      </c>
      <c r="K80" s="76">
        <f>'Raw BS'!J42</f>
        <v>0</v>
      </c>
      <c r="L80" s="76">
        <f>'Raw BS'!K42</f>
        <v>0</v>
      </c>
      <c r="AL80" s="85"/>
      <c r="AM80" s="95"/>
      <c r="AN80" s="95"/>
      <c r="AO80" s="95"/>
      <c r="AP80" s="95"/>
      <c r="AQ80" s="95"/>
      <c r="AR80" s="95"/>
      <c r="AS80" s="95"/>
      <c r="AT80" s="95"/>
      <c r="AU80" s="95"/>
      <c r="AV80" s="95"/>
      <c r="AW80" s="85"/>
    </row>
    <row r="81" spans="2:49" ht="15" customHeight="1">
      <c r="B81" s="76" t="s">
        <v>138</v>
      </c>
      <c r="C81" s="76">
        <f>'Raw BS'!B43</f>
        <v>0</v>
      </c>
      <c r="D81" s="76">
        <f>'Raw BS'!C43</f>
        <v>0</v>
      </c>
      <c r="E81" s="76">
        <f>'Raw BS'!D43</f>
        <v>0</v>
      </c>
      <c r="F81" s="76">
        <f>'Raw BS'!E43</f>
        <v>0</v>
      </c>
      <c r="G81" s="76">
        <f>'Raw BS'!F43</f>
        <v>0</v>
      </c>
      <c r="H81" s="76">
        <f>'Raw BS'!G43</f>
        <v>0</v>
      </c>
      <c r="I81" s="76">
        <f>'Raw BS'!H43</f>
        <v>0</v>
      </c>
      <c r="J81" s="76">
        <f>'Raw BS'!I43</f>
        <v>0</v>
      </c>
      <c r="K81" s="76">
        <f>'Raw BS'!J43</f>
        <v>0</v>
      </c>
      <c r="L81" s="76">
        <f>'Raw BS'!K43</f>
        <v>0</v>
      </c>
      <c r="AL81" s="4" t="s">
        <v>521</v>
      </c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</row>
    <row r="82" spans="2:49" ht="15" customHeight="1">
      <c r="B82" s="76" t="s">
        <v>139</v>
      </c>
      <c r="C82" s="76">
        <f>'Raw BS'!B44</f>
        <v>0</v>
      </c>
      <c r="D82" s="76">
        <f>'Raw BS'!C44</f>
        <v>0</v>
      </c>
      <c r="E82" s="76">
        <f>'Raw BS'!D44</f>
        <v>0.87</v>
      </c>
      <c r="F82" s="76">
        <f>'Raw BS'!E44</f>
        <v>0</v>
      </c>
      <c r="G82" s="76">
        <f>'Raw BS'!F44</f>
        <v>0</v>
      </c>
      <c r="H82" s="76">
        <f>'Raw BS'!G44</f>
        <v>0</v>
      </c>
      <c r="I82" s="76">
        <f>'Raw BS'!H44</f>
        <v>3.41</v>
      </c>
      <c r="J82" s="76">
        <f>'Raw BS'!I44</f>
        <v>3.35</v>
      </c>
      <c r="K82" s="76">
        <f>'Raw BS'!J44</f>
        <v>8.48</v>
      </c>
      <c r="L82" s="76">
        <f>'Raw BS'!K44</f>
        <v>3.25</v>
      </c>
      <c r="AL82" s="93" t="s">
        <v>522</v>
      </c>
      <c r="AM82" s="122">
        <v>224.35</v>
      </c>
      <c r="AN82" s="122">
        <v>222.85</v>
      </c>
      <c r="AO82" s="122">
        <v>218.7</v>
      </c>
      <c r="AP82" s="122">
        <v>131.6</v>
      </c>
      <c r="AQ82" s="122">
        <v>183.6</v>
      </c>
      <c r="AR82" s="122">
        <v>151.1</v>
      </c>
      <c r="AS82" s="122">
        <v>177.95</v>
      </c>
      <c r="AT82" s="122">
        <v>304.55</v>
      </c>
      <c r="AU82" s="122">
        <v>360.45</v>
      </c>
      <c r="AV82" s="122">
        <v>287.89999999999998</v>
      </c>
      <c r="AW82" s="85"/>
    </row>
    <row r="83" spans="2:49" ht="15" customHeight="1">
      <c r="B83" s="76" t="s">
        <v>140</v>
      </c>
      <c r="C83" s="76">
        <f>'Raw BS'!B45</f>
        <v>0</v>
      </c>
      <c r="D83" s="76">
        <f>'Raw BS'!C45</f>
        <v>0</v>
      </c>
      <c r="E83" s="76">
        <f>'Raw BS'!D45</f>
        <v>0.87</v>
      </c>
      <c r="F83" s="76">
        <f>'Raw BS'!E45</f>
        <v>0</v>
      </c>
      <c r="G83" s="76">
        <f>'Raw BS'!F45</f>
        <v>0</v>
      </c>
      <c r="H83" s="76">
        <f>'Raw BS'!G45</f>
        <v>0</v>
      </c>
      <c r="I83" s="76">
        <f>'Raw BS'!H45</f>
        <v>3.41</v>
      </c>
      <c r="J83" s="76">
        <f>'Raw BS'!I45</f>
        <v>3.35</v>
      </c>
      <c r="K83" s="76">
        <f>'Raw BS'!J45</f>
        <v>8.48</v>
      </c>
      <c r="L83" s="76">
        <f>'Raw BS'!K45</f>
        <v>3.25</v>
      </c>
      <c r="AL83" s="93" t="s">
        <v>523</v>
      </c>
      <c r="AM83" s="117">
        <f>IF(AM82="","",IFERROR(AM82*AM74,""))</f>
        <v>4078.683</v>
      </c>
      <c r="AN83" s="117">
        <f>IF(AN82="","",IFERROR(AN82*AN74,""))</f>
        <v>3135.4994999999999</v>
      </c>
      <c r="AO83" s="117">
        <f>IF(AO82="","",IFERROR(AO82*AO74,""))</f>
        <v>3079.2959999999998</v>
      </c>
      <c r="AP83" s="117">
        <f>IF(AP82="","",IFERROR(AP82*AP74,""))</f>
        <v>1852.9279999999999</v>
      </c>
      <c r="AQ83" s="117">
        <f>IF(AQ82="","",IFERROR(AQ82*AQ74,""))</f>
        <v>2585.0879999999997</v>
      </c>
      <c r="AR83" s="117">
        <f>IF(AR82="","",IFERROR(AR82*AR74,""))</f>
        <v>2127.4879999999998</v>
      </c>
      <c r="AS83" s="117">
        <f>IF(AS82="","",IFERROR(AS82*AS74,""))</f>
        <v>2505.5360000000001</v>
      </c>
      <c r="AT83" s="117">
        <f>IF(AT82="","",IFERROR(AT82*AT74,""))</f>
        <v>4288.0640000000003</v>
      </c>
      <c r="AU83" s="117">
        <f>IF(AU82="","",IFERROR(AU82*AU74,""))</f>
        <v>5075.1359999999995</v>
      </c>
      <c r="AV83" s="117">
        <f>IF(AV82="","",IFERROR(AV82*AV74,""))</f>
        <v>4053.6319999999996</v>
      </c>
      <c r="AW83" s="85"/>
    </row>
    <row r="84" spans="2:49" ht="15" customHeight="1">
      <c r="B84" s="76" t="s">
        <v>141</v>
      </c>
      <c r="C84" s="78">
        <f>'Raw BS'!B46</f>
        <v>778.19</v>
      </c>
      <c r="D84" s="78">
        <f>'Raw BS'!C46</f>
        <v>857.2</v>
      </c>
      <c r="E84" s="78">
        <f>'Raw BS'!D46</f>
        <v>1111.2</v>
      </c>
      <c r="F84" s="78">
        <f>'Raw BS'!E46</f>
        <v>1458.27</v>
      </c>
      <c r="G84" s="78">
        <f>'Raw BS'!F46</f>
        <v>1748.4</v>
      </c>
      <c r="H84" s="78">
        <f>'Raw BS'!G46</f>
        <v>1670.38</v>
      </c>
      <c r="I84" s="78">
        <f>'Raw BS'!H46</f>
        <v>1604.58</v>
      </c>
      <c r="J84" s="78">
        <f>'Raw BS'!I46</f>
        <v>1531.63</v>
      </c>
      <c r="K84" s="78">
        <f>'Raw BS'!J46</f>
        <v>1539.93</v>
      </c>
      <c r="L84" s="78">
        <f>'Raw BS'!K46</f>
        <v>1540.1</v>
      </c>
      <c r="AL84" s="93" t="s">
        <v>18</v>
      </c>
      <c r="AM84" s="117">
        <f>IF(AM82="","",IFERROR((AM82*AM74+(O54+O55+O58+O59)-O46-O47),""))</f>
        <v>4152.6030000000001</v>
      </c>
      <c r="AN84" s="117">
        <f>IF(AN82="","",IFERROR((AN82*AN74+(P54+P55+P58+P59)-P46-P47),""))</f>
        <v>1709.1094999999996</v>
      </c>
      <c r="AO84" s="117">
        <f>IF(AO82="","",IFERROR((AO82*AO74+(Q54+Q55+Q58+Q59)-Q46-Q47),""))</f>
        <v>2277.2259999999997</v>
      </c>
      <c r="AP84" s="117">
        <f>IF(AP82="","",IFERROR((AP82*AP74+(R54+R55+R58+R59)-R46-R47),""))</f>
        <v>1384.0479999999998</v>
      </c>
      <c r="AQ84" s="117">
        <f>IF(AQ82="","",IFERROR((AQ82*AQ74+(S54+S55+S58+S59)-S46-S47),""))</f>
        <v>2366.8380000000002</v>
      </c>
      <c r="AR84" s="117">
        <f>IF(AR82="","",IFERROR((AR82*AR74+(T54+T55+T58+T59)-T46-T47),""))</f>
        <v>2088.598</v>
      </c>
      <c r="AS84" s="117">
        <f>IF(AS82="","",IFERROR((AS82*AS74+(U54+U55+U58+U59)-U46-U47),""))</f>
        <v>2626.346</v>
      </c>
      <c r="AT84" s="117">
        <f>IF(AT82="","",IFERROR((AT82*AT74+(V54+V55+V58+V59)-V46-V47),""))</f>
        <v>4356.134</v>
      </c>
      <c r="AU84" s="117">
        <f>IF(AU82="","",IFERROR((AU82*AU74+(W54+W55+W58+W59)-W46-W47),""))</f>
        <v>5396.695999999999</v>
      </c>
      <c r="AV84" s="117">
        <f>IF(AV82="","",IFERROR((AV82*AV74+(X54+X55+X58+X59)-X46-X47),""))</f>
        <v>4259.0819999999994</v>
      </c>
      <c r="AW84" s="85"/>
    </row>
    <row r="85" spans="2:49" ht="15" customHeight="1">
      <c r="B85" s="76" t="s">
        <v>142</v>
      </c>
      <c r="C85" s="78">
        <f>'Raw BS'!B47</f>
        <v>1526.65</v>
      </c>
      <c r="D85" s="78">
        <f>'Raw BS'!C47</f>
        <v>3193.67</v>
      </c>
      <c r="E85" s="78">
        <f>'Raw BS'!D47</f>
        <v>3149.61</v>
      </c>
      <c r="F85" s="78">
        <f>'Raw BS'!E47</f>
        <v>3144.74</v>
      </c>
      <c r="G85" s="78">
        <f>'Raw BS'!F47</f>
        <v>3125.71</v>
      </c>
      <c r="H85" s="78">
        <f>'Raw BS'!G47</f>
        <v>3318.77</v>
      </c>
      <c r="I85" s="78">
        <f>'Raw BS'!H47</f>
        <v>3193.05</v>
      </c>
      <c r="J85" s="78">
        <f>'Raw BS'!I47</f>
        <v>3274.95</v>
      </c>
      <c r="K85" s="78">
        <f>'Raw BS'!J47</f>
        <v>3569.4</v>
      </c>
      <c r="L85" s="78">
        <f>'Raw BS'!K47</f>
        <v>3737.44</v>
      </c>
      <c r="AL85" s="93" t="s">
        <v>524</v>
      </c>
      <c r="AM85" s="111">
        <f>IF(AM82="","",IFERROR(AM82/AM75,""))</f>
        <v>-57.657379134860051</v>
      </c>
      <c r="AN85" s="111">
        <f>IF(AN82="","",IFERROR(AN82/AN75,""))</f>
        <v>-23.559241866406193</v>
      </c>
      <c r="AO85" s="111">
        <f>IF(AO82="","",IFERROR(AO82/AO75,""))</f>
        <v>-120.52039138943283</v>
      </c>
      <c r="AP85" s="111">
        <f>IF(AP82="","",IFERROR(AP82/AP75,""))</f>
        <v>-30.784648612726368</v>
      </c>
      <c r="AQ85" s="111">
        <f>IF(AQ82="","",IFERROR(AQ82/AQ75,""))</f>
        <v>75.301136032624626</v>
      </c>
      <c r="AR85" s="111">
        <f>IF(AR82="","",IFERROR(AR82/AR75,""))</f>
        <v>64.371800302571941</v>
      </c>
      <c r="AS85" s="111">
        <f>IF(AS82="","",IFERROR(AS82/AS75,""))</f>
        <v>-12.390149342300452</v>
      </c>
      <c r="AT85" s="111">
        <f>IF(AT82="","",IFERROR(AT82/AT75,""))</f>
        <v>-45.734470989761</v>
      </c>
      <c r="AU85" s="111">
        <f>IF(AU82="","",IFERROR(AU82/AU75,""))</f>
        <v>36.9047120418848</v>
      </c>
      <c r="AV85" s="111">
        <f>IF(AV82="","",IFERROR(AV82/AV75,""))</f>
        <v>8.5628052386987736</v>
      </c>
      <c r="AW85" s="85"/>
    </row>
    <row r="86" spans="2:49" ht="15" customHeight="1">
      <c r="B86" s="76" t="s">
        <v>143</v>
      </c>
      <c r="C86" s="77">
        <f>'Raw BS'!B48</f>
        <v>0</v>
      </c>
      <c r="D86" s="77">
        <f>'Raw BS'!C48</f>
        <v>0</v>
      </c>
      <c r="E86" s="77">
        <f>'Raw BS'!D48</f>
        <v>0</v>
      </c>
      <c r="F86" s="77">
        <f>'Raw BS'!E48</f>
        <v>0</v>
      </c>
      <c r="G86" s="77">
        <f>'Raw BS'!F48</f>
        <v>0</v>
      </c>
      <c r="H86" s="77">
        <f>'Raw BS'!G48</f>
        <v>0</v>
      </c>
      <c r="I86" s="77">
        <f>'Raw BS'!H48</f>
        <v>0</v>
      </c>
      <c r="J86" s="77">
        <f>'Raw BS'!I48</f>
        <v>0</v>
      </c>
      <c r="K86" s="77">
        <f>'Raw BS'!J48</f>
        <v>0</v>
      </c>
      <c r="L86" s="77">
        <f>'Raw BS'!K48</f>
        <v>0</v>
      </c>
      <c r="AL86" s="93" t="s">
        <v>525</v>
      </c>
      <c r="AM86" s="111">
        <f>IF(AM82="","",IFERROR(AM82/AM76,""))</f>
        <v>3.8351148555255707</v>
      </c>
      <c r="AN86" s="111">
        <f>IF(AN82="","",IFERROR(AN82/AN76,""))</f>
        <v>1.1699232115339409</v>
      </c>
      <c r="AO86" s="111">
        <f>IF(AO82="","",IFERROR(AO82/AO76,""))</f>
        <v>1.1753441912126752</v>
      </c>
      <c r="AP86" s="111">
        <f>IF(AP82="","",IFERROR(AP82/AP76,""))</f>
        <v>0.73199202006834296</v>
      </c>
      <c r="AQ86" s="111">
        <f>IF(AQ82="","",IFERROR(AQ82/AQ76,""))</f>
        <v>1.0110519666931317</v>
      </c>
      <c r="AR86" s="111">
        <f>IF(AR82="","",IFERROR(AR82/AR76,""))</f>
        <v>0.81251140959589985</v>
      </c>
      <c r="AS86" s="111">
        <f>IF(AS82="","",IFERROR(AS82/AS76,""))</f>
        <v>1.0288407999014495</v>
      </c>
      <c r="AT86" s="111">
        <f>IF(AT82="","",IFERROR(AT82/AT76,""))</f>
        <v>1.7586285526801464</v>
      </c>
      <c r="AU86" s="111">
        <f>IF(AU82="","",IFERROR(AU82/AU76,""))</f>
        <v>2.0709853545472718</v>
      </c>
      <c r="AV86" s="111">
        <f>IF(AV82="","",IFERROR(AV82/AV76,""))</f>
        <v>1.4917098445595853</v>
      </c>
      <c r="AW86" s="85"/>
    </row>
    <row r="87" spans="2:49" ht="15" customHeight="1">
      <c r="B87" s="77"/>
      <c r="C87" s="77">
        <f>'Raw BS'!B49</f>
        <v>0</v>
      </c>
      <c r="D87" s="77">
        <f>'Raw BS'!C49</f>
        <v>0</v>
      </c>
      <c r="E87" s="77">
        <f>'Raw BS'!D49</f>
        <v>0</v>
      </c>
      <c r="F87" s="77">
        <f>'Raw BS'!E49</f>
        <v>0</v>
      </c>
      <c r="G87" s="77">
        <f>'Raw BS'!F49</f>
        <v>0</v>
      </c>
      <c r="H87" s="77">
        <f>'Raw BS'!G49</f>
        <v>0</v>
      </c>
      <c r="I87" s="77">
        <f>'Raw BS'!H49</f>
        <v>0</v>
      </c>
      <c r="J87" s="77">
        <f>'Raw BS'!I49</f>
        <v>0</v>
      </c>
      <c r="K87" s="77">
        <f>'Raw BS'!J49</f>
        <v>0</v>
      </c>
      <c r="L87" s="77">
        <f>'Raw BS'!K49</f>
        <v>0</v>
      </c>
      <c r="AL87" s="93" t="s">
        <v>526</v>
      </c>
      <c r="AM87" s="111">
        <f>IF(AM82="","",IFERROR((AM82*AM74+(O54+O55+O58+O59)-O46-O47)/O3,""))</f>
        <v>5.9517607602012292</v>
      </c>
      <c r="AN87" s="111">
        <f>IF(AN82="","",IFERROR((AN82*AN74+(P54+P55+P58+P59)-P46-P47)/P3,""))</f>
        <v>2.0981223683079824</v>
      </c>
      <c r="AO87" s="111">
        <f>IF(AO82="","",IFERROR((AO82*AO74+(Q54+Q55+Q58+Q59)-Q46-Q47)/Q3,""))</f>
        <v>1.9297707724248971</v>
      </c>
      <c r="AP87" s="111">
        <f>IF(AP82="","",IFERROR((AP82*AP74+(R54+R55+R58+R59)-R46-R47)/R3,""))</f>
        <v>1.2539960678076667</v>
      </c>
      <c r="AQ87" s="111">
        <f>IF(AQ82="","",IFERROR((AQ82*AQ74+(S54+S55+S58+S59)-S46-S47)/S3,""))</f>
        <v>1.9162507893841993</v>
      </c>
      <c r="AR87" s="111">
        <f>IF(AR82="","",IFERROR((AR82*AR74+(T54+T55+T58+T59)-T46-T47)/T3,""))</f>
        <v>1.644785522471512</v>
      </c>
      <c r="AS87" s="111">
        <f>IF(AS82="","",IFERROR((AS82*AS74+(U54+U55+U58+U59)-U46-U47)/U3,""))</f>
        <v>1.9555524117287904</v>
      </c>
      <c r="AT87" s="111">
        <f>IF(AT82="","",IFERROR((AT82*AT74+(V54+V55+V58+V59)-V46-V47)/V3,""))</f>
        <v>2.4402608242629307</v>
      </c>
      <c r="AU87" s="111">
        <f>IF(AU82="","",IFERROR((AU82*AU74+(W54+W55+W58+W59)-W46-W47)/W3,""))</f>
        <v>2.5565005660904698</v>
      </c>
      <c r="AV87" s="111">
        <f>IF(AV82="","",IFERROR((AV82*AV74+(X54+X55+X58+X59)-X46-X47)/X3,""))</f>
        <v>1.9343197765515361</v>
      </c>
      <c r="AW87" s="85"/>
    </row>
    <row r="88" spans="2:49" ht="15" customHeight="1">
      <c r="B88" s="76" t="s">
        <v>144</v>
      </c>
      <c r="C88" s="76">
        <f>'Raw BS'!B50</f>
        <v>18.18</v>
      </c>
      <c r="D88" s="76">
        <f>'Raw BS'!C50</f>
        <v>14.07</v>
      </c>
      <c r="E88" s="76">
        <f>'Raw BS'!D50</f>
        <v>14.08</v>
      </c>
      <c r="F88" s="76">
        <f>'Raw BS'!E50</f>
        <v>14.08</v>
      </c>
      <c r="G88" s="76">
        <f>'Raw BS'!F50</f>
        <v>14.08</v>
      </c>
      <c r="H88" s="76">
        <f>'Raw BS'!G50</f>
        <v>14.08</v>
      </c>
      <c r="I88" s="76">
        <f>'Raw BS'!H50</f>
        <v>14.08</v>
      </c>
      <c r="J88" s="76">
        <f>'Raw BS'!I50</f>
        <v>14.08</v>
      </c>
      <c r="K88" s="76">
        <f>'Raw BS'!J50</f>
        <v>14.08</v>
      </c>
      <c r="L88" s="76">
        <f>'Raw BS'!K50</f>
        <v>14.08</v>
      </c>
      <c r="AL88" s="93" t="s">
        <v>527</v>
      </c>
      <c r="AM88" s="111">
        <f>IF(AM82="","",IFERROR((AM82*AM74+(O54+O55+O58+O59)-O46-O47)/O9,""))</f>
        <v>-115.67139275766024</v>
      </c>
      <c r="AN88" s="111">
        <f>IF(AN82="","",IFERROR((AN82*AN74+(P54+P55+P58+P59)-P46-P47)/P9,""))</f>
        <v>-24.068574848612869</v>
      </c>
      <c r="AO88" s="111">
        <f>IF(AO82="","",IFERROR((AO82*AO74+(Q54+Q55+Q58+Q59)-Q46-Q47)/Q9,""))</f>
        <v>152.62908847184909</v>
      </c>
      <c r="AP88" s="111">
        <f>IF(AP82="","",IFERROR((AP82*AP74+(R54+R55+R58+R59)-R46-R47)/R9,""))</f>
        <v>34.182464806124955</v>
      </c>
      <c r="AQ88" s="111">
        <f>IF(AQ82="","",IFERROR((AQ82*AQ74+(S54+S55+S58+S59)-S46-S47)/S9,""))</f>
        <v>16.750445859872617</v>
      </c>
      <c r="AR88" s="111">
        <f>IF(AR82="","",IFERROR((AR82*AR74+(T54+T55+T58+T59)-T46-T47)/T9,""))</f>
        <v>17.361579384871163</v>
      </c>
      <c r="AS88" s="111">
        <f>IF(AS82="","",IFERROR((AS82*AS74+(U54+U55+U58+U59)-U46-U47)/U9,""))</f>
        <v>-373.06051136362623</v>
      </c>
      <c r="AT88" s="111">
        <f>IF(AT82="","",IFERROR((AT82*AT74+(V54+V55+V58+V59)-V46-V47)/V9,""))</f>
        <v>36.769933316451485</v>
      </c>
      <c r="AU88" s="111">
        <f>IF(AU82="","",IFERROR((AU82*AU74+(W54+W55+W58+W59)-W46-W47)/W9,""))</f>
        <v>17.978199746818568</v>
      </c>
      <c r="AV88" s="111">
        <f>IF(AV82="","",IFERROR((AV82*AV74+(X54+X55+X58+X59)-X46-X47)/X9,""))</f>
        <v>9.1046880010261013</v>
      </c>
      <c r="AW88" s="85"/>
    </row>
    <row r="89" spans="2:49" ht="15" customHeight="1">
      <c r="B89" s="76" t="s">
        <v>145</v>
      </c>
      <c r="C89" s="76">
        <f>'Raw BS'!B51</f>
        <v>0</v>
      </c>
      <c r="D89" s="76">
        <f>'Raw BS'!C51</f>
        <v>2.06</v>
      </c>
      <c r="E89" s="76">
        <f>'Raw BS'!D51</f>
        <v>0</v>
      </c>
      <c r="F89" s="76">
        <f>'Raw BS'!E51</f>
        <v>0</v>
      </c>
      <c r="G89" s="76">
        <f>'Raw BS'!F51</f>
        <v>0</v>
      </c>
      <c r="H89" s="76">
        <f>'Raw BS'!G51</f>
        <v>0</v>
      </c>
      <c r="I89" s="76">
        <f>'Raw BS'!H51</f>
        <v>0</v>
      </c>
      <c r="J89" s="76">
        <f>'Raw BS'!I51</f>
        <v>0</v>
      </c>
      <c r="K89" s="76">
        <f>'Raw BS'!J51</f>
        <v>0</v>
      </c>
      <c r="L89" s="76">
        <f>'Raw BS'!K51</f>
        <v>0</v>
      </c>
      <c r="AL89" s="93" t="s">
        <v>528</v>
      </c>
      <c r="AM89" s="111">
        <f>IF(AM82="","",IFERROR((AM82*AM74+(O54+O55+O58+O59)-O46-O47)/O11,""))</f>
        <v>-52.286615462100237</v>
      </c>
      <c r="AN89" s="111">
        <f>IF(AN82="","",IFERROR((AN82*AN74+(P54+P55+P58+P59)-P46-P47)/P11,""))</f>
        <v>-14.064429723502302</v>
      </c>
      <c r="AO89" s="111">
        <f>IF(AO82="","",IFERROR((AO82*AO74+(Q54+Q55+Q58+Q59)-Q46-Q47)/Q11,""))</f>
        <v>-43.417082936129695</v>
      </c>
      <c r="AP89" s="111">
        <f>IF(AP82="","",IFERROR((AP82*AP74+(R54+R55+R58+R59)-R46-R47)/R11,""))</f>
        <v>-33.609713453132592</v>
      </c>
      <c r="AQ89" s="111">
        <f>IF(AQ82="","",IFERROR((AQ82*AQ74+(S54+S55+S58+S59)-S46-S47)/S11,""))</f>
        <v>41.567228661749247</v>
      </c>
      <c r="AR89" s="111">
        <f>IF(AR82="","",IFERROR((AR82*AR74+(T54+T55+T58+T59)-T46-T47)/T11,""))</f>
        <v>71.699210435976767</v>
      </c>
      <c r="AS89" s="111">
        <f>IF(AS82="","",IFERROR((AS82*AS74+(U54+U55+U58+U59)-U46-U47)/U11,""))</f>
        <v>-21.799020584329316</v>
      </c>
      <c r="AT89" s="111">
        <f>IF(AT82="","",IFERROR((AT82*AT74+(V54+V55+V58+V59)-V46-V47)/V11,""))</f>
        <v>-928.81321961616572</v>
      </c>
      <c r="AU89" s="111">
        <f>IF(AU82="","",IFERROR((AU82*AU74+(W54+W55+W58+W59)-W46-W47)/W11,""))</f>
        <v>30.729393007630094</v>
      </c>
      <c r="AV89" s="111">
        <f>IF(AV82="","",IFERROR((AV82*AV74+(X54+X55+X58+X59)-X46-X47)/X11,""))</f>
        <v>12.429106720751744</v>
      </c>
      <c r="AW89" s="85"/>
    </row>
    <row r="90" spans="2:49" ht="15" customHeight="1">
      <c r="B90" s="76" t="s">
        <v>146</v>
      </c>
      <c r="C90" s="76">
        <f>'Raw BS'!B52</f>
        <v>7.35</v>
      </c>
      <c r="D90" s="76">
        <f>'Raw BS'!C52</f>
        <v>7.35</v>
      </c>
      <c r="E90" s="76">
        <f>'Raw BS'!D52</f>
        <v>7.35</v>
      </c>
      <c r="F90" s="76">
        <f>'Raw BS'!E52</f>
        <v>0.73</v>
      </c>
      <c r="G90" s="76">
        <f>'Raw BS'!F52</f>
        <v>0.73</v>
      </c>
      <c r="H90" s="76">
        <f>'Raw BS'!G52</f>
        <v>0.73</v>
      </c>
      <c r="I90" s="76">
        <f>'Raw BS'!H52</f>
        <v>0.73</v>
      </c>
      <c r="J90" s="76">
        <f>'Raw BS'!I52</f>
        <v>0</v>
      </c>
      <c r="K90" s="76">
        <f>'Raw BS'!J52</f>
        <v>0.73</v>
      </c>
      <c r="L90" s="76">
        <f>'Raw BS'!K52</f>
        <v>0</v>
      </c>
      <c r="AL90" s="93" t="s">
        <v>529</v>
      </c>
      <c r="AM90" s="111" t="str">
        <f>IF(AM82="","",IFERROR((AM82*AM74+(O54+O55+O58+O59)-O46-O47)/AM65,""))</f>
        <v/>
      </c>
      <c r="AN90" s="111">
        <f>IF(AN82="","",IFERROR((AN82*AN74+(P54+P55+P58+P59)-P46-P47)/AN65,""))</f>
        <v>-6.1469914400805603</v>
      </c>
      <c r="AO90" s="111">
        <f>IF(AO82="","",IFERROR((AO82*AO74+(Q54+Q55+Q58+Q59)-Q46-Q47)/AO65,""))</f>
        <v>-4.6494875250112289</v>
      </c>
      <c r="AP90" s="111">
        <f>IF(AP82="","",IFERROR((AP82*AP74+(R54+R55+R58+R59)-R46-R47)/AP65,""))</f>
        <v>-4.4013483431915006</v>
      </c>
      <c r="AQ90" s="111">
        <f>IF(AQ82="","",IFERROR((AQ82*AQ74+(S54+S55+S58+S59)-S46-S47)/AQ65,""))</f>
        <v>-8.8443555920929757</v>
      </c>
      <c r="AR90" s="111">
        <f>IF(AR82="","",IFERROR((AR82*AR74+(T54+T55+T58+T59)-T46-T47)/AR65,""))</f>
        <v>-5.2746369674470266</v>
      </c>
      <c r="AS90" s="111">
        <f>IF(AS82="","",IFERROR((AS82*AS74+(U54+U55+U58+U59)-U46-U47)/AS65,""))</f>
        <v>-18.514952414522373</v>
      </c>
      <c r="AT90" s="111">
        <f>IF(AT82="","",IFERROR((AT82*AT74+(V54+V55+V58+V59)-V46-V47)/AT65,""))</f>
        <v>-93.539488941377869</v>
      </c>
      <c r="AU90" s="111">
        <f>IF(AU82="","",IFERROR((AU82*AU74+(W54+W55+W58+W59)-W46-W47)/AU65,""))</f>
        <v>-57.301932469738681</v>
      </c>
      <c r="AV90" s="111">
        <f>IF(AV82="","",IFERROR((AV82*AV74+(X54+X55+X58+X59)-X46-X47)/AV65,""))</f>
        <v>44.250202597402904</v>
      </c>
      <c r="AW90" s="85"/>
    </row>
    <row r="91" spans="2:49" ht="15" customHeight="1">
      <c r="B91" s="76" t="s">
        <v>147</v>
      </c>
      <c r="C91" s="76">
        <f>'Raw BS'!B53</f>
        <v>9.09</v>
      </c>
      <c r="D91" s="76">
        <f>'Raw BS'!C53</f>
        <v>7.03</v>
      </c>
      <c r="E91" s="76">
        <f>'Raw BS'!D53</f>
        <v>7.04</v>
      </c>
      <c r="F91" s="76">
        <f>'Raw BS'!E53</f>
        <v>7.04</v>
      </c>
      <c r="G91" s="76">
        <f>'Raw BS'!F53</f>
        <v>7.04</v>
      </c>
      <c r="H91" s="76">
        <f>'Raw BS'!G53</f>
        <v>7.04</v>
      </c>
      <c r="I91" s="76">
        <f>'Raw BS'!H53</f>
        <v>7.04</v>
      </c>
      <c r="J91" s="76">
        <f>'Raw BS'!I53</f>
        <v>7.04</v>
      </c>
      <c r="K91" s="76">
        <f>'Raw BS'!J53</f>
        <v>7.04</v>
      </c>
      <c r="L91" s="76">
        <f>'Raw BS'!K53</f>
        <v>7.0405749999999996</v>
      </c>
      <c r="AL91" s="85"/>
      <c r="AM91" s="95"/>
      <c r="AN91" s="95"/>
      <c r="AO91" s="95"/>
      <c r="AP91" s="95"/>
      <c r="AQ91" s="95"/>
      <c r="AR91" s="95"/>
      <c r="AS91" s="95"/>
      <c r="AT91" s="95"/>
      <c r="AU91" s="95"/>
      <c r="AV91" s="95"/>
      <c r="AW91" s="85"/>
    </row>
    <row r="92" spans="2:49" ht="15" customHeight="1">
      <c r="B92" s="76" t="s">
        <v>148</v>
      </c>
      <c r="C92" s="76">
        <f>'Raw BS'!B54</f>
        <v>18.18</v>
      </c>
      <c r="D92" s="76">
        <f>'Raw BS'!C54</f>
        <v>14.07</v>
      </c>
      <c r="E92" s="76">
        <f>'Raw BS'!D54</f>
        <v>14.08</v>
      </c>
      <c r="F92" s="76">
        <f>'Raw BS'!E54</f>
        <v>14.08</v>
      </c>
      <c r="G92" s="76">
        <f>'Raw BS'!F54</f>
        <v>14.08</v>
      </c>
      <c r="H92" s="76">
        <f>'Raw BS'!G54</f>
        <v>14.08</v>
      </c>
      <c r="I92" s="76">
        <f>'Raw BS'!H54</f>
        <v>14.08</v>
      </c>
      <c r="J92" s="76">
        <f>'Raw BS'!I54</f>
        <v>14.08</v>
      </c>
      <c r="K92" s="76">
        <f>'Raw BS'!J54</f>
        <v>14.08</v>
      </c>
      <c r="L92" s="76">
        <f>'Raw BS'!K54</f>
        <v>14.08</v>
      </c>
      <c r="AL92" s="4" t="s">
        <v>530</v>
      </c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</row>
    <row r="93" spans="2:49" ht="15" customHeight="1">
      <c r="B93" s="76" t="s">
        <v>149</v>
      </c>
      <c r="C93" s="76">
        <f>'Raw BS'!B55</f>
        <v>0</v>
      </c>
      <c r="D93" s="76">
        <f>'Raw BS'!C55</f>
        <v>0</v>
      </c>
      <c r="E93" s="76">
        <f>'Raw BS'!D55</f>
        <v>0</v>
      </c>
      <c r="F93" s="76">
        <f>'Raw BS'!E55</f>
        <v>0</v>
      </c>
      <c r="G93" s="76">
        <f>'Raw BS'!F55</f>
        <v>0</v>
      </c>
      <c r="H93" s="76">
        <f>'Raw BS'!G55</f>
        <v>0</v>
      </c>
      <c r="I93" s="76">
        <f>'Raw BS'!H55</f>
        <v>0</v>
      </c>
      <c r="J93" s="76">
        <f>'Raw BS'!I55</f>
        <v>0</v>
      </c>
      <c r="K93" s="76">
        <f>'Raw BS'!J55</f>
        <v>0</v>
      </c>
      <c r="L93" s="76">
        <f>'Raw BS'!K55</f>
        <v>0</v>
      </c>
      <c r="AL93" s="123" t="s">
        <v>531</v>
      </c>
      <c r="AM93" s="124">
        <f>AV2</f>
        <v>202603</v>
      </c>
      <c r="AN93" s="95"/>
      <c r="AO93" s="95"/>
      <c r="AP93" s="95"/>
      <c r="AQ93" s="95"/>
      <c r="AR93" s="95"/>
      <c r="AS93" s="95"/>
      <c r="AT93" s="95"/>
      <c r="AU93" s="95"/>
      <c r="AV93" s="95"/>
      <c r="AW93" s="85"/>
    </row>
    <row r="94" spans="2:49" ht="15" customHeight="1">
      <c r="B94" s="76" t="s">
        <v>150</v>
      </c>
      <c r="C94" s="76">
        <f>'Raw BS'!B56</f>
        <v>0</v>
      </c>
      <c r="D94" s="76">
        <f>'Raw BS'!C56</f>
        <v>0</v>
      </c>
      <c r="E94" s="76">
        <f>'Raw BS'!D56</f>
        <v>0</v>
      </c>
      <c r="F94" s="76">
        <f>'Raw BS'!E56</f>
        <v>0</v>
      </c>
      <c r="G94" s="76">
        <f>'Raw BS'!F56</f>
        <v>0</v>
      </c>
      <c r="H94" s="76">
        <f>'Raw BS'!G56</f>
        <v>0</v>
      </c>
      <c r="I94" s="76">
        <f>'Raw BS'!H56</f>
        <v>0</v>
      </c>
      <c r="J94" s="76">
        <f>'Raw BS'!I56</f>
        <v>0</v>
      </c>
      <c r="K94" s="76">
        <f>'Raw BS'!J56</f>
        <v>0</v>
      </c>
      <c r="L94" s="76">
        <f>'Raw BS'!K56</f>
        <v>0</v>
      </c>
      <c r="AL94" s="123" t="s">
        <v>366</v>
      </c>
      <c r="AM94" s="125">
        <f>AV4</f>
        <v>4.3051298692070583E-2</v>
      </c>
      <c r="AN94" s="95"/>
      <c r="AO94" s="95"/>
      <c r="AP94" s="95"/>
      <c r="AQ94" s="95"/>
      <c r="AR94" s="95"/>
      <c r="AS94" s="95"/>
      <c r="AT94" s="95"/>
      <c r="AU94" s="95"/>
      <c r="AV94" s="95"/>
      <c r="AW94" s="85"/>
    </row>
    <row r="95" spans="2:49" ht="15" customHeight="1">
      <c r="B95" s="76" t="s">
        <v>151</v>
      </c>
      <c r="C95" s="76">
        <f>'Raw BS'!B57</f>
        <v>0</v>
      </c>
      <c r="D95" s="76">
        <f>'Raw BS'!C57</f>
        <v>0</v>
      </c>
      <c r="E95" s="76">
        <f>'Raw BS'!D57</f>
        <v>0</v>
      </c>
      <c r="F95" s="76">
        <f>'Raw BS'!E57</f>
        <v>0</v>
      </c>
      <c r="G95" s="76">
        <f>'Raw BS'!F57</f>
        <v>0</v>
      </c>
      <c r="H95" s="76">
        <f>'Raw BS'!G57</f>
        <v>0</v>
      </c>
      <c r="I95" s="76">
        <f>'Raw BS'!H57</f>
        <v>0</v>
      </c>
      <c r="J95" s="76">
        <f>'Raw BS'!I57</f>
        <v>0</v>
      </c>
      <c r="K95" s="76">
        <f>'Raw BS'!J57</f>
        <v>0</v>
      </c>
      <c r="L95" s="76">
        <f>'Raw BS'!K57</f>
        <v>0</v>
      </c>
      <c r="AL95" s="123" t="s">
        <v>390</v>
      </c>
      <c r="AM95" s="125">
        <f>AV11</f>
        <v>0.1838136112814224</v>
      </c>
      <c r="AN95" s="95"/>
      <c r="AO95" s="95"/>
      <c r="AP95" s="95"/>
      <c r="AQ95" s="95"/>
      <c r="AR95" s="95"/>
      <c r="AS95" s="95"/>
      <c r="AT95" s="95"/>
      <c r="AU95" s="95"/>
      <c r="AV95" s="95"/>
      <c r="AW95" s="85"/>
    </row>
    <row r="96" spans="2:49" ht="15" customHeight="1">
      <c r="B96" s="76" t="s">
        <v>152</v>
      </c>
      <c r="C96" s="78">
        <f>'Raw BS'!B58</f>
        <v>1045.33</v>
      </c>
      <c r="D96" s="78">
        <f>'Raw BS'!C58</f>
        <v>2666.02</v>
      </c>
      <c r="E96" s="78">
        <f>'Raw BS'!D58</f>
        <v>2605.83</v>
      </c>
      <c r="F96" s="78">
        <f>'Raw BS'!E58</f>
        <v>2517.27</v>
      </c>
      <c r="G96" s="78">
        <f>'Raw BS'!F58</f>
        <v>2542.75</v>
      </c>
      <c r="H96" s="78">
        <f>'Raw BS'!G58</f>
        <v>2604.33</v>
      </c>
      <c r="I96" s="78">
        <f>'Raw BS'!H58</f>
        <v>2421.2199999999998</v>
      </c>
      <c r="J96" s="78">
        <f>'Raw BS'!I58</f>
        <v>2424.2199999999998</v>
      </c>
      <c r="K96" s="78">
        <f>'Raw BS'!J58</f>
        <v>2436.5100000000002</v>
      </c>
      <c r="L96" s="78">
        <f>'Raw BS'!K58</f>
        <v>2703.36</v>
      </c>
      <c r="AL96" s="123" t="s">
        <v>532</v>
      </c>
      <c r="AM96" s="125">
        <f>AV27</f>
        <v>0.1832032708788455</v>
      </c>
      <c r="AN96" s="95"/>
      <c r="AO96" s="95"/>
      <c r="AP96" s="95"/>
      <c r="AQ96" s="95"/>
      <c r="AR96" s="95"/>
      <c r="AS96" s="95"/>
      <c r="AT96" s="95"/>
      <c r="AU96" s="95"/>
      <c r="AV96" s="95"/>
      <c r="AW96" s="85"/>
    </row>
    <row r="97" spans="2:49" ht="15" customHeight="1">
      <c r="B97" s="76" t="s">
        <v>153</v>
      </c>
      <c r="C97" s="76">
        <f>'Raw BS'!B59</f>
        <v>0</v>
      </c>
      <c r="D97" s="76">
        <f>'Raw BS'!C59</f>
        <v>0</v>
      </c>
      <c r="E97" s="76">
        <f>'Raw BS'!D59</f>
        <v>0</v>
      </c>
      <c r="F97" s="76">
        <f>'Raw BS'!E59</f>
        <v>0</v>
      </c>
      <c r="G97" s="76">
        <f>'Raw BS'!F59</f>
        <v>0</v>
      </c>
      <c r="H97" s="76">
        <f>'Raw BS'!G59</f>
        <v>0</v>
      </c>
      <c r="I97" s="76">
        <f>'Raw BS'!H59</f>
        <v>0</v>
      </c>
      <c r="J97" s="76">
        <f>'Raw BS'!I59</f>
        <v>0</v>
      </c>
      <c r="K97" s="76">
        <f>'Raw BS'!J59</f>
        <v>0</v>
      </c>
      <c r="L97" s="76">
        <f>'Raw BS'!K59</f>
        <v>0</v>
      </c>
      <c r="AL97" s="123" t="s">
        <v>533</v>
      </c>
      <c r="AM97" s="125">
        <f>AV28</f>
        <v>8.4095813249635651E-2</v>
      </c>
      <c r="AN97" s="95"/>
      <c r="AO97" s="95"/>
      <c r="AP97" s="95"/>
      <c r="AQ97" s="95"/>
      <c r="AR97" s="95"/>
      <c r="AS97" s="95"/>
      <c r="AT97" s="95"/>
      <c r="AU97" s="95"/>
      <c r="AV97" s="95"/>
      <c r="AW97" s="85"/>
    </row>
    <row r="98" spans="2:49" ht="15" customHeight="1">
      <c r="B98" s="76" t="s">
        <v>154</v>
      </c>
      <c r="C98" s="76">
        <f>'Raw BS'!B60</f>
        <v>0</v>
      </c>
      <c r="D98" s="76">
        <f>'Raw BS'!C60</f>
        <v>0</v>
      </c>
      <c r="E98" s="76">
        <f>'Raw BS'!D60</f>
        <v>0</v>
      </c>
      <c r="F98" s="76">
        <f>'Raw BS'!E60</f>
        <v>0</v>
      </c>
      <c r="G98" s="76">
        <f>'Raw BS'!F60</f>
        <v>0</v>
      </c>
      <c r="H98" s="76">
        <f>'Raw BS'!G60</f>
        <v>0</v>
      </c>
      <c r="I98" s="76">
        <f>'Raw BS'!H60</f>
        <v>0</v>
      </c>
      <c r="J98" s="76">
        <f>'Raw BS'!I60</f>
        <v>0</v>
      </c>
      <c r="K98" s="76">
        <f>'Raw BS'!J60</f>
        <v>0</v>
      </c>
      <c r="L98" s="76">
        <f>'Raw BS'!K60</f>
        <v>0.81</v>
      </c>
      <c r="AL98" s="123" t="s">
        <v>449</v>
      </c>
      <c r="AM98" s="126">
        <f>AV41</f>
        <v>411.57619080041059</v>
      </c>
      <c r="AN98" s="95"/>
      <c r="AO98" s="95"/>
      <c r="AP98" s="95"/>
      <c r="AQ98" s="95"/>
      <c r="AR98" s="95"/>
      <c r="AS98" s="95"/>
      <c r="AT98" s="95"/>
      <c r="AU98" s="95"/>
      <c r="AV98" s="95"/>
      <c r="AW98" s="85"/>
    </row>
    <row r="99" spans="2:49" ht="15" customHeight="1">
      <c r="B99" s="76" t="s">
        <v>155</v>
      </c>
      <c r="C99" s="76">
        <f>'Raw BS'!B61</f>
        <v>0.12</v>
      </c>
      <c r="D99" s="76">
        <f>'Raw BS'!C61</f>
        <v>0</v>
      </c>
      <c r="E99" s="76">
        <f>'Raw BS'!D61</f>
        <v>0</v>
      </c>
      <c r="F99" s="76">
        <f>'Raw BS'!E61</f>
        <v>0</v>
      </c>
      <c r="G99" s="76">
        <f>'Raw BS'!F61</f>
        <v>0</v>
      </c>
      <c r="H99" s="76">
        <f>'Raw BS'!G61</f>
        <v>0</v>
      </c>
      <c r="I99" s="76">
        <f>'Raw BS'!H61</f>
        <v>0</v>
      </c>
      <c r="J99" s="76">
        <f>'Raw BS'!I61</f>
        <v>0</v>
      </c>
      <c r="K99" s="76">
        <f>'Raw BS'!J61</f>
        <v>0</v>
      </c>
      <c r="L99" s="76">
        <f>'Raw BS'!K61</f>
        <v>0</v>
      </c>
      <c r="AL99" s="123" t="s">
        <v>534</v>
      </c>
      <c r="AM99" s="127">
        <f>AV64</f>
        <v>437.17999999999961</v>
      </c>
      <c r="AN99" s="95"/>
      <c r="AO99" s="95"/>
      <c r="AP99" s="95"/>
      <c r="AQ99" s="95"/>
      <c r="AR99" s="95"/>
      <c r="AS99" s="95"/>
      <c r="AT99" s="95"/>
      <c r="AU99" s="95"/>
      <c r="AV99" s="95"/>
      <c r="AW99" s="85"/>
    </row>
    <row r="100" spans="2:49" ht="15" customHeight="1">
      <c r="B100" s="76" t="s">
        <v>156</v>
      </c>
      <c r="C100" s="78">
        <f>'Raw BS'!B62</f>
        <v>1063.6199999999999</v>
      </c>
      <c r="D100" s="78">
        <f>'Raw BS'!C62</f>
        <v>2680.08</v>
      </c>
      <c r="E100" s="78">
        <f>'Raw BS'!D62</f>
        <v>2619.91</v>
      </c>
      <c r="F100" s="78">
        <f>'Raw BS'!E62</f>
        <v>2531.35</v>
      </c>
      <c r="G100" s="78">
        <f>'Raw BS'!F62</f>
        <v>2556.83</v>
      </c>
      <c r="H100" s="78">
        <f>'Raw BS'!G62</f>
        <v>2618.41</v>
      </c>
      <c r="I100" s="78">
        <f>'Raw BS'!H62</f>
        <v>2435.3000000000002</v>
      </c>
      <c r="J100" s="78">
        <f>'Raw BS'!I62</f>
        <v>2438.3000000000002</v>
      </c>
      <c r="K100" s="78">
        <f>'Raw BS'!J62</f>
        <v>2450.59</v>
      </c>
      <c r="L100" s="78">
        <f>'Raw BS'!K62</f>
        <v>2717.44</v>
      </c>
      <c r="AL100" s="123" t="s">
        <v>535</v>
      </c>
      <c r="AM100" s="127">
        <f>AV65</f>
        <v>96.249999999999318</v>
      </c>
      <c r="AN100" s="95"/>
      <c r="AO100" s="95"/>
      <c r="AP100" s="95"/>
      <c r="AQ100" s="95"/>
      <c r="AR100" s="95"/>
      <c r="AS100" s="95"/>
      <c r="AT100" s="95"/>
      <c r="AU100" s="95"/>
      <c r="AV100" s="95"/>
      <c r="AW100" s="85"/>
    </row>
    <row r="101" spans="2:49" ht="15" customHeight="1">
      <c r="B101" s="76" t="s">
        <v>157</v>
      </c>
      <c r="C101" s="78">
        <f>'Raw BS'!B63</f>
        <v>1063.5</v>
      </c>
      <c r="D101" s="78">
        <f>'Raw BS'!C63</f>
        <v>2680.08</v>
      </c>
      <c r="E101" s="78">
        <f>'Raw BS'!D63</f>
        <v>2619.91</v>
      </c>
      <c r="F101" s="78">
        <f>'Raw BS'!E63</f>
        <v>2531.35</v>
      </c>
      <c r="G101" s="78">
        <f>'Raw BS'!F63</f>
        <v>2556.83</v>
      </c>
      <c r="H101" s="78">
        <f>'Raw BS'!G63</f>
        <v>2618.41</v>
      </c>
      <c r="I101" s="78">
        <f>'Raw BS'!H63</f>
        <v>2435.3000000000002</v>
      </c>
      <c r="J101" s="78">
        <f>'Raw BS'!I63</f>
        <v>2438.3000000000002</v>
      </c>
      <c r="K101" s="78">
        <f>'Raw BS'!J63</f>
        <v>2450.59</v>
      </c>
      <c r="L101" s="78">
        <f>'Raw BS'!K63</f>
        <v>2717.44</v>
      </c>
      <c r="AL101" s="123" t="s">
        <v>536</v>
      </c>
      <c r="AM101" s="128">
        <f>AV75</f>
        <v>33.622159090909093</v>
      </c>
      <c r="AN101" s="95"/>
      <c r="AO101" s="95"/>
      <c r="AP101" s="95"/>
      <c r="AQ101" s="95"/>
      <c r="AR101" s="95"/>
      <c r="AS101" s="95"/>
      <c r="AT101" s="95"/>
      <c r="AU101" s="95"/>
      <c r="AV101" s="95"/>
      <c r="AW101" s="85"/>
    </row>
    <row r="102" spans="2:49" ht="15" customHeight="1">
      <c r="B102" s="76" t="s">
        <v>9</v>
      </c>
      <c r="C102" s="76">
        <f>'Raw BS'!B64</f>
        <v>0</v>
      </c>
      <c r="D102" s="76">
        <f>'Raw BS'!C64</f>
        <v>0</v>
      </c>
      <c r="E102" s="76">
        <f>'Raw BS'!D64</f>
        <v>0</v>
      </c>
      <c r="F102" s="76">
        <f>'Raw BS'!E64</f>
        <v>0</v>
      </c>
      <c r="G102" s="76">
        <f>'Raw BS'!F64</f>
        <v>0</v>
      </c>
      <c r="H102" s="76">
        <f>'Raw BS'!G64</f>
        <v>0</v>
      </c>
      <c r="I102" s="76">
        <f>'Raw BS'!H64</f>
        <v>0</v>
      </c>
      <c r="J102" s="76">
        <f>'Raw BS'!I64</f>
        <v>0</v>
      </c>
      <c r="K102" s="76">
        <f>'Raw BS'!J64</f>
        <v>0</v>
      </c>
      <c r="L102" s="76">
        <f>'Raw BS'!K64</f>
        <v>0</v>
      </c>
      <c r="AL102" s="123" t="s">
        <v>527</v>
      </c>
      <c r="AM102" s="129">
        <f>AV88</f>
        <v>9.1046880010261013</v>
      </c>
      <c r="AN102" s="95"/>
      <c r="AO102" s="95"/>
      <c r="AP102" s="95"/>
      <c r="AQ102" s="95"/>
      <c r="AR102" s="95"/>
      <c r="AS102" s="95"/>
      <c r="AT102" s="95"/>
      <c r="AU102" s="95"/>
      <c r="AV102" s="95"/>
      <c r="AW102" s="85"/>
    </row>
    <row r="103" spans="2:49" ht="15" customHeight="1">
      <c r="B103" s="76" t="s">
        <v>158</v>
      </c>
      <c r="C103" s="78">
        <f>'Raw BS'!B65</f>
        <v>1063.6199999999999</v>
      </c>
      <c r="D103" s="78">
        <f>'Raw BS'!C65</f>
        <v>2680.08</v>
      </c>
      <c r="E103" s="78">
        <f>'Raw BS'!D65</f>
        <v>2619.91</v>
      </c>
      <c r="F103" s="78">
        <f>'Raw BS'!E65</f>
        <v>2531.35</v>
      </c>
      <c r="G103" s="78">
        <f>'Raw BS'!F65</f>
        <v>2556.83</v>
      </c>
      <c r="H103" s="78">
        <f>'Raw BS'!G65</f>
        <v>2618.41</v>
      </c>
      <c r="I103" s="78">
        <f>'Raw BS'!H65</f>
        <v>2435.3000000000002</v>
      </c>
      <c r="J103" s="78">
        <f>'Raw BS'!I65</f>
        <v>2438.3000000000002</v>
      </c>
      <c r="K103" s="78">
        <f>'Raw BS'!J65</f>
        <v>2450.59</v>
      </c>
      <c r="L103" s="78">
        <f>'Raw BS'!K65</f>
        <v>2717.44</v>
      </c>
      <c r="AL103" s="85"/>
      <c r="AM103" s="95"/>
      <c r="AN103" s="95"/>
      <c r="AO103" s="95"/>
      <c r="AP103" s="95"/>
      <c r="AQ103" s="95"/>
      <c r="AR103" s="95"/>
      <c r="AS103" s="95"/>
      <c r="AT103" s="95"/>
      <c r="AU103" s="95"/>
      <c r="AV103" s="95"/>
      <c r="AW103" s="85"/>
    </row>
    <row r="104" spans="2:49" ht="15" customHeight="1">
      <c r="B104" s="76" t="s">
        <v>159</v>
      </c>
      <c r="C104" s="77">
        <f>'Raw BS'!B66</f>
        <v>0</v>
      </c>
      <c r="D104" s="77">
        <f>'Raw BS'!C66</f>
        <v>0</v>
      </c>
      <c r="E104" s="77">
        <f>'Raw BS'!D66</f>
        <v>0</v>
      </c>
      <c r="F104" s="77">
        <f>'Raw BS'!E66</f>
        <v>0</v>
      </c>
      <c r="G104" s="77">
        <f>'Raw BS'!F66</f>
        <v>0</v>
      </c>
      <c r="H104" s="77">
        <f>'Raw BS'!G66</f>
        <v>0</v>
      </c>
      <c r="I104" s="77">
        <f>'Raw BS'!H66</f>
        <v>0</v>
      </c>
      <c r="J104" s="77">
        <f>'Raw BS'!I66</f>
        <v>0</v>
      </c>
      <c r="K104" s="77">
        <f>'Raw BS'!J66</f>
        <v>0</v>
      </c>
      <c r="L104" s="77">
        <f>'Raw BS'!K66</f>
        <v>0</v>
      </c>
    </row>
    <row r="105" spans="2:49" ht="15" customHeight="1">
      <c r="B105" s="76" t="s">
        <v>160</v>
      </c>
      <c r="C105" s="76">
        <f>'Raw BS'!B67</f>
        <v>0.44</v>
      </c>
      <c r="D105" s="76">
        <f>'Raw BS'!C67</f>
        <v>0.33</v>
      </c>
      <c r="E105" s="76">
        <f>'Raw BS'!D67</f>
        <v>0</v>
      </c>
      <c r="F105" s="76">
        <f>'Raw BS'!E67</f>
        <v>0</v>
      </c>
      <c r="G105" s="76">
        <f>'Raw BS'!F67</f>
        <v>0</v>
      </c>
      <c r="H105" s="76">
        <f>'Raw BS'!G67</f>
        <v>89.01</v>
      </c>
      <c r="I105" s="76">
        <f>'Raw BS'!H67</f>
        <v>63.65</v>
      </c>
      <c r="J105" s="76">
        <f>'Raw BS'!I67</f>
        <v>38.22</v>
      </c>
      <c r="K105" s="76">
        <f>'Raw BS'!J67</f>
        <v>60.81</v>
      </c>
      <c r="L105" s="76">
        <f>'Raw BS'!K67</f>
        <v>39.119999999999997</v>
      </c>
    </row>
    <row r="106" spans="2:49" ht="15" customHeight="1">
      <c r="B106" s="76" t="s">
        <v>161</v>
      </c>
      <c r="C106" s="76">
        <f>'Raw BS'!B68</f>
        <v>0</v>
      </c>
      <c r="D106" s="76">
        <f>'Raw BS'!C68</f>
        <v>0</v>
      </c>
      <c r="E106" s="76">
        <f>'Raw BS'!D68</f>
        <v>0</v>
      </c>
      <c r="F106" s="76">
        <f>'Raw BS'!E68</f>
        <v>0</v>
      </c>
      <c r="G106" s="76">
        <f>'Raw BS'!F68</f>
        <v>0</v>
      </c>
      <c r="H106" s="76">
        <f>'Raw BS'!G68</f>
        <v>4.22</v>
      </c>
      <c r="I106" s="76">
        <f>'Raw BS'!H68</f>
        <v>5.16</v>
      </c>
      <c r="J106" s="76">
        <f>'Raw BS'!I68</f>
        <v>4.21</v>
      </c>
      <c r="K106" s="76">
        <f>'Raw BS'!J68</f>
        <v>4.6100000000000003</v>
      </c>
      <c r="L106" s="76">
        <f>'Raw BS'!K68</f>
        <v>26</v>
      </c>
    </row>
    <row r="107" spans="2:49" ht="15" customHeight="1">
      <c r="B107" s="76" t="s">
        <v>162</v>
      </c>
      <c r="C107" s="78">
        <f>'Raw BS'!B69</f>
        <v>20.149999999999999</v>
      </c>
      <c r="D107" s="76">
        <f>'Raw BS'!C69</f>
        <v>0</v>
      </c>
      <c r="E107" s="76">
        <f>'Raw BS'!D69</f>
        <v>0</v>
      </c>
      <c r="F107" s="76">
        <f>'Raw BS'!E69</f>
        <v>0</v>
      </c>
      <c r="G107" s="76">
        <f>'Raw BS'!F69</f>
        <v>0</v>
      </c>
      <c r="H107" s="76">
        <f>'Raw BS'!G69</f>
        <v>0</v>
      </c>
      <c r="I107" s="76">
        <f>'Raw BS'!H69</f>
        <v>0</v>
      </c>
      <c r="J107" s="76">
        <f>'Raw BS'!I69</f>
        <v>0</v>
      </c>
      <c r="K107" s="76">
        <f>'Raw BS'!J69</f>
        <v>0</v>
      </c>
      <c r="L107" s="76">
        <f>'Raw BS'!K69</f>
        <v>0</v>
      </c>
    </row>
    <row r="108" spans="2:49" ht="15" customHeight="1">
      <c r="B108" s="76" t="s">
        <v>163</v>
      </c>
      <c r="C108" s="76">
        <f>'Raw BS'!B70</f>
        <v>0</v>
      </c>
      <c r="D108" s="76">
        <f>'Raw BS'!C70</f>
        <v>0</v>
      </c>
      <c r="E108" s="76">
        <f>'Raw BS'!D70</f>
        <v>0</v>
      </c>
      <c r="F108" s="76">
        <f>'Raw BS'!E70</f>
        <v>0</v>
      </c>
      <c r="G108" s="76">
        <f>'Raw BS'!F70</f>
        <v>0</v>
      </c>
      <c r="H108" s="76">
        <f>'Raw BS'!G70</f>
        <v>0</v>
      </c>
      <c r="I108" s="76">
        <f>'Raw BS'!H70</f>
        <v>0</v>
      </c>
      <c r="J108" s="76">
        <f>'Raw BS'!I70</f>
        <v>0</v>
      </c>
      <c r="K108" s="76">
        <f>'Raw BS'!J70</f>
        <v>0</v>
      </c>
      <c r="L108" s="76">
        <f>'Raw BS'!K70</f>
        <v>0</v>
      </c>
    </row>
    <row r="109" spans="2:49" ht="15" customHeight="1">
      <c r="B109" s="76" t="s">
        <v>164</v>
      </c>
      <c r="C109" s="76">
        <f>'Raw BS'!B71</f>
        <v>25.33</v>
      </c>
      <c r="D109" s="76">
        <f>'Raw BS'!C71</f>
        <v>10.76</v>
      </c>
      <c r="E109" s="76">
        <f>'Raw BS'!D71</f>
        <v>14.6</v>
      </c>
      <c r="F109" s="76">
        <f>'Raw BS'!E71</f>
        <v>23.51</v>
      </c>
      <c r="G109" s="76">
        <f>'Raw BS'!F71</f>
        <v>30.41</v>
      </c>
      <c r="H109" s="76">
        <f>'Raw BS'!G71</f>
        <v>39.96</v>
      </c>
      <c r="I109" s="76">
        <f>'Raw BS'!H71</f>
        <v>41.91</v>
      </c>
      <c r="J109" s="76">
        <f>'Raw BS'!I71</f>
        <v>35.799999999999997</v>
      </c>
      <c r="K109" s="76">
        <f>'Raw BS'!J71</f>
        <v>37.86</v>
      </c>
      <c r="L109" s="76">
        <f>'Raw BS'!K71</f>
        <v>28.64</v>
      </c>
    </row>
    <row r="110" spans="2:49" ht="15" customHeight="1">
      <c r="B110" s="76" t="s">
        <v>165</v>
      </c>
      <c r="C110" s="76">
        <f>'Raw BS'!B72</f>
        <v>24.5</v>
      </c>
      <c r="D110" s="76">
        <f>'Raw BS'!C72</f>
        <v>34.29</v>
      </c>
      <c r="E110" s="76">
        <f>'Raw BS'!D72</f>
        <v>7.5</v>
      </c>
      <c r="F110" s="76">
        <f>'Raw BS'!E72</f>
        <v>0</v>
      </c>
      <c r="G110" s="76">
        <f>'Raw BS'!F72</f>
        <v>13.7</v>
      </c>
      <c r="H110" s="76">
        <f>'Raw BS'!G72</f>
        <v>0</v>
      </c>
      <c r="I110" s="76">
        <f>'Raw BS'!H72</f>
        <v>0</v>
      </c>
      <c r="J110" s="76">
        <f>'Raw BS'!I72</f>
        <v>0</v>
      </c>
      <c r="K110" s="76">
        <f>'Raw BS'!J72</f>
        <v>0</v>
      </c>
      <c r="L110" s="76">
        <f>'Raw BS'!K72</f>
        <v>39.880000000000003</v>
      </c>
    </row>
    <row r="111" spans="2:49" ht="15" customHeight="1">
      <c r="B111" s="76" t="s">
        <v>166</v>
      </c>
      <c r="C111" s="78">
        <f>'Raw BS'!B73</f>
        <v>0</v>
      </c>
      <c r="D111" s="78">
        <f>'Raw BS'!C73</f>
        <v>0</v>
      </c>
      <c r="E111" s="78">
        <f>'Raw BS'!D73</f>
        <v>0</v>
      </c>
      <c r="F111" s="78">
        <f>'Raw BS'!E73</f>
        <v>0</v>
      </c>
      <c r="G111" s="78">
        <f>'Raw BS'!F73</f>
        <v>0</v>
      </c>
      <c r="H111" s="76">
        <f>'Raw BS'!G73</f>
        <v>0</v>
      </c>
      <c r="I111" s="76">
        <f>'Raw BS'!H73</f>
        <v>0</v>
      </c>
      <c r="J111" s="76">
        <f>'Raw BS'!I73</f>
        <v>0</v>
      </c>
      <c r="K111" s="76">
        <f>'Raw BS'!J73</f>
        <v>0</v>
      </c>
      <c r="L111" s="76">
        <f>'Raw BS'!K73</f>
        <v>0</v>
      </c>
    </row>
    <row r="112" spans="2:49" ht="15" customHeight="1">
      <c r="B112" s="76" t="s">
        <v>167</v>
      </c>
      <c r="C112" s="76">
        <f>'Raw BS'!B74</f>
        <v>0</v>
      </c>
      <c r="D112" s="78">
        <f>'Raw BS'!C74</f>
        <v>4.6900000000000004</v>
      </c>
      <c r="E112" s="78">
        <f>'Raw BS'!D74</f>
        <v>4.6900000000000004</v>
      </c>
      <c r="F112" s="76">
        <f>'Raw BS'!E74</f>
        <v>4.6900000000000004</v>
      </c>
      <c r="G112" s="76">
        <f>'Raw BS'!F74</f>
        <v>4.6900000000000004</v>
      </c>
      <c r="H112" s="76">
        <f>'Raw BS'!G74</f>
        <v>4.6900000000000004</v>
      </c>
      <c r="I112" s="76">
        <f>'Raw BS'!H74</f>
        <v>1.1000000000000001</v>
      </c>
      <c r="J112" s="76">
        <f>'Raw BS'!I74</f>
        <v>0.87</v>
      </c>
      <c r="K112" s="76">
        <f>'Raw BS'!J74</f>
        <v>0.64</v>
      </c>
      <c r="L112" s="76">
        <f>'Raw BS'!K74</f>
        <v>0.42</v>
      </c>
    </row>
    <row r="113" spans="2:12" ht="15" customHeight="1">
      <c r="B113" s="76" t="s">
        <v>168</v>
      </c>
      <c r="C113" s="78">
        <f>'Raw BS'!B75</f>
        <v>70.400000000000006</v>
      </c>
      <c r="D113" s="78">
        <f>'Raw BS'!C75</f>
        <v>50.07</v>
      </c>
      <c r="E113" s="78">
        <f>'Raw BS'!D75</f>
        <v>26.79</v>
      </c>
      <c r="F113" s="78">
        <f>'Raw BS'!E75</f>
        <v>46.66</v>
      </c>
      <c r="G113" s="78">
        <f>'Raw BS'!F75</f>
        <v>63.12</v>
      </c>
      <c r="H113" s="76">
        <f>'Raw BS'!G75</f>
        <v>148.24</v>
      </c>
      <c r="I113" s="76">
        <f>'Raw BS'!H75</f>
        <v>118.14</v>
      </c>
      <c r="J113" s="76">
        <f>'Raw BS'!I75</f>
        <v>99.05</v>
      </c>
      <c r="K113" s="78">
        <f>'Raw BS'!J75</f>
        <v>124.5</v>
      </c>
      <c r="L113" s="78">
        <f>'Raw BS'!K75</f>
        <v>134.06</v>
      </c>
    </row>
    <row r="114" spans="2:12" ht="15" customHeight="1">
      <c r="B114" s="76" t="s">
        <v>169</v>
      </c>
      <c r="C114" s="77">
        <f>'Raw BS'!B76</f>
        <v>0</v>
      </c>
      <c r="D114" s="77">
        <f>'Raw BS'!C76</f>
        <v>0</v>
      </c>
      <c r="E114" s="77">
        <f>'Raw BS'!D76</f>
        <v>0</v>
      </c>
      <c r="F114" s="77">
        <f>'Raw BS'!E76</f>
        <v>0</v>
      </c>
      <c r="G114" s="77">
        <f>'Raw BS'!F76</f>
        <v>0</v>
      </c>
      <c r="H114" s="77">
        <f>'Raw BS'!G76</f>
        <v>0</v>
      </c>
      <c r="I114" s="77">
        <f>'Raw BS'!H76</f>
        <v>0</v>
      </c>
      <c r="J114" s="77">
        <f>'Raw BS'!I76</f>
        <v>0</v>
      </c>
      <c r="K114" s="77">
        <f>'Raw BS'!J76</f>
        <v>0</v>
      </c>
      <c r="L114" s="77">
        <f>'Raw BS'!K76</f>
        <v>0</v>
      </c>
    </row>
    <row r="115" spans="2:12" ht="15" customHeight="1">
      <c r="B115" s="76" t="s">
        <v>170</v>
      </c>
      <c r="C115" s="76">
        <f>'Raw BS'!B77</f>
        <v>97.62</v>
      </c>
      <c r="D115" s="76">
        <f>'Raw BS'!C77</f>
        <v>150.29</v>
      </c>
      <c r="E115" s="76">
        <f>'Raw BS'!D77</f>
        <v>199.67</v>
      </c>
      <c r="F115" s="76">
        <f>'Raw BS'!E77</f>
        <v>184.03</v>
      </c>
      <c r="G115" s="76">
        <f>'Raw BS'!F77</f>
        <v>100.63</v>
      </c>
      <c r="H115" s="76">
        <f>'Raw BS'!G77</f>
        <v>241.35</v>
      </c>
      <c r="I115" s="76">
        <f>'Raw BS'!H77</f>
        <v>233.74</v>
      </c>
      <c r="J115" s="76">
        <f>'Raw BS'!I77</f>
        <v>180.93</v>
      </c>
      <c r="K115" s="76">
        <f>'Raw BS'!J77</f>
        <v>369.16</v>
      </c>
      <c r="L115" s="76">
        <f>'Raw BS'!K77</f>
        <v>429.66</v>
      </c>
    </row>
    <row r="116" spans="2:12" ht="15" customHeight="1">
      <c r="B116" s="76" t="s">
        <v>161</v>
      </c>
      <c r="C116" s="76">
        <f>'Raw BS'!B78</f>
        <v>0</v>
      </c>
      <c r="D116" s="76">
        <f>'Raw BS'!C78</f>
        <v>0</v>
      </c>
      <c r="E116" s="76">
        <f>'Raw BS'!D78</f>
        <v>0</v>
      </c>
      <c r="F116" s="76">
        <f>'Raw BS'!E78</f>
        <v>0</v>
      </c>
      <c r="G116" s="76">
        <f>'Raw BS'!F78</f>
        <v>0</v>
      </c>
      <c r="H116" s="76">
        <f>'Raw BS'!G78</f>
        <v>4.22</v>
      </c>
      <c r="I116" s="76">
        <f>'Raw BS'!H78</f>
        <v>5.16</v>
      </c>
      <c r="J116" s="76">
        <f>'Raw BS'!I78</f>
        <v>4.21</v>
      </c>
      <c r="K116" s="76">
        <f>'Raw BS'!J78</f>
        <v>4.6100000000000003</v>
      </c>
      <c r="L116" s="76">
        <f>'Raw BS'!K78</f>
        <v>5.37</v>
      </c>
    </row>
    <row r="117" spans="2:12" ht="15" customHeight="1">
      <c r="B117" s="76" t="s">
        <v>171</v>
      </c>
      <c r="C117" s="78">
        <f>'Raw BS'!B79</f>
        <v>210.73</v>
      </c>
      <c r="D117" s="78">
        <f>'Raw BS'!C79</f>
        <v>226.23</v>
      </c>
      <c r="E117" s="78">
        <f>'Raw BS'!D79</f>
        <v>221.41</v>
      </c>
      <c r="F117" s="78">
        <f>'Raw BS'!E79</f>
        <v>250.22</v>
      </c>
      <c r="G117" s="78">
        <f>'Raw BS'!F79</f>
        <v>210.08</v>
      </c>
      <c r="H117" s="78">
        <f>'Raw BS'!G79</f>
        <v>183.19</v>
      </c>
      <c r="I117" s="78">
        <f>'Raw BS'!H79</f>
        <v>290.69</v>
      </c>
      <c r="J117" s="78">
        <f>'Raw BS'!I79</f>
        <v>351.26</v>
      </c>
      <c r="K117" s="78">
        <f>'Raw BS'!J79</f>
        <v>386.94</v>
      </c>
      <c r="L117" s="78">
        <f>'Raw BS'!K79</f>
        <v>356.63</v>
      </c>
    </row>
    <row r="118" spans="2:12" ht="15" customHeight="1">
      <c r="B118" s="76" t="s">
        <v>172</v>
      </c>
      <c r="C118" s="76">
        <f>'Raw BS'!B80</f>
        <v>52.75</v>
      </c>
      <c r="D118" s="76">
        <f>'Raw BS'!C80</f>
        <v>42.02</v>
      </c>
      <c r="E118" s="76">
        <f>'Raw BS'!D80</f>
        <v>33.71</v>
      </c>
      <c r="F118" s="76">
        <f>'Raw BS'!E80</f>
        <v>72.7</v>
      </c>
      <c r="G118" s="76">
        <f>'Raw BS'!F80</f>
        <v>116.19</v>
      </c>
      <c r="H118" s="76">
        <f>'Raw BS'!G80</f>
        <v>52.53</v>
      </c>
      <c r="I118" s="76">
        <f>'Raw BS'!H80</f>
        <v>45.62</v>
      </c>
      <c r="J118" s="76">
        <f>'Raw BS'!I80</f>
        <v>29.18</v>
      </c>
      <c r="K118" s="76">
        <f>'Raw BS'!J80</f>
        <v>66.290000000000006</v>
      </c>
      <c r="L118" s="78">
        <f>'Raw BS'!K80</f>
        <v>59.66</v>
      </c>
    </row>
    <row r="119" spans="2:12" ht="15" customHeight="1">
      <c r="B119" s="76" t="s">
        <v>173</v>
      </c>
      <c r="C119" s="76">
        <f>'Raw BS'!B81</f>
        <v>1.68</v>
      </c>
      <c r="D119" s="76">
        <f>'Raw BS'!C81</f>
        <v>4.6100000000000003</v>
      </c>
      <c r="E119" s="76">
        <f>'Raw BS'!D81</f>
        <v>2.14</v>
      </c>
      <c r="F119" s="76">
        <f>'Raw BS'!E81</f>
        <v>0.63</v>
      </c>
      <c r="G119" s="76">
        <f>'Raw BS'!F81</f>
        <v>3.26</v>
      </c>
      <c r="H119" s="76">
        <f>'Raw BS'!G81</f>
        <v>2.1</v>
      </c>
      <c r="I119" s="76">
        <f>'Raw BS'!H81</f>
        <v>0.49</v>
      </c>
      <c r="J119" s="76">
        <f>'Raw BS'!I81</f>
        <v>2.21</v>
      </c>
      <c r="K119" s="76">
        <f>'Raw BS'!J81</f>
        <v>4.34</v>
      </c>
      <c r="L119" s="76">
        <f>'Raw BS'!K81</f>
        <v>0</v>
      </c>
    </row>
    <row r="120" spans="2:12" ht="15" customHeight="1">
      <c r="B120" s="76" t="s">
        <v>174</v>
      </c>
      <c r="C120" s="76">
        <f>'Raw BS'!B82</f>
        <v>14.57</v>
      </c>
      <c r="D120" s="76">
        <f>'Raw BS'!C82</f>
        <v>19.350000000000001</v>
      </c>
      <c r="E120" s="76">
        <f>'Raw BS'!D82</f>
        <v>11.25</v>
      </c>
      <c r="F120" s="76">
        <f>'Raw BS'!E82</f>
        <v>9.81</v>
      </c>
      <c r="G120" s="76">
        <f>'Raw BS'!F82</f>
        <v>14.83</v>
      </c>
      <c r="H120" s="76">
        <f>'Raw BS'!G82</f>
        <v>16.09</v>
      </c>
      <c r="I120" s="76">
        <f>'Raw BS'!H82</f>
        <v>12.01</v>
      </c>
      <c r="J120" s="76">
        <f>'Raw BS'!I82</f>
        <v>135.85</v>
      </c>
      <c r="K120" s="76">
        <f>'Raw BS'!J82</f>
        <v>137.63999999999999</v>
      </c>
      <c r="L120" s="76">
        <f>'Raw BS'!K82</f>
        <v>4.7</v>
      </c>
    </row>
    <row r="121" spans="2:12" ht="15" customHeight="1">
      <c r="B121" s="76" t="s">
        <v>166</v>
      </c>
      <c r="C121" s="76">
        <f>'Raw BS'!B83</f>
        <v>0</v>
      </c>
      <c r="D121" s="76">
        <f>'Raw BS'!C83</f>
        <v>0</v>
      </c>
      <c r="E121" s="76">
        <f>'Raw BS'!D83</f>
        <v>0</v>
      </c>
      <c r="F121" s="76">
        <f>'Raw BS'!E83</f>
        <v>0</v>
      </c>
      <c r="G121" s="78">
        <f>'Raw BS'!F83</f>
        <v>0</v>
      </c>
      <c r="H121" s="76">
        <f>'Raw BS'!G83</f>
        <v>0</v>
      </c>
      <c r="I121" s="76">
        <f>'Raw BS'!H83</f>
        <v>0</v>
      </c>
      <c r="J121" s="76">
        <f>'Raw BS'!I83</f>
        <v>0</v>
      </c>
      <c r="K121" s="76">
        <f>'Raw BS'!J83</f>
        <v>0</v>
      </c>
      <c r="L121" s="76">
        <f>'Raw BS'!K83</f>
        <v>0</v>
      </c>
    </row>
    <row r="122" spans="2:12" ht="15" customHeight="1">
      <c r="B122" s="76" t="s">
        <v>175</v>
      </c>
      <c r="C122" s="76">
        <f>'Raw BS'!B84</f>
        <v>15.26</v>
      </c>
      <c r="D122" s="76">
        <f>'Raw BS'!C84</f>
        <v>21.01</v>
      </c>
      <c r="E122" s="76">
        <f>'Raw BS'!D84</f>
        <v>34.74</v>
      </c>
      <c r="F122" s="76">
        <f>'Raw BS'!E84</f>
        <v>45.31</v>
      </c>
      <c r="G122" s="76">
        <f>'Raw BS'!F84</f>
        <v>56.63</v>
      </c>
      <c r="H122" s="76">
        <f>'Raw BS'!G84</f>
        <v>52.65</v>
      </c>
      <c r="I122" s="76">
        <f>'Raw BS'!H84</f>
        <v>51.89</v>
      </c>
      <c r="J122" s="76">
        <f>'Raw BS'!I84</f>
        <v>33.96</v>
      </c>
      <c r="K122" s="76">
        <f>'Raw BS'!J84</f>
        <v>22.99</v>
      </c>
      <c r="L122" s="76">
        <f>'Raw BS'!K84</f>
        <v>29.92</v>
      </c>
    </row>
    <row r="123" spans="2:12" ht="15" customHeight="1">
      <c r="B123" s="76" t="s">
        <v>176</v>
      </c>
      <c r="C123" s="76">
        <f>'Raw BS'!B85</f>
        <v>0</v>
      </c>
      <c r="D123" s="76">
        <f>'Raw BS'!C85</f>
        <v>0</v>
      </c>
      <c r="E123" s="76">
        <f>'Raw BS'!D85</f>
        <v>0</v>
      </c>
      <c r="F123" s="76">
        <f>'Raw BS'!E85</f>
        <v>0</v>
      </c>
      <c r="G123" s="76">
        <f>'Raw BS'!F85</f>
        <v>0</v>
      </c>
      <c r="H123" s="76">
        <f>'Raw BS'!G85</f>
        <v>0</v>
      </c>
      <c r="I123" s="76">
        <f>'Raw BS'!H85</f>
        <v>0</v>
      </c>
      <c r="J123" s="76">
        <f>'Raw BS'!I85</f>
        <v>0</v>
      </c>
      <c r="K123" s="76">
        <f>'Raw BS'!J85</f>
        <v>0</v>
      </c>
      <c r="L123" s="76">
        <f>'Raw BS'!K85</f>
        <v>0</v>
      </c>
    </row>
    <row r="124" spans="2:12" ht="15" customHeight="1">
      <c r="B124" s="76" t="s">
        <v>177</v>
      </c>
      <c r="C124" s="78">
        <v>2607.5300000000002</v>
      </c>
      <c r="D124" s="78">
        <v>3054.21</v>
      </c>
      <c r="E124" s="78">
        <v>3375.13</v>
      </c>
      <c r="F124" s="78">
        <v>3251.55</v>
      </c>
      <c r="G124" s="78">
        <v>4804.8100000000004</v>
      </c>
      <c r="H124" s="78">
        <v>2817.84</v>
      </c>
      <c r="I124" s="78">
        <v>3024.22</v>
      </c>
      <c r="J124" s="78">
        <v>4447.5600000000004</v>
      </c>
      <c r="K124" s="78">
        <v>5880.37</v>
      </c>
      <c r="L124" s="78">
        <v>5781.42</v>
      </c>
    </row>
    <row r="125" spans="2:12" ht="15" customHeight="1">
      <c r="B125" s="76" t="s">
        <v>137</v>
      </c>
      <c r="C125" s="76">
        <v>0</v>
      </c>
      <c r="D125" s="76">
        <v>0</v>
      </c>
      <c r="E125" s="76">
        <v>0</v>
      </c>
      <c r="F125" s="76">
        <v>0</v>
      </c>
      <c r="G125" s="76">
        <v>0</v>
      </c>
      <c r="H125" s="76">
        <v>0</v>
      </c>
      <c r="I125" s="76">
        <v>0</v>
      </c>
      <c r="J125" s="76">
        <v>0</v>
      </c>
      <c r="K125" s="76">
        <v>0</v>
      </c>
      <c r="L125" s="76">
        <v>0</v>
      </c>
    </row>
    <row r="126" spans="2:12" ht="15" customHeight="1">
      <c r="B126" s="76" t="s">
        <v>178</v>
      </c>
      <c r="C126" s="76">
        <v>0</v>
      </c>
      <c r="D126" s="76">
        <v>0</v>
      </c>
      <c r="E126" s="76">
        <v>0</v>
      </c>
      <c r="F126" s="76">
        <v>0</v>
      </c>
      <c r="G126" s="76">
        <v>0</v>
      </c>
      <c r="H126" s="76">
        <v>0</v>
      </c>
      <c r="I126" s="76">
        <v>0</v>
      </c>
      <c r="J126" s="76">
        <v>0</v>
      </c>
      <c r="K126" s="76">
        <v>0</v>
      </c>
      <c r="L126" s="76">
        <v>0</v>
      </c>
    </row>
    <row r="127" spans="2:12" ht="15" customHeight="1">
      <c r="B127" s="76" t="s">
        <v>179</v>
      </c>
      <c r="C127" s="76">
        <v>0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</row>
    <row r="128" spans="2:12" ht="15" customHeight="1">
      <c r="B128" s="76" t="s">
        <v>180</v>
      </c>
      <c r="C128" s="76">
        <v>0</v>
      </c>
      <c r="D128" s="76">
        <v>0</v>
      </c>
      <c r="E128" s="76">
        <v>0</v>
      </c>
      <c r="F128" s="76">
        <v>0</v>
      </c>
      <c r="G128" s="76">
        <v>0</v>
      </c>
      <c r="H128" s="76">
        <v>0</v>
      </c>
      <c r="I128" s="76">
        <v>0</v>
      </c>
      <c r="J128" s="76">
        <v>0</v>
      </c>
      <c r="K128" s="76">
        <v>0</v>
      </c>
      <c r="L128" s="76">
        <v>0</v>
      </c>
    </row>
    <row r="129" spans="2:12" ht="15" customHeight="1">
      <c r="B129" s="76" t="s">
        <v>181</v>
      </c>
      <c r="C129" s="78">
        <v>17765.259999999998</v>
      </c>
      <c r="D129" s="78">
        <v>19822.22</v>
      </c>
      <c r="E129" s="78">
        <v>22440.95</v>
      </c>
      <c r="F129" s="78">
        <v>24367.59</v>
      </c>
      <c r="G129" s="78">
        <v>28687.11</v>
      </c>
      <c r="H129" s="78">
        <v>13910.61</v>
      </c>
      <c r="I129" s="78">
        <v>14765.34</v>
      </c>
      <c r="J129" s="78">
        <v>18150.02</v>
      </c>
      <c r="K129" s="78">
        <v>21396.33</v>
      </c>
      <c r="L129" s="78">
        <v>21219.88</v>
      </c>
    </row>
    <row r="132" spans="2:12" ht="15" customHeight="1">
      <c r="B132" s="8" t="s">
        <v>537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</row>
    <row r="133" spans="2:12" ht="15" customHeight="1">
      <c r="B133" s="75">
        <v>201703</v>
      </c>
      <c r="C133" s="75">
        <v>201803</v>
      </c>
      <c r="D133" s="75">
        <v>201903</v>
      </c>
      <c r="E133" s="75">
        <v>202003</v>
      </c>
      <c r="F133" s="75">
        <v>202103</v>
      </c>
      <c r="G133" s="75">
        <v>202203</v>
      </c>
      <c r="H133" s="75">
        <v>202303</v>
      </c>
      <c r="I133" s="75">
        <v>202403</v>
      </c>
      <c r="J133" s="75">
        <v>202503</v>
      </c>
      <c r="K133" s="75">
        <v>202503</v>
      </c>
      <c r="L133" s="75">
        <v>202603</v>
      </c>
    </row>
    <row r="134" spans="2:12" ht="15" customHeight="1">
      <c r="B134" s="76" t="s">
        <v>278</v>
      </c>
      <c r="C134" s="77"/>
      <c r="D134" s="77"/>
      <c r="E134" s="77"/>
      <c r="F134" s="77"/>
      <c r="G134" s="77"/>
      <c r="H134" s="77"/>
      <c r="I134" s="77"/>
      <c r="J134" s="77"/>
      <c r="K134" s="77"/>
      <c r="L134" s="77"/>
    </row>
    <row r="135" spans="2:12" ht="15" customHeight="1">
      <c r="B135" s="76" t="s">
        <v>279</v>
      </c>
      <c r="C135" s="76">
        <v>286.64999999999998</v>
      </c>
      <c r="D135" s="76">
        <v>314.98</v>
      </c>
      <c r="E135" s="76">
        <v>308.60000000000002</v>
      </c>
      <c r="F135" s="76">
        <v>340.94</v>
      </c>
      <c r="G135" s="76">
        <v>331.47</v>
      </c>
      <c r="H135" s="76">
        <v>342.43</v>
      </c>
      <c r="I135" s="76">
        <v>189.11</v>
      </c>
      <c r="J135" s="76">
        <v>131.78</v>
      </c>
      <c r="K135" s="76">
        <v>322.99</v>
      </c>
      <c r="L135" s="76">
        <v>89.58</v>
      </c>
    </row>
    <row r="136" spans="2:12" ht="15" customHeight="1">
      <c r="B136" s="76" t="s">
        <v>280</v>
      </c>
      <c r="C136" s="76">
        <v>937.26</v>
      </c>
      <c r="D136" s="76">
        <v>914.35</v>
      </c>
      <c r="E136" s="78">
        <v>1686.77</v>
      </c>
      <c r="F136" s="78">
        <v>1619.19</v>
      </c>
      <c r="G136" s="78">
        <v>2263.13</v>
      </c>
      <c r="H136" s="76">
        <v>61.25</v>
      </c>
      <c r="I136" s="76">
        <v>768.24</v>
      </c>
      <c r="J136" s="78">
        <v>1533.14</v>
      </c>
      <c r="K136" s="78">
        <v>1272.9000000000001</v>
      </c>
      <c r="L136" s="78">
        <v>3.64</v>
      </c>
    </row>
    <row r="137" spans="2:12" ht="15" customHeight="1">
      <c r="B137" s="76" t="s">
        <v>281</v>
      </c>
      <c r="C137" s="76">
        <v>1097.1400000000001</v>
      </c>
      <c r="D137" s="76">
        <v>1047.8699999999999</v>
      </c>
      <c r="E137" s="76">
        <v>1249.01</v>
      </c>
      <c r="F137" s="76">
        <v>971.88</v>
      </c>
      <c r="G137" s="76">
        <v>998.15</v>
      </c>
      <c r="H137" s="76">
        <v>960.61</v>
      </c>
      <c r="I137" s="76">
        <v>1137.5899999999999</v>
      </c>
      <c r="J137" s="76">
        <v>1231.17</v>
      </c>
      <c r="K137" s="76">
        <v>1175.96</v>
      </c>
      <c r="L137" s="76">
        <v>90.52</v>
      </c>
    </row>
    <row r="138" spans="2:12" ht="15" customHeight="1">
      <c r="B138" s="76" t="s">
        <v>5</v>
      </c>
      <c r="C138" s="76">
        <v>225.93</v>
      </c>
      <c r="D138" s="76">
        <v>267.20999999999998</v>
      </c>
      <c r="E138" s="76">
        <v>343.54</v>
      </c>
      <c r="F138" s="76">
        <v>417.58</v>
      </c>
      <c r="G138" s="76">
        <v>393.51</v>
      </c>
      <c r="H138" s="76">
        <v>439.52</v>
      </c>
      <c r="I138" s="76">
        <v>501.91</v>
      </c>
      <c r="J138" s="76">
        <v>560.41999999999996</v>
      </c>
      <c r="K138" s="76">
        <v>582.34</v>
      </c>
      <c r="L138" s="76">
        <v>125.12</v>
      </c>
    </row>
    <row r="139" spans="2:12" ht="15" customHeight="1">
      <c r="B139" s="76" t="s">
        <v>282</v>
      </c>
      <c r="C139" s="76">
        <v>2.67</v>
      </c>
      <c r="D139" s="76">
        <v>8.6</v>
      </c>
      <c r="E139" s="76">
        <v>12.19</v>
      </c>
      <c r="F139" s="76">
        <v>16.329999999999998</v>
      </c>
      <c r="G139" s="76">
        <v>32.659999999999997</v>
      </c>
      <c r="H139" s="76">
        <v>60.93</v>
      </c>
      <c r="I139" s="76">
        <v>73.84</v>
      </c>
      <c r="J139" s="76">
        <v>116</v>
      </c>
      <c r="K139" s="76">
        <v>153.03</v>
      </c>
      <c r="L139" s="76">
        <v>26.17</v>
      </c>
    </row>
    <row r="140" spans="2:12" ht="15" customHeight="1">
      <c r="B140" s="76" t="s">
        <v>283</v>
      </c>
      <c r="C140" s="76">
        <v>0</v>
      </c>
      <c r="D140" s="76">
        <v>0</v>
      </c>
      <c r="E140" s="76">
        <v>0</v>
      </c>
      <c r="F140" s="76">
        <v>0</v>
      </c>
      <c r="G140" s="76">
        <v>0</v>
      </c>
      <c r="H140" s="76">
        <v>0</v>
      </c>
      <c r="I140" s="76">
        <v>0</v>
      </c>
      <c r="J140" s="76">
        <v>0</v>
      </c>
      <c r="K140" s="76">
        <v>0</v>
      </c>
      <c r="L140" s="76">
        <v>0</v>
      </c>
    </row>
    <row r="141" spans="2:12" ht="15" customHeight="1">
      <c r="B141" s="76" t="s">
        <v>284</v>
      </c>
      <c r="C141" s="76">
        <v>0.49</v>
      </c>
      <c r="D141" s="76">
        <v>4.8600000000000003</v>
      </c>
      <c r="E141" s="76">
        <v>0.28999999999999998</v>
      </c>
      <c r="F141" s="76">
        <v>-7.32</v>
      </c>
      <c r="G141" s="76">
        <v>0.2</v>
      </c>
      <c r="H141" s="76">
        <v>0.02</v>
      </c>
      <c r="I141" s="76">
        <v>-6.48</v>
      </c>
      <c r="J141" s="76">
        <v>2.27</v>
      </c>
      <c r="K141" s="76">
        <v>-11.17</v>
      </c>
      <c r="L141" s="76">
        <v>-274.29000000000002</v>
      </c>
    </row>
    <row r="142" spans="2:12" ht="15" customHeight="1">
      <c r="B142" s="76" t="s">
        <v>285</v>
      </c>
      <c r="C142" s="76">
        <v>-283.99</v>
      </c>
      <c r="D142" s="76">
        <v>-288.42</v>
      </c>
      <c r="E142" s="76">
        <v>-85.88</v>
      </c>
      <c r="F142" s="76">
        <v>-214.57</v>
      </c>
      <c r="G142" s="76">
        <v>0</v>
      </c>
      <c r="H142" s="76">
        <v>-23.61</v>
      </c>
      <c r="I142" s="76">
        <v>-38.200000000000003</v>
      </c>
      <c r="J142" s="76">
        <v>-46.8</v>
      </c>
      <c r="K142" s="76">
        <v>-27.8</v>
      </c>
      <c r="L142" s="76">
        <v>0</v>
      </c>
    </row>
    <row r="143" spans="2:12" ht="15" customHeight="1">
      <c r="B143" s="76" t="s">
        <v>286</v>
      </c>
      <c r="C143" s="76">
        <v>0</v>
      </c>
      <c r="D143" s="76">
        <v>0</v>
      </c>
      <c r="E143" s="76">
        <v>0</v>
      </c>
      <c r="F143" s="76">
        <v>45.01</v>
      </c>
      <c r="G143" s="76">
        <v>2.82</v>
      </c>
      <c r="H143" s="76">
        <v>-13.42</v>
      </c>
      <c r="I143" s="76">
        <v>-0.51</v>
      </c>
      <c r="J143" s="76">
        <v>-2.59</v>
      </c>
      <c r="K143" s="76">
        <v>1.5</v>
      </c>
      <c r="L143" s="76">
        <v>-0.69</v>
      </c>
    </row>
    <row r="144" spans="2:12" ht="15" customHeight="1">
      <c r="B144" s="76" t="s">
        <v>287</v>
      </c>
      <c r="C144" s="76">
        <v>0</v>
      </c>
      <c r="D144" s="76">
        <v>0</v>
      </c>
      <c r="E144" s="76">
        <v>0</v>
      </c>
      <c r="F144" s="76">
        <v>0</v>
      </c>
      <c r="G144" s="76">
        <v>0</v>
      </c>
      <c r="H144" s="76">
        <v>0</v>
      </c>
      <c r="I144" s="76">
        <v>0</v>
      </c>
      <c r="J144" s="76">
        <v>2.7</v>
      </c>
      <c r="K144" s="76">
        <v>0.66</v>
      </c>
      <c r="L144" s="76">
        <v>-5.88</v>
      </c>
    </row>
    <row r="145" spans="2:12" ht="15" customHeight="1">
      <c r="B145" s="76" t="s">
        <v>288</v>
      </c>
      <c r="C145" s="76">
        <v>0</v>
      </c>
      <c r="D145" s="76">
        <v>0</v>
      </c>
      <c r="E145" s="76">
        <v>0</v>
      </c>
      <c r="F145" s="76">
        <v>0</v>
      </c>
      <c r="G145" s="76">
        <v>0</v>
      </c>
      <c r="H145" s="76">
        <v>0</v>
      </c>
      <c r="I145" s="76">
        <v>0</v>
      </c>
      <c r="J145" s="76">
        <v>0</v>
      </c>
      <c r="K145" s="76">
        <v>0</v>
      </c>
      <c r="L145" s="76">
        <v>0</v>
      </c>
    </row>
    <row r="146" spans="2:12" ht="15" customHeight="1">
      <c r="B146" s="76" t="s">
        <v>217</v>
      </c>
      <c r="C146" s="76">
        <v>694.14</v>
      </c>
      <c r="D146" s="76">
        <v>688.5</v>
      </c>
      <c r="E146" s="76">
        <v>665.27</v>
      </c>
      <c r="F146" s="76">
        <v>898.78</v>
      </c>
      <c r="G146" s="76">
        <v>-28.44</v>
      </c>
      <c r="H146" s="76">
        <v>-15.05</v>
      </c>
      <c r="I146" s="76">
        <v>-27.12</v>
      </c>
      <c r="J146" s="76">
        <v>-28.9</v>
      </c>
      <c r="K146" s="76">
        <v>-43.08</v>
      </c>
      <c r="L146" s="76">
        <v>0</v>
      </c>
    </row>
    <row r="147" spans="2:12" ht="15" customHeight="1">
      <c r="B147" s="76" t="s">
        <v>289</v>
      </c>
      <c r="C147" s="76">
        <v>639.24</v>
      </c>
      <c r="D147" s="76">
        <v>680.75</v>
      </c>
      <c r="E147" s="76">
        <v>935.41</v>
      </c>
      <c r="F147" s="76">
        <v>1155.81</v>
      </c>
      <c r="G147" s="76">
        <v>400.75</v>
      </c>
      <c r="H147" s="76">
        <v>448.39</v>
      </c>
      <c r="I147" s="76">
        <v>503.44</v>
      </c>
      <c r="J147" s="76">
        <v>603.1</v>
      </c>
      <c r="K147" s="76">
        <v>655.48</v>
      </c>
      <c r="L147" s="76">
        <v>-73.040000000000006</v>
      </c>
    </row>
    <row r="148" spans="2:12" ht="15" customHeight="1">
      <c r="B148" s="76" t="s">
        <v>290</v>
      </c>
      <c r="C148" s="76">
        <v>1736.38</v>
      </c>
      <c r="D148" s="76">
        <v>1728.62</v>
      </c>
      <c r="E148" s="76">
        <v>2184.42</v>
      </c>
      <c r="F148" s="76">
        <v>2127.69</v>
      </c>
      <c r="G148" s="76">
        <v>1398.9</v>
      </c>
      <c r="H148" s="76">
        <v>1409</v>
      </c>
      <c r="I148" s="76">
        <v>1641.03</v>
      </c>
      <c r="J148" s="76">
        <v>1834.27</v>
      </c>
      <c r="K148" s="76">
        <v>1831.44</v>
      </c>
      <c r="L148" s="76">
        <v>219.34</v>
      </c>
    </row>
    <row r="149" spans="2:12" ht="15" customHeight="1">
      <c r="B149" s="76" t="s">
        <v>291</v>
      </c>
      <c r="C149" s="76">
        <v>-26.21</v>
      </c>
      <c r="D149" s="76">
        <v>-354.65</v>
      </c>
      <c r="E149" s="76">
        <v>-150.18</v>
      </c>
      <c r="F149" s="76">
        <v>167.24</v>
      </c>
      <c r="G149" s="76">
        <v>-64.180000000000007</v>
      </c>
      <c r="H149" s="76">
        <v>-159.18</v>
      </c>
      <c r="I149" s="76">
        <v>-131.46</v>
      </c>
      <c r="J149" s="76">
        <v>-150.06</v>
      </c>
      <c r="K149" s="76">
        <v>-303.85000000000002</v>
      </c>
      <c r="L149" s="76">
        <v>-20.88</v>
      </c>
    </row>
    <row r="150" spans="2:12" ht="15" customHeight="1">
      <c r="B150" s="76" t="s">
        <v>292</v>
      </c>
      <c r="C150" s="76">
        <v>-455.53</v>
      </c>
      <c r="D150" s="76">
        <v>-302.83999999999997</v>
      </c>
      <c r="E150" s="76">
        <v>-60.46</v>
      </c>
      <c r="F150" s="76">
        <v>-349.25</v>
      </c>
      <c r="G150" s="76">
        <v>-222.3</v>
      </c>
      <c r="H150" s="76">
        <v>-218.43</v>
      </c>
      <c r="I150" s="76">
        <v>-581.11</v>
      </c>
      <c r="J150" s="76">
        <v>-432.13</v>
      </c>
      <c r="K150" s="76">
        <v>-696.37</v>
      </c>
      <c r="L150" s="76">
        <v>13.77</v>
      </c>
    </row>
    <row r="151" spans="2:12" ht="15" customHeight="1">
      <c r="B151" s="76" t="s">
        <v>293</v>
      </c>
      <c r="C151" s="76">
        <v>0</v>
      </c>
      <c r="D151" s="76">
        <v>0</v>
      </c>
      <c r="E151" s="76">
        <v>0</v>
      </c>
      <c r="F151" s="76">
        <v>0</v>
      </c>
      <c r="G151" s="76">
        <v>0</v>
      </c>
      <c r="H151" s="76">
        <v>0</v>
      </c>
      <c r="I151" s="76">
        <v>0</v>
      </c>
      <c r="J151" s="76">
        <v>0</v>
      </c>
      <c r="K151" s="76">
        <v>0</v>
      </c>
      <c r="L151" s="76">
        <v>-201.02</v>
      </c>
    </row>
    <row r="152" spans="2:12" ht="15" customHeight="1">
      <c r="B152" s="76" t="s">
        <v>294</v>
      </c>
      <c r="C152" s="76">
        <v>0</v>
      </c>
      <c r="D152" s="76">
        <v>0</v>
      </c>
      <c r="E152" s="76">
        <v>0</v>
      </c>
      <c r="F152" s="76">
        <v>26.68</v>
      </c>
      <c r="G152" s="76">
        <v>-198.84</v>
      </c>
      <c r="H152" s="76">
        <v>-33.06</v>
      </c>
      <c r="I152" s="76">
        <v>0</v>
      </c>
      <c r="J152" s="76">
        <v>0</v>
      </c>
      <c r="K152" s="76">
        <v>0</v>
      </c>
      <c r="L152" s="76">
        <v>0</v>
      </c>
    </row>
    <row r="153" spans="2:12" ht="15" customHeight="1">
      <c r="B153" s="76" t="s">
        <v>295</v>
      </c>
      <c r="C153" s="76">
        <v>0</v>
      </c>
      <c r="D153" s="76">
        <v>0</v>
      </c>
      <c r="E153" s="76">
        <v>0</v>
      </c>
      <c r="F153" s="76">
        <v>0</v>
      </c>
      <c r="G153" s="76">
        <v>0</v>
      </c>
      <c r="H153" s="76">
        <v>0</v>
      </c>
      <c r="I153" s="76">
        <v>0</v>
      </c>
      <c r="J153" s="76">
        <v>0</v>
      </c>
      <c r="K153" s="76">
        <v>0</v>
      </c>
      <c r="L153" s="76">
        <v>0</v>
      </c>
    </row>
    <row r="154" spans="2:12" ht="15" customHeight="1">
      <c r="B154" s="76" t="s">
        <v>296</v>
      </c>
      <c r="C154" s="76">
        <v>0</v>
      </c>
      <c r="D154" s="76">
        <v>0</v>
      </c>
      <c r="E154" s="76">
        <v>0</v>
      </c>
      <c r="F154" s="76">
        <v>0</v>
      </c>
      <c r="G154" s="76">
        <v>0</v>
      </c>
      <c r="H154" s="76">
        <v>0</v>
      </c>
      <c r="I154" s="76">
        <v>0</v>
      </c>
      <c r="J154" s="76">
        <v>0</v>
      </c>
      <c r="K154" s="76">
        <v>0</v>
      </c>
      <c r="L154" s="76">
        <v>0</v>
      </c>
    </row>
    <row r="155" spans="2:12" ht="15" customHeight="1">
      <c r="B155" s="76" t="s">
        <v>297</v>
      </c>
      <c r="C155" s="76">
        <v>0</v>
      </c>
      <c r="D155" s="76">
        <v>0</v>
      </c>
      <c r="E155" s="76">
        <v>0</v>
      </c>
      <c r="F155" s="76">
        <v>0</v>
      </c>
      <c r="G155" s="76">
        <v>0</v>
      </c>
      <c r="H155" s="76">
        <v>0</v>
      </c>
      <c r="I155" s="76">
        <v>0</v>
      </c>
      <c r="J155" s="76">
        <v>0</v>
      </c>
      <c r="K155" s="76">
        <v>0</v>
      </c>
      <c r="L155" s="76">
        <v>0</v>
      </c>
    </row>
    <row r="156" spans="2:12" ht="15" customHeight="1">
      <c r="B156" s="76" t="s">
        <v>298</v>
      </c>
      <c r="C156" s="76">
        <v>0</v>
      </c>
      <c r="D156" s="76">
        <v>0</v>
      </c>
      <c r="E156" s="76">
        <v>0</v>
      </c>
      <c r="F156" s="76">
        <v>0</v>
      </c>
      <c r="G156" s="76">
        <v>0</v>
      </c>
      <c r="H156" s="76">
        <v>0</v>
      </c>
      <c r="I156" s="76">
        <v>0</v>
      </c>
      <c r="J156" s="76">
        <v>0</v>
      </c>
      <c r="K156" s="76">
        <v>0</v>
      </c>
      <c r="L156" s="76">
        <v>0</v>
      </c>
    </row>
    <row r="157" spans="2:12" ht="15" customHeight="1">
      <c r="B157" s="76" t="s">
        <v>299</v>
      </c>
      <c r="C157" s="76">
        <v>0</v>
      </c>
      <c r="D157" s="76">
        <v>0</v>
      </c>
      <c r="E157" s="76">
        <v>0</v>
      </c>
      <c r="F157" s="76">
        <v>0</v>
      </c>
      <c r="G157" s="76">
        <v>0</v>
      </c>
      <c r="H157" s="76">
        <v>0</v>
      </c>
      <c r="I157" s="76">
        <v>0</v>
      </c>
      <c r="J157" s="76">
        <v>0</v>
      </c>
      <c r="K157" s="76">
        <v>0</v>
      </c>
      <c r="L157" s="76">
        <v>75.33</v>
      </c>
    </row>
    <row r="158" spans="2:12" ht="15" customHeight="1">
      <c r="B158" s="76" t="s">
        <v>300</v>
      </c>
      <c r="C158" s="76">
        <v>0</v>
      </c>
      <c r="D158" s="76">
        <v>0</v>
      </c>
      <c r="E158" s="76">
        <v>0</v>
      </c>
      <c r="F158" s="76">
        <v>0</v>
      </c>
      <c r="G158" s="76">
        <v>0</v>
      </c>
      <c r="H158" s="76">
        <v>0</v>
      </c>
      <c r="I158" s="76">
        <v>0</v>
      </c>
      <c r="J158" s="76">
        <v>0</v>
      </c>
      <c r="K158" s="76">
        <v>0</v>
      </c>
      <c r="L158" s="76">
        <v>0</v>
      </c>
    </row>
    <row r="159" spans="2:12" ht="15" customHeight="1">
      <c r="B159" s="76" t="s">
        <v>217</v>
      </c>
      <c r="C159" s="76">
        <v>-25.7</v>
      </c>
      <c r="D159" s="76">
        <v>209.79</v>
      </c>
      <c r="E159" s="76">
        <v>100.91</v>
      </c>
      <c r="F159" s="76">
        <v>-92.2</v>
      </c>
      <c r="G159" s="76">
        <v>695.5</v>
      </c>
      <c r="H159" s="76">
        <v>11.79</v>
      </c>
      <c r="I159" s="76">
        <v>169.92</v>
      </c>
      <c r="J159" s="76">
        <v>668.8</v>
      </c>
      <c r="K159" s="76">
        <v>819.35</v>
      </c>
      <c r="L159" s="76">
        <v>0</v>
      </c>
    </row>
    <row r="160" spans="2:12" ht="15" customHeight="1">
      <c r="B160" s="76" t="s">
        <v>301</v>
      </c>
      <c r="C160" s="76">
        <v>-507.44</v>
      </c>
      <c r="D160" s="76">
        <v>-447.7</v>
      </c>
      <c r="E160" s="76">
        <v>-109.73</v>
      </c>
      <c r="F160" s="76">
        <v>-247.53</v>
      </c>
      <c r="G160" s="76">
        <v>210.18</v>
      </c>
      <c r="H160" s="76">
        <v>-398.88</v>
      </c>
      <c r="I160" s="76">
        <v>-542.65</v>
      </c>
      <c r="J160" s="76">
        <v>86.61</v>
      </c>
      <c r="K160" s="76">
        <v>-180.87</v>
      </c>
      <c r="L160" s="76">
        <v>-208.13</v>
      </c>
    </row>
    <row r="161" spans="2:12" ht="15" customHeight="1">
      <c r="B161" s="76" t="s">
        <v>302</v>
      </c>
      <c r="C161" s="76">
        <v>1228.94</v>
      </c>
      <c r="D161" s="76">
        <v>1280.92</v>
      </c>
      <c r="E161" s="76">
        <v>2074.69</v>
      </c>
      <c r="F161" s="76">
        <v>1880.16</v>
      </c>
      <c r="G161" s="76">
        <v>1609.08</v>
      </c>
      <c r="H161" s="76">
        <v>1010.12</v>
      </c>
      <c r="I161" s="76">
        <v>1098.3800000000001</v>
      </c>
      <c r="J161" s="76">
        <v>1920.88</v>
      </c>
      <c r="K161" s="76">
        <v>1650.57</v>
      </c>
      <c r="L161" s="76">
        <v>11.21</v>
      </c>
    </row>
    <row r="162" spans="2:12" ht="15" customHeight="1">
      <c r="B162" s="76" t="s">
        <v>303</v>
      </c>
      <c r="C162" s="76">
        <v>0</v>
      </c>
      <c r="D162" s="76">
        <v>0</v>
      </c>
      <c r="E162" s="76">
        <v>0</v>
      </c>
      <c r="F162" s="76">
        <v>0</v>
      </c>
      <c r="G162" s="76">
        <v>0</v>
      </c>
      <c r="H162" s="76">
        <v>0</v>
      </c>
      <c r="I162" s="76">
        <v>0</v>
      </c>
      <c r="J162" s="76">
        <v>0</v>
      </c>
      <c r="K162" s="76">
        <v>0</v>
      </c>
      <c r="L162" s="76">
        <v>-24.93</v>
      </c>
    </row>
    <row r="163" spans="2:12" ht="15" customHeight="1">
      <c r="B163" s="76" t="s">
        <v>304</v>
      </c>
      <c r="C163" s="76">
        <v>-291.68</v>
      </c>
      <c r="D163" s="76">
        <v>-366.57</v>
      </c>
      <c r="E163" s="76">
        <v>-387.92</v>
      </c>
      <c r="F163" s="76">
        <v>-260.97000000000003</v>
      </c>
      <c r="G163" s="76">
        <v>-276.63</v>
      </c>
      <c r="H163" s="76">
        <v>-246.12</v>
      </c>
      <c r="I163" s="76">
        <v>-330.14</v>
      </c>
      <c r="J163" s="76">
        <v>-387.74</v>
      </c>
      <c r="K163" s="76">
        <v>-377.67</v>
      </c>
      <c r="L163" s="76">
        <v>-7.57</v>
      </c>
    </row>
    <row r="164" spans="2:12" ht="15" customHeight="1">
      <c r="B164" s="76" t="s">
        <v>305</v>
      </c>
      <c r="C164" s="76">
        <v>0</v>
      </c>
      <c r="D164" s="76">
        <v>0</v>
      </c>
      <c r="E164" s="76">
        <v>0</v>
      </c>
      <c r="F164" s="76">
        <v>0</v>
      </c>
      <c r="G164" s="76">
        <v>0</v>
      </c>
      <c r="H164" s="76">
        <v>0</v>
      </c>
      <c r="I164" s="76">
        <v>0</v>
      </c>
      <c r="J164" s="76">
        <v>0</v>
      </c>
      <c r="K164" s="76">
        <v>0</v>
      </c>
      <c r="L164" s="76">
        <v>0</v>
      </c>
    </row>
    <row r="165" spans="2:12" ht="15" customHeight="1">
      <c r="B165" s="76" t="s">
        <v>217</v>
      </c>
      <c r="C165" s="76">
        <v>0</v>
      </c>
      <c r="D165" s="76">
        <v>0</v>
      </c>
      <c r="E165" s="76">
        <v>0</v>
      </c>
      <c r="F165" s="76">
        <v>0</v>
      </c>
      <c r="G165" s="76">
        <v>0</v>
      </c>
      <c r="H165" s="76">
        <v>0</v>
      </c>
      <c r="I165" s="76">
        <v>0</v>
      </c>
      <c r="J165" s="76">
        <v>0</v>
      </c>
      <c r="K165" s="76">
        <v>0</v>
      </c>
      <c r="L165" s="76">
        <v>0</v>
      </c>
    </row>
    <row r="166" spans="2:12" ht="15" customHeight="1">
      <c r="B166" s="76" t="s">
        <v>306</v>
      </c>
      <c r="C166" s="76">
        <v>-291.68</v>
      </c>
      <c r="D166" s="76">
        <v>-366.57</v>
      </c>
      <c r="E166" s="76">
        <v>-387.92</v>
      </c>
      <c r="F166" s="76">
        <v>-260.97000000000003</v>
      </c>
      <c r="G166" s="76">
        <v>-276.63</v>
      </c>
      <c r="H166" s="76">
        <v>-246.12</v>
      </c>
      <c r="I166" s="76">
        <v>-330.14</v>
      </c>
      <c r="J166" s="76">
        <v>-387.74</v>
      </c>
      <c r="K166" s="76">
        <v>-377.67</v>
      </c>
      <c r="L166" s="76">
        <v>-7.57</v>
      </c>
    </row>
    <row r="167" spans="2:12" ht="15" customHeight="1">
      <c r="B167" s="76" t="s">
        <v>307</v>
      </c>
      <c r="C167" s="76">
        <v>937.26</v>
      </c>
      <c r="D167" s="76">
        <v>914.35</v>
      </c>
      <c r="E167" s="76">
        <v>1686.77</v>
      </c>
      <c r="F167" s="76">
        <v>1619.19</v>
      </c>
      <c r="G167" s="76">
        <v>1332.45</v>
      </c>
      <c r="H167" s="76">
        <v>764</v>
      </c>
      <c r="I167" s="76">
        <v>768.24</v>
      </c>
      <c r="J167" s="76">
        <v>1533.14</v>
      </c>
      <c r="K167" s="76">
        <v>1272.9000000000001</v>
      </c>
      <c r="L167" s="76">
        <v>3.64</v>
      </c>
    </row>
    <row r="168" spans="2:12" ht="15" customHeight="1">
      <c r="B168" s="76" t="s">
        <v>308</v>
      </c>
      <c r="C168" s="76">
        <v>0</v>
      </c>
      <c r="D168" s="76">
        <v>0</v>
      </c>
      <c r="E168" s="76">
        <v>0</v>
      </c>
      <c r="F168" s="76">
        <v>0</v>
      </c>
      <c r="G168" s="76">
        <v>0</v>
      </c>
      <c r="H168" s="76">
        <v>0</v>
      </c>
      <c r="I168" s="76">
        <v>0</v>
      </c>
      <c r="J168" s="76">
        <v>0</v>
      </c>
      <c r="K168" s="76">
        <v>0</v>
      </c>
      <c r="L168" s="76">
        <v>0</v>
      </c>
    </row>
    <row r="169" spans="2:12" ht="15" customHeight="1">
      <c r="B169" s="76" t="s">
        <v>309</v>
      </c>
      <c r="C169" s="76">
        <v>0</v>
      </c>
      <c r="D169" s="76">
        <v>0</v>
      </c>
      <c r="E169" s="76">
        <v>0</v>
      </c>
      <c r="F169" s="76">
        <v>0</v>
      </c>
      <c r="G169" s="76">
        <v>0</v>
      </c>
      <c r="H169" s="76">
        <v>0</v>
      </c>
      <c r="I169" s="76">
        <v>0</v>
      </c>
      <c r="J169" s="76">
        <v>0</v>
      </c>
      <c r="K169" s="76">
        <v>0</v>
      </c>
      <c r="L169" s="76">
        <v>0</v>
      </c>
    </row>
    <row r="170" spans="2:12" ht="15" customHeight="1">
      <c r="B170" s="76" t="s">
        <v>310</v>
      </c>
      <c r="C170" s="76">
        <v>0</v>
      </c>
      <c r="D170" s="76">
        <v>0</v>
      </c>
      <c r="E170" s="76">
        <v>0</v>
      </c>
      <c r="F170" s="76">
        <v>0</v>
      </c>
      <c r="G170" s="76">
        <v>0</v>
      </c>
      <c r="H170" s="76">
        <v>0</v>
      </c>
      <c r="I170" s="76">
        <v>0</v>
      </c>
      <c r="J170" s="76">
        <v>0</v>
      </c>
      <c r="K170" s="76">
        <v>0</v>
      </c>
      <c r="L170" s="76">
        <v>0</v>
      </c>
    </row>
    <row r="171" spans="2:12" ht="15" customHeight="1">
      <c r="B171" s="76" t="s">
        <v>311</v>
      </c>
      <c r="C171" s="76">
        <v>0</v>
      </c>
      <c r="D171" s="76">
        <v>0</v>
      </c>
      <c r="E171" s="76">
        <v>0</v>
      </c>
      <c r="F171" s="76">
        <v>0</v>
      </c>
      <c r="G171" s="76">
        <v>0</v>
      </c>
      <c r="H171" s="76">
        <v>0</v>
      </c>
      <c r="I171" s="76">
        <v>0</v>
      </c>
      <c r="J171" s="76">
        <v>0</v>
      </c>
      <c r="K171" s="76">
        <v>0</v>
      </c>
      <c r="L171" s="76">
        <v>0</v>
      </c>
    </row>
    <row r="172" spans="2:12" ht="15" customHeight="1">
      <c r="B172" s="76" t="s">
        <v>312</v>
      </c>
      <c r="C172" s="76">
        <v>0</v>
      </c>
      <c r="D172" s="76">
        <v>0</v>
      </c>
      <c r="E172" s="76">
        <v>0</v>
      </c>
      <c r="F172" s="76">
        <v>0</v>
      </c>
      <c r="G172" s="76">
        <v>0</v>
      </c>
      <c r="H172" s="76">
        <v>0</v>
      </c>
      <c r="I172" s="76">
        <v>0</v>
      </c>
      <c r="J172" s="76">
        <v>0</v>
      </c>
      <c r="K172" s="76">
        <v>0</v>
      </c>
      <c r="L172" s="76">
        <v>0</v>
      </c>
    </row>
    <row r="173" spans="2:12" ht="15" customHeight="1">
      <c r="B173" s="76" t="s">
        <v>217</v>
      </c>
      <c r="C173" s="76">
        <v>0</v>
      </c>
      <c r="D173" s="76">
        <v>0</v>
      </c>
      <c r="E173" s="76">
        <v>0</v>
      </c>
      <c r="F173" s="76">
        <v>0</v>
      </c>
      <c r="G173" s="76">
        <v>930.68</v>
      </c>
      <c r="H173" s="76">
        <v>-702.75</v>
      </c>
      <c r="I173" s="76">
        <v>0</v>
      </c>
      <c r="J173" s="76">
        <v>0</v>
      </c>
      <c r="K173" s="76">
        <v>0</v>
      </c>
      <c r="L173" s="76">
        <v>0</v>
      </c>
    </row>
    <row r="174" spans="2:12" ht="15" customHeight="1">
      <c r="B174" s="76" t="s">
        <v>313</v>
      </c>
      <c r="C174" s="76">
        <v>-727.03</v>
      </c>
      <c r="D174" s="76">
        <v>-534.63</v>
      </c>
      <c r="E174" s="78">
        <v>-1437.77</v>
      </c>
      <c r="F174" s="78">
        <v>-1096.8499999999999</v>
      </c>
      <c r="G174" s="78">
        <v>-2082.19</v>
      </c>
      <c r="H174" s="76">
        <v>66.33</v>
      </c>
      <c r="I174" s="76">
        <v>-798.82</v>
      </c>
      <c r="J174" s="78">
        <v>-1458.27</v>
      </c>
      <c r="K174" s="78">
        <v>-1933.92</v>
      </c>
      <c r="L174" s="78">
        <v>192.06</v>
      </c>
    </row>
    <row r="175" spans="2:12" ht="15" customHeight="1">
      <c r="B175" s="76">
        <v>-149.83000000000001</v>
      </c>
      <c r="C175" s="76">
        <v>-149.83000000000001</v>
      </c>
      <c r="D175" s="76">
        <v>-159.57</v>
      </c>
      <c r="E175" s="76">
        <v>-194.31</v>
      </c>
      <c r="F175" s="76">
        <v>-386.15</v>
      </c>
      <c r="G175" s="76">
        <v>-287.81</v>
      </c>
      <c r="H175" s="76">
        <v>-127</v>
      </c>
      <c r="I175" s="76">
        <v>-44.32</v>
      </c>
      <c r="J175" s="76">
        <v>-22.55</v>
      </c>
      <c r="K175" s="76">
        <v>-137.36000000000001</v>
      </c>
      <c r="L175" s="76">
        <v>-123.04</v>
      </c>
    </row>
    <row r="176" spans="2:12" ht="15" customHeight="1">
      <c r="B176" s="76" t="s">
        <v>315</v>
      </c>
      <c r="C176" s="76">
        <v>0.47</v>
      </c>
      <c r="D176" s="76">
        <v>1.19</v>
      </c>
      <c r="E176" s="76">
        <v>125.44</v>
      </c>
      <c r="F176" s="76">
        <v>12.97</v>
      </c>
      <c r="G176" s="76">
        <v>2.0299999999999998</v>
      </c>
      <c r="H176" s="76">
        <v>1.65</v>
      </c>
      <c r="I176" s="76">
        <v>8.24</v>
      </c>
      <c r="J176" s="76">
        <v>4.97</v>
      </c>
      <c r="K176" s="76">
        <v>23.33</v>
      </c>
      <c r="L176" s="76">
        <v>282.64</v>
      </c>
    </row>
    <row r="177" spans="2:12" ht="15" customHeight="1">
      <c r="B177" s="76" t="s">
        <v>316</v>
      </c>
      <c r="C177" s="76">
        <v>0</v>
      </c>
      <c r="D177" s="76">
        <v>0</v>
      </c>
      <c r="E177" s="76">
        <v>0</v>
      </c>
      <c r="F177" s="76">
        <v>0</v>
      </c>
      <c r="G177" s="76">
        <v>0</v>
      </c>
      <c r="H177" s="76">
        <v>0</v>
      </c>
      <c r="I177" s="76">
        <v>0</v>
      </c>
      <c r="J177" s="76">
        <v>0</v>
      </c>
      <c r="K177" s="76">
        <v>0</v>
      </c>
      <c r="L177" s="76">
        <v>0</v>
      </c>
    </row>
    <row r="178" spans="2:12" ht="15" customHeight="1">
      <c r="B178" s="76" t="s">
        <v>317</v>
      </c>
      <c r="C178" s="76">
        <v>0</v>
      </c>
      <c r="D178" s="76">
        <v>0</v>
      </c>
      <c r="E178" s="76">
        <v>0</v>
      </c>
      <c r="F178" s="76">
        <v>0</v>
      </c>
      <c r="G178" s="76">
        <v>0</v>
      </c>
      <c r="H178" s="76">
        <v>0</v>
      </c>
      <c r="I178" s="76">
        <v>0</v>
      </c>
      <c r="J178" s="76">
        <v>0</v>
      </c>
      <c r="K178" s="76">
        <v>0</v>
      </c>
      <c r="L178" s="76">
        <v>0</v>
      </c>
    </row>
    <row r="179" spans="2:12" ht="15" customHeight="1">
      <c r="B179" s="76" t="s">
        <v>318</v>
      </c>
      <c r="C179" s="76">
        <v>0</v>
      </c>
      <c r="D179" s="76">
        <v>0</v>
      </c>
      <c r="E179" s="76">
        <v>0</v>
      </c>
      <c r="F179" s="76">
        <v>0</v>
      </c>
      <c r="G179" s="76">
        <v>0</v>
      </c>
      <c r="H179" s="76">
        <v>0</v>
      </c>
      <c r="I179" s="76">
        <v>0</v>
      </c>
      <c r="J179" s="76">
        <v>0</v>
      </c>
      <c r="K179" s="76">
        <v>0</v>
      </c>
      <c r="L179" s="76">
        <v>0</v>
      </c>
    </row>
    <row r="180" spans="2:12" ht="15" customHeight="1">
      <c r="B180" s="76" t="s">
        <v>319</v>
      </c>
      <c r="C180" s="76">
        <v>-990.33</v>
      </c>
      <c r="D180" s="76">
        <v>-434.88</v>
      </c>
      <c r="E180" s="76">
        <v>-1589.83</v>
      </c>
      <c r="F180" s="76">
        <v>-8684.2099999999991</v>
      </c>
      <c r="G180" s="76">
        <v>-2385.1799999999998</v>
      </c>
      <c r="H180" s="76">
        <v>-2038.34</v>
      </c>
      <c r="I180" s="76">
        <v>-2601</v>
      </c>
      <c r="J180" s="76">
        <v>-2381.7800000000002</v>
      </c>
      <c r="K180" s="76">
        <v>-1967.97</v>
      </c>
      <c r="L180" s="76">
        <v>0</v>
      </c>
    </row>
    <row r="181" spans="2:12" ht="15" customHeight="1">
      <c r="B181" s="76" t="s">
        <v>320</v>
      </c>
      <c r="C181" s="76">
        <v>0</v>
      </c>
      <c r="D181" s="76">
        <v>0</v>
      </c>
      <c r="E181" s="76">
        <v>0</v>
      </c>
      <c r="F181" s="76">
        <v>7207.28</v>
      </c>
      <c r="G181" s="76">
        <v>1595.86</v>
      </c>
      <c r="H181" s="76">
        <v>2268.7199999999998</v>
      </c>
      <c r="I181" s="76">
        <v>2770.97</v>
      </c>
      <c r="J181" s="76">
        <v>2776.13</v>
      </c>
      <c r="K181" s="76">
        <v>1941.22</v>
      </c>
      <c r="L181" s="76">
        <v>0</v>
      </c>
    </row>
    <row r="182" spans="2:12" ht="15" customHeight="1">
      <c r="B182" s="76" t="s">
        <v>321</v>
      </c>
      <c r="C182" s="76">
        <v>702.62</v>
      </c>
      <c r="D182" s="76">
        <v>704.81</v>
      </c>
      <c r="E182" s="76">
        <v>838.18</v>
      </c>
      <c r="F182" s="76">
        <v>998.5</v>
      </c>
      <c r="G182" s="76">
        <v>46.41</v>
      </c>
      <c r="H182" s="76">
        <v>1.57</v>
      </c>
      <c r="I182" s="76">
        <v>16.37</v>
      </c>
      <c r="J182" s="76">
        <v>18.850000000000001</v>
      </c>
      <c r="K182" s="76">
        <v>20.010000000000002</v>
      </c>
      <c r="L182" s="76">
        <v>0</v>
      </c>
    </row>
    <row r="183" spans="2:12" ht="15" customHeight="1">
      <c r="B183" s="76" t="s">
        <v>322</v>
      </c>
      <c r="C183" s="76">
        <v>0</v>
      </c>
      <c r="D183" s="76">
        <v>0</v>
      </c>
      <c r="E183" s="76">
        <v>0</v>
      </c>
      <c r="F183" s="76">
        <v>0</v>
      </c>
      <c r="G183" s="76">
        <v>0</v>
      </c>
      <c r="H183" s="76">
        <v>0</v>
      </c>
      <c r="I183" s="76">
        <v>0</v>
      </c>
      <c r="J183" s="76">
        <v>0</v>
      </c>
      <c r="K183" s="76">
        <v>0</v>
      </c>
      <c r="L183" s="76">
        <v>5.6</v>
      </c>
    </row>
    <row r="184" spans="2:12" ht="15" customHeight="1">
      <c r="B184" s="76" t="s">
        <v>283</v>
      </c>
      <c r="C184" s="76">
        <v>0</v>
      </c>
      <c r="D184" s="76">
        <v>0</v>
      </c>
      <c r="E184" s="76">
        <v>0</v>
      </c>
      <c r="F184" s="76">
        <v>0</v>
      </c>
      <c r="G184" s="76">
        <v>0</v>
      </c>
      <c r="H184" s="76">
        <v>0</v>
      </c>
      <c r="I184" s="76">
        <v>0</v>
      </c>
      <c r="J184" s="76">
        <v>0</v>
      </c>
      <c r="K184" s="76">
        <v>0</v>
      </c>
      <c r="L184" s="76">
        <v>0</v>
      </c>
    </row>
    <row r="185" spans="2:12" ht="15" customHeight="1">
      <c r="B185" s="76" t="s">
        <v>323</v>
      </c>
      <c r="C185" s="76">
        <v>0</v>
      </c>
      <c r="D185" s="76">
        <v>0</v>
      </c>
      <c r="E185" s="76">
        <v>0</v>
      </c>
      <c r="F185" s="76">
        <v>0</v>
      </c>
      <c r="G185" s="76">
        <v>0</v>
      </c>
      <c r="H185" s="76">
        <v>0</v>
      </c>
      <c r="I185" s="76">
        <v>0</v>
      </c>
      <c r="J185" s="76">
        <v>0</v>
      </c>
      <c r="K185" s="76">
        <v>0</v>
      </c>
      <c r="L185" s="76">
        <v>4</v>
      </c>
    </row>
    <row r="186" spans="2:12" ht="15" customHeight="1">
      <c r="B186" s="76" t="s">
        <v>324</v>
      </c>
      <c r="C186" s="76">
        <v>0</v>
      </c>
      <c r="D186" s="76">
        <v>0</v>
      </c>
      <c r="E186" s="76">
        <v>0</v>
      </c>
      <c r="F186" s="76">
        <v>0</v>
      </c>
      <c r="G186" s="76">
        <v>0</v>
      </c>
      <c r="H186" s="76">
        <v>0</v>
      </c>
      <c r="I186" s="76">
        <v>0</v>
      </c>
      <c r="J186" s="76">
        <v>0</v>
      </c>
      <c r="K186" s="76">
        <v>0</v>
      </c>
      <c r="L186" s="76">
        <v>0</v>
      </c>
    </row>
    <row r="187" spans="2:12" ht="15" customHeight="1">
      <c r="B187" s="76" t="s">
        <v>325</v>
      </c>
      <c r="C187" s="76">
        <v>0</v>
      </c>
      <c r="D187" s="76">
        <v>0</v>
      </c>
      <c r="E187" s="76">
        <v>0</v>
      </c>
      <c r="F187" s="76">
        <v>0</v>
      </c>
      <c r="G187" s="76">
        <v>0</v>
      </c>
      <c r="H187" s="76">
        <v>0</v>
      </c>
      <c r="I187" s="76">
        <v>0</v>
      </c>
      <c r="J187" s="76">
        <v>0</v>
      </c>
      <c r="K187" s="76">
        <v>0</v>
      </c>
      <c r="L187" s="76">
        <v>0</v>
      </c>
    </row>
    <row r="188" spans="2:12" ht="15" customHeight="1">
      <c r="B188" s="76" t="s">
        <v>326</v>
      </c>
      <c r="C188" s="76">
        <v>0</v>
      </c>
      <c r="D188" s="76">
        <v>0</v>
      </c>
      <c r="E188" s="76">
        <v>0</v>
      </c>
      <c r="F188" s="76">
        <v>0</v>
      </c>
      <c r="G188" s="76">
        <v>0</v>
      </c>
      <c r="H188" s="76">
        <v>0</v>
      </c>
      <c r="I188" s="76">
        <v>0</v>
      </c>
      <c r="J188" s="76">
        <v>0</v>
      </c>
      <c r="K188" s="76">
        <v>0</v>
      </c>
      <c r="L188" s="76">
        <v>0</v>
      </c>
    </row>
    <row r="189" spans="2:12" ht="15" customHeight="1">
      <c r="B189" s="76" t="s">
        <v>327</v>
      </c>
      <c r="C189" s="76">
        <v>0</v>
      </c>
      <c r="D189" s="76">
        <v>0</v>
      </c>
      <c r="E189" s="76">
        <v>0</v>
      </c>
      <c r="F189" s="76">
        <v>0</v>
      </c>
      <c r="G189" s="76">
        <v>0</v>
      </c>
      <c r="H189" s="76">
        <v>5.25</v>
      </c>
      <c r="I189" s="76">
        <v>0</v>
      </c>
      <c r="J189" s="76">
        <v>0</v>
      </c>
      <c r="K189" s="76">
        <v>0</v>
      </c>
      <c r="L189" s="76">
        <v>0</v>
      </c>
    </row>
    <row r="190" spans="2:12" ht="15" customHeight="1">
      <c r="B190" s="76" t="s">
        <v>328</v>
      </c>
      <c r="C190" s="76">
        <v>0</v>
      </c>
      <c r="D190" s="76">
        <v>0</v>
      </c>
      <c r="E190" s="76">
        <v>0</v>
      </c>
      <c r="F190" s="76">
        <v>-23.36</v>
      </c>
      <c r="G190" s="76">
        <v>0</v>
      </c>
      <c r="H190" s="76">
        <v>-7.39</v>
      </c>
      <c r="I190" s="76">
        <v>0</v>
      </c>
      <c r="J190" s="76">
        <v>-0.27</v>
      </c>
      <c r="K190" s="76">
        <v>-1.5</v>
      </c>
      <c r="L190" s="76">
        <v>0</v>
      </c>
    </row>
    <row r="191" spans="2:12" ht="15" customHeight="1">
      <c r="B191" s="76" t="s">
        <v>329</v>
      </c>
      <c r="C191" s="76">
        <v>0</v>
      </c>
      <c r="D191" s="76">
        <v>0</v>
      </c>
      <c r="E191" s="76">
        <v>0</v>
      </c>
      <c r="F191" s="76">
        <v>0</v>
      </c>
      <c r="G191" s="76">
        <v>0</v>
      </c>
      <c r="H191" s="76">
        <v>0</v>
      </c>
      <c r="I191" s="76">
        <v>0</v>
      </c>
      <c r="J191" s="76">
        <v>0</v>
      </c>
      <c r="K191" s="76">
        <v>0</v>
      </c>
      <c r="L191" s="76">
        <v>0</v>
      </c>
    </row>
    <row r="192" spans="2:12" ht="15" customHeight="1">
      <c r="B192" s="76" t="s">
        <v>217</v>
      </c>
      <c r="C192" s="76">
        <v>1.42</v>
      </c>
      <c r="D192" s="76">
        <v>1.93</v>
      </c>
      <c r="E192" s="76">
        <v>-0.35</v>
      </c>
      <c r="F192" s="76">
        <v>0.06</v>
      </c>
      <c r="G192" s="76">
        <v>-847.61</v>
      </c>
      <c r="H192" s="76">
        <v>500.76</v>
      </c>
      <c r="I192" s="76">
        <v>-0.1</v>
      </c>
      <c r="J192" s="76">
        <v>-0.12</v>
      </c>
      <c r="K192" s="76">
        <v>-0.28999999999999998</v>
      </c>
      <c r="L192" s="76">
        <v>0</v>
      </c>
    </row>
    <row r="193" spans="2:12" ht="15" customHeight="1">
      <c r="B193" s="76" t="s">
        <v>330</v>
      </c>
      <c r="C193" s="76">
        <v>-181.9</v>
      </c>
      <c r="D193" s="76">
        <v>-386.1</v>
      </c>
      <c r="E193" s="76">
        <v>-216.66</v>
      </c>
      <c r="F193" s="76">
        <v>-531.80999999999995</v>
      </c>
      <c r="G193" s="76">
        <v>-169.98</v>
      </c>
      <c r="H193" s="76">
        <v>-172.32</v>
      </c>
      <c r="I193" s="76">
        <v>-30.1</v>
      </c>
      <c r="J193" s="76">
        <v>108.1</v>
      </c>
      <c r="K193" s="76">
        <v>514.62</v>
      </c>
      <c r="L193" s="76">
        <v>1.86</v>
      </c>
    </row>
    <row r="194" spans="2:12" ht="15" customHeight="1">
      <c r="B194" s="76" t="s">
        <v>331</v>
      </c>
      <c r="C194" s="76">
        <v>0</v>
      </c>
      <c r="D194" s="76">
        <v>0</v>
      </c>
      <c r="E194" s="76">
        <v>0</v>
      </c>
      <c r="F194" s="76">
        <v>0</v>
      </c>
      <c r="G194" s="76">
        <v>0</v>
      </c>
      <c r="H194" s="76">
        <v>0</v>
      </c>
      <c r="I194" s="76">
        <v>0</v>
      </c>
      <c r="J194" s="76">
        <v>0</v>
      </c>
      <c r="K194" s="76">
        <v>0</v>
      </c>
      <c r="L194" s="76">
        <v>0</v>
      </c>
    </row>
    <row r="195" spans="2:12" ht="15" customHeight="1">
      <c r="B195" s="76" t="s">
        <v>332</v>
      </c>
      <c r="C195" s="76">
        <v>0</v>
      </c>
      <c r="D195" s="76">
        <v>0</v>
      </c>
      <c r="E195" s="76">
        <v>0</v>
      </c>
      <c r="F195" s="76">
        <v>0</v>
      </c>
      <c r="G195" s="76">
        <v>0</v>
      </c>
      <c r="H195" s="76">
        <v>0</v>
      </c>
      <c r="I195" s="76">
        <v>0</v>
      </c>
      <c r="J195" s="76">
        <v>0</v>
      </c>
      <c r="K195" s="76">
        <v>0</v>
      </c>
      <c r="L195" s="76">
        <v>0</v>
      </c>
    </row>
    <row r="196" spans="2:12" ht="15" customHeight="1">
      <c r="B196" s="76" t="s">
        <v>333</v>
      </c>
      <c r="C196" s="76">
        <v>68.19</v>
      </c>
      <c r="D196" s="76">
        <v>0</v>
      </c>
      <c r="E196" s="76">
        <v>127.65</v>
      </c>
      <c r="F196" s="76">
        <v>110.69</v>
      </c>
      <c r="G196" s="76">
        <v>205.25</v>
      </c>
      <c r="H196" s="76">
        <v>134.08000000000001</v>
      </c>
      <c r="I196" s="76">
        <v>175.61</v>
      </c>
      <c r="J196" s="76">
        <v>526.70000000000005</v>
      </c>
      <c r="K196" s="76">
        <v>1014.19</v>
      </c>
      <c r="L196" s="76">
        <v>0</v>
      </c>
    </row>
    <row r="197" spans="2:12" ht="15" customHeight="1">
      <c r="B197" s="76" t="s">
        <v>334</v>
      </c>
      <c r="C197" s="76">
        <v>0</v>
      </c>
      <c r="D197" s="76">
        <v>0</v>
      </c>
      <c r="E197" s="76">
        <v>0</v>
      </c>
      <c r="F197" s="76">
        <v>0</v>
      </c>
      <c r="G197" s="76">
        <v>0</v>
      </c>
      <c r="H197" s="76">
        <v>0</v>
      </c>
      <c r="I197" s="76">
        <v>0</v>
      </c>
      <c r="J197" s="76">
        <v>0</v>
      </c>
      <c r="K197" s="76">
        <v>0</v>
      </c>
      <c r="L197" s="76">
        <v>0</v>
      </c>
    </row>
    <row r="198" spans="2:12" ht="15" customHeight="1">
      <c r="B198" s="76" t="s">
        <v>335</v>
      </c>
      <c r="C198" s="76">
        <v>0</v>
      </c>
      <c r="D198" s="76">
        <v>0</v>
      </c>
      <c r="E198" s="76">
        <v>0</v>
      </c>
      <c r="F198" s="76">
        <v>0</v>
      </c>
      <c r="G198" s="76">
        <v>0</v>
      </c>
      <c r="H198" s="76">
        <v>0</v>
      </c>
      <c r="I198" s="76">
        <v>0</v>
      </c>
      <c r="J198" s="76">
        <v>0</v>
      </c>
      <c r="K198" s="76">
        <v>0</v>
      </c>
      <c r="L198" s="76">
        <v>75.33</v>
      </c>
    </row>
    <row r="199" spans="2:12" ht="15" customHeight="1">
      <c r="B199" s="76" t="s">
        <v>336</v>
      </c>
      <c r="C199" s="76">
        <v>0</v>
      </c>
      <c r="D199" s="76">
        <v>0</v>
      </c>
      <c r="E199" s="76">
        <v>0</v>
      </c>
      <c r="F199" s="76">
        <v>0</v>
      </c>
      <c r="G199" s="76">
        <v>0</v>
      </c>
      <c r="H199" s="76">
        <v>0</v>
      </c>
      <c r="I199" s="76">
        <v>0</v>
      </c>
      <c r="J199" s="76">
        <v>0</v>
      </c>
      <c r="K199" s="76">
        <v>0</v>
      </c>
      <c r="L199" s="76">
        <v>0</v>
      </c>
    </row>
    <row r="200" spans="2:12" ht="15" customHeight="1">
      <c r="B200" s="76" t="s">
        <v>337</v>
      </c>
      <c r="C200" s="76">
        <v>0</v>
      </c>
      <c r="D200" s="76">
        <v>0</v>
      </c>
      <c r="E200" s="76">
        <v>0</v>
      </c>
      <c r="F200" s="76">
        <v>0</v>
      </c>
      <c r="G200" s="76">
        <v>0</v>
      </c>
      <c r="H200" s="76">
        <v>0</v>
      </c>
      <c r="I200" s="76">
        <v>0</v>
      </c>
      <c r="J200" s="76">
        <v>0</v>
      </c>
      <c r="K200" s="76">
        <v>0</v>
      </c>
      <c r="L200" s="76">
        <v>0</v>
      </c>
    </row>
    <row r="201" spans="2:12" ht="15" customHeight="1">
      <c r="B201" s="76" t="s">
        <v>338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</row>
    <row r="202" spans="2:12" ht="15" customHeight="1">
      <c r="B202" s="76" t="s">
        <v>339</v>
      </c>
      <c r="C202" s="76">
        <v>0</v>
      </c>
      <c r="D202" s="76">
        <v>0</v>
      </c>
      <c r="E202" s="76">
        <v>0</v>
      </c>
      <c r="F202" s="76">
        <v>0</v>
      </c>
      <c r="G202" s="76">
        <v>0</v>
      </c>
      <c r="H202" s="76">
        <v>0</v>
      </c>
      <c r="I202" s="76">
        <v>0</v>
      </c>
      <c r="J202" s="76">
        <v>0</v>
      </c>
      <c r="K202" s="76">
        <v>0</v>
      </c>
      <c r="L202" s="76">
        <v>0</v>
      </c>
    </row>
    <row r="203" spans="2:12" ht="15" customHeight="1">
      <c r="B203" s="76" t="s">
        <v>340</v>
      </c>
      <c r="C203" s="76">
        <v>0</v>
      </c>
      <c r="D203" s="76">
        <v>0</v>
      </c>
      <c r="E203" s="76">
        <v>0</v>
      </c>
      <c r="F203" s="76">
        <v>0</v>
      </c>
      <c r="G203" s="76">
        <v>0</v>
      </c>
      <c r="H203" s="76">
        <v>0</v>
      </c>
      <c r="I203" s="76">
        <v>0</v>
      </c>
      <c r="J203" s="76">
        <v>0</v>
      </c>
      <c r="K203" s="76">
        <v>0</v>
      </c>
      <c r="L203" s="76">
        <v>0</v>
      </c>
    </row>
    <row r="204" spans="2:12" ht="15" customHeight="1">
      <c r="B204" s="76" t="s">
        <v>341</v>
      </c>
      <c r="C204" s="76">
        <v>0</v>
      </c>
      <c r="D204" s="76">
        <v>0</v>
      </c>
      <c r="E204" s="76">
        <v>0</v>
      </c>
      <c r="F204" s="76">
        <v>0</v>
      </c>
      <c r="G204" s="76">
        <v>0</v>
      </c>
      <c r="H204" s="76">
        <v>0</v>
      </c>
      <c r="I204" s="76">
        <v>0</v>
      </c>
      <c r="J204" s="76">
        <v>0</v>
      </c>
      <c r="K204" s="76">
        <v>0</v>
      </c>
      <c r="L204" s="76">
        <v>0</v>
      </c>
    </row>
    <row r="205" spans="2:12" ht="15" customHeight="1">
      <c r="B205" s="76" t="s">
        <v>342</v>
      </c>
      <c r="C205" s="76">
        <v>0</v>
      </c>
      <c r="D205" s="76">
        <v>0</v>
      </c>
      <c r="E205" s="76">
        <v>-99.29</v>
      </c>
      <c r="F205" s="76">
        <v>-128.44</v>
      </c>
      <c r="G205" s="76">
        <v>-134.19</v>
      </c>
      <c r="H205" s="76">
        <v>-44.69</v>
      </c>
      <c r="I205" s="76">
        <v>-101.62</v>
      </c>
      <c r="J205" s="76">
        <v>-118.06</v>
      </c>
      <c r="K205" s="76">
        <v>-164.44</v>
      </c>
      <c r="L205" s="76">
        <v>-41.88</v>
      </c>
    </row>
    <row r="206" spans="2:12" ht="15" customHeight="1">
      <c r="B206" s="76" t="s">
        <v>343</v>
      </c>
      <c r="C206" s="76">
        <v>0</v>
      </c>
      <c r="D206" s="76">
        <v>0</v>
      </c>
      <c r="E206" s="76">
        <v>0</v>
      </c>
      <c r="F206" s="76">
        <v>0</v>
      </c>
      <c r="G206" s="76">
        <v>0</v>
      </c>
      <c r="H206" s="76">
        <v>0</v>
      </c>
      <c r="I206" s="76">
        <v>0</v>
      </c>
      <c r="J206" s="76">
        <v>0</v>
      </c>
      <c r="K206" s="76">
        <v>0</v>
      </c>
      <c r="L206" s="76">
        <v>0</v>
      </c>
    </row>
    <row r="207" spans="2:12" ht="15" customHeight="1">
      <c r="B207" s="76" t="s">
        <v>344</v>
      </c>
      <c r="C207" s="76">
        <v>0</v>
      </c>
      <c r="D207" s="76">
        <v>0</v>
      </c>
      <c r="E207" s="76">
        <v>0</v>
      </c>
      <c r="F207" s="76">
        <v>-35.75</v>
      </c>
      <c r="G207" s="76">
        <v>-26.94</v>
      </c>
      <c r="H207" s="76">
        <v>-33.69</v>
      </c>
      <c r="I207" s="76">
        <v>-34.83</v>
      </c>
      <c r="J207" s="76">
        <v>-59.19</v>
      </c>
      <c r="K207" s="76">
        <v>-52.8</v>
      </c>
      <c r="L207" s="76">
        <v>-6.29</v>
      </c>
    </row>
    <row r="208" spans="2:12" ht="15" customHeight="1">
      <c r="B208" s="76" t="s">
        <v>345</v>
      </c>
      <c r="C208" s="76">
        <v>-248.19</v>
      </c>
      <c r="D208" s="76">
        <v>-249.35</v>
      </c>
      <c r="E208" s="76">
        <v>-246.6</v>
      </c>
      <c r="F208" s="76">
        <v>-502.11</v>
      </c>
      <c r="G208" s="76">
        <v>-170</v>
      </c>
      <c r="H208" s="76">
        <v>-170</v>
      </c>
      <c r="I208" s="76">
        <v>0</v>
      </c>
      <c r="J208" s="76">
        <v>-170</v>
      </c>
      <c r="K208" s="76">
        <v>-170</v>
      </c>
      <c r="L208" s="76">
        <v>-0.37</v>
      </c>
    </row>
    <row r="209" spans="2:12" ht="15" customHeight="1">
      <c r="B209" s="76" t="s">
        <v>346</v>
      </c>
      <c r="C209" s="76">
        <v>0</v>
      </c>
      <c r="D209" s="76">
        <v>0</v>
      </c>
      <c r="E209" s="76">
        <v>0</v>
      </c>
      <c r="F209" s="76">
        <v>0</v>
      </c>
      <c r="G209" s="76">
        <v>0</v>
      </c>
      <c r="H209" s="76">
        <v>0</v>
      </c>
      <c r="I209" s="76">
        <v>0</v>
      </c>
      <c r="J209" s="76">
        <v>0</v>
      </c>
      <c r="K209" s="76">
        <v>0</v>
      </c>
      <c r="L209" s="76">
        <v>0</v>
      </c>
    </row>
    <row r="210" spans="2:12" ht="15" customHeight="1">
      <c r="B210" s="76" t="s">
        <v>347</v>
      </c>
      <c r="C210" s="76">
        <v>-1.9</v>
      </c>
      <c r="D210" s="76">
        <v>-9.82</v>
      </c>
      <c r="E210" s="76">
        <v>-12.19</v>
      </c>
      <c r="F210" s="76">
        <v>-4.41</v>
      </c>
      <c r="G210" s="76">
        <v>-13.01</v>
      </c>
      <c r="H210" s="76">
        <v>-35.32</v>
      </c>
      <c r="I210" s="76">
        <v>-47.69</v>
      </c>
      <c r="J210" s="76">
        <v>-71.349999999999994</v>
      </c>
      <c r="K210" s="76">
        <v>-112.33</v>
      </c>
      <c r="L210" s="76">
        <v>-24.93</v>
      </c>
    </row>
    <row r="211" spans="2:12" ht="15" customHeight="1">
      <c r="B211" s="76" t="s">
        <v>217</v>
      </c>
      <c r="C211" s="76">
        <v>0</v>
      </c>
      <c r="D211" s="76">
        <v>-126.93</v>
      </c>
      <c r="E211" s="76">
        <v>13.77</v>
      </c>
      <c r="F211" s="76">
        <v>28.21</v>
      </c>
      <c r="G211" s="76">
        <v>-31.09</v>
      </c>
      <c r="H211" s="76">
        <v>-22.7</v>
      </c>
      <c r="I211" s="76">
        <v>-21.57</v>
      </c>
      <c r="J211" s="76">
        <v>0</v>
      </c>
      <c r="K211" s="76">
        <v>0</v>
      </c>
      <c r="L211" s="76">
        <v>0</v>
      </c>
    </row>
    <row r="212" spans="2:12" ht="15" customHeight="1">
      <c r="B212" s="76" t="s">
        <v>348</v>
      </c>
      <c r="C212" s="76">
        <v>-181.9</v>
      </c>
      <c r="D212" s="76">
        <v>-386.1</v>
      </c>
      <c r="E212" s="76">
        <v>-216.66</v>
      </c>
      <c r="F212" s="76">
        <v>-531.80999999999995</v>
      </c>
      <c r="G212" s="76">
        <v>-169.98</v>
      </c>
      <c r="H212" s="76">
        <v>-172.32</v>
      </c>
      <c r="I212" s="76">
        <v>-30.1</v>
      </c>
      <c r="J212" s="76">
        <v>108.1</v>
      </c>
      <c r="K212" s="76">
        <v>514.62</v>
      </c>
      <c r="L212" s="76">
        <v>1.86</v>
      </c>
    </row>
    <row r="213" spans="2:12" ht="15" customHeight="1">
      <c r="B213" s="76" t="s">
        <v>349</v>
      </c>
      <c r="C213" s="76">
        <v>28.33</v>
      </c>
      <c r="D213" s="76">
        <v>-6.38</v>
      </c>
      <c r="E213" s="76">
        <v>32.340000000000003</v>
      </c>
      <c r="F213" s="76">
        <v>-9.4700000000000006</v>
      </c>
      <c r="G213" s="76">
        <v>10.96</v>
      </c>
      <c r="H213" s="76">
        <v>-44.74</v>
      </c>
      <c r="I213" s="76">
        <v>-60.68</v>
      </c>
      <c r="J213" s="76">
        <v>182.97</v>
      </c>
      <c r="K213" s="76">
        <v>-146.4</v>
      </c>
      <c r="L213" s="76">
        <v>197.56</v>
      </c>
    </row>
    <row r="214" spans="2:12" ht="15" customHeight="1">
      <c r="B214" s="76" t="s">
        <v>350</v>
      </c>
      <c r="C214" s="76">
        <v>314.98</v>
      </c>
      <c r="D214" s="76">
        <v>308.60000000000002</v>
      </c>
      <c r="E214" s="76">
        <v>340.94</v>
      </c>
      <c r="F214" s="76">
        <v>331.47</v>
      </c>
      <c r="G214" s="76">
        <v>342.43</v>
      </c>
      <c r="H214" s="76">
        <v>297.69</v>
      </c>
      <c r="I214" s="76">
        <v>128.43</v>
      </c>
      <c r="J214" s="76">
        <v>314.75</v>
      </c>
      <c r="K214" s="76">
        <v>176.59</v>
      </c>
      <c r="L214" s="76">
        <v>289.48</v>
      </c>
    </row>
  </sheetData>
  <mergeCells count="24">
    <mergeCell ref="AL92:AW92"/>
    <mergeCell ref="B132:L132"/>
    <mergeCell ref="AL46:AW46"/>
    <mergeCell ref="AL53:AW53"/>
    <mergeCell ref="AL60:AW60"/>
    <mergeCell ref="AL73:AW73"/>
    <mergeCell ref="AL81:AW81"/>
    <mergeCell ref="AL16:AW16"/>
    <mergeCell ref="AL24:AW24"/>
    <mergeCell ref="AL30:AW30"/>
    <mergeCell ref="AL36:AW36"/>
    <mergeCell ref="B39:L39"/>
    <mergeCell ref="N39:X39"/>
    <mergeCell ref="Z39:AJ39"/>
    <mergeCell ref="AL3:AW3"/>
    <mergeCell ref="AY3:BK3"/>
    <mergeCell ref="AY8:BK8"/>
    <mergeCell ref="AL9:AW9"/>
    <mergeCell ref="AY15:BK15"/>
    <mergeCell ref="B1:L1"/>
    <mergeCell ref="N1:X1"/>
    <mergeCell ref="Z1:AJ1"/>
    <mergeCell ref="AL1:AW1"/>
    <mergeCell ref="AY1:BK1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05C60535-1F16-4fd2-B633-F4F36F0B64E0}">
      <x14:sparklineGroups xmlns:xm="http://schemas.microsoft.com/office/excel/2006/main">
        <x14:sparklineGroup lineWeight="1" displayEmptyCellsAs="gap" displayXAxis="1" xr2:uid="{0746A4A1-A0F4-45C5-841C-4A9BB7AB0C89}">
          <x14:sparklines>
            <x14:sparkline>
              <xm:f>'Reform Stat, Ratio, GROWTH'!AM4:AV4</xm:f>
              <xm:sqref>AW4</xm:sqref>
            </x14:sparkline>
          </x14:sparklines>
        </x14:sparklineGroup>
        <x14:sparklineGroup lineWeight="1" displayEmptyCellsAs="gap" displayXAxis="1" xr2:uid="{2F852929-8C88-485E-9638-8DB49D604CF6}">
          <x14:sparklines>
            <x14:sparkline>
              <xm:f>'Reform Stat, Ratio, GROWTH'!AM5:AV5</xm:f>
              <xm:sqref>AW5</xm:sqref>
            </x14:sparkline>
          </x14:sparklines>
        </x14:sparklineGroup>
        <x14:sparklineGroup lineWeight="1" displayEmptyCellsAs="gap" displayXAxis="1" xr2:uid="{F272C1CF-66B6-46C2-B33A-CB80F71086DC}">
          <x14:sparklines>
            <x14:sparkline>
              <xm:f>'Reform Stat, Ratio, GROWTH'!AM6:AV6</xm:f>
              <xm:sqref>AW6</xm:sqref>
            </x14:sparkline>
          </x14:sparklines>
        </x14:sparklineGroup>
        <x14:sparklineGroup lineWeight="1" displayEmptyCellsAs="gap" displayXAxis="1" xr2:uid="{1E0DD648-DACC-495A-BDFE-ECDAB20636E5}">
          <x14:sparklines>
            <x14:sparkline>
              <xm:f>'Reform Stat, Ratio, GROWTH'!AM7:AV7</xm:f>
              <xm:sqref>AW7</xm:sqref>
            </x14:sparkline>
          </x14:sparklines>
        </x14:sparklineGroup>
        <x14:sparklineGroup lineWeight="1" displayEmptyCellsAs="gap" displayXAxis="1" xr2:uid="{D3E79D03-FEC4-4334-ACA6-6C49C904703E}">
          <x14:sparklines>
            <x14:sparkline>
              <xm:f>'Reform Stat, Ratio, GROWTH'!AM10:AV10</xm:f>
              <xm:sqref>AW10</xm:sqref>
            </x14:sparkline>
          </x14:sparklines>
        </x14:sparklineGroup>
        <x14:sparklineGroup lineWeight="1" displayEmptyCellsAs="gap" displayXAxis="1" xr2:uid="{49AE24F4-4EFD-4EF4-9C98-7F75870984FC}">
          <x14:sparklines>
            <x14:sparkline>
              <xm:f>'Reform Stat, Ratio, GROWTH'!AM11:AV11</xm:f>
              <xm:sqref>AW11</xm:sqref>
            </x14:sparkline>
          </x14:sparklines>
        </x14:sparklineGroup>
        <x14:sparklineGroup lineWeight="1" displayEmptyCellsAs="gap" displayXAxis="1" xr2:uid="{D6D7F3AE-66AE-4BE9-935D-9193998A1747}">
          <x14:sparklines>
            <x14:sparkline>
              <xm:f>'Reform Stat, Ratio, GROWTH'!AM12:AV12</xm:f>
              <xm:sqref>AW12</xm:sqref>
            </x14:sparkline>
          </x14:sparklines>
        </x14:sparklineGroup>
        <x14:sparklineGroup lineWeight="1" displayEmptyCellsAs="gap" displayXAxis="1" xr2:uid="{A260255E-0CB3-4579-B04D-A182375FD7B3}">
          <x14:sparklines>
            <x14:sparkline>
              <xm:f>'Reform Stat, Ratio, GROWTH'!AM13:AV13</xm:f>
              <xm:sqref>AW13</xm:sqref>
            </x14:sparkline>
          </x14:sparklines>
        </x14:sparklineGroup>
        <x14:sparklineGroup lineWeight="1" displayEmptyCellsAs="gap" displayXAxis="1" xr2:uid="{6A6EBEC8-3F2C-487B-8C51-13167FAC1617}">
          <x14:sparklines>
            <x14:sparkline>
              <xm:f>'Reform Stat, Ratio, GROWTH'!AM14:AV14</xm:f>
              <xm:sqref>AW14</xm:sqref>
            </x14:sparkline>
          </x14:sparklines>
        </x14:sparklineGroup>
        <x14:sparklineGroup lineWeight="1" displayEmptyCellsAs="gap" displayXAxis="1" xr2:uid="{120917C4-B0E1-4BC0-B4D8-A1A6A04173D4}">
          <x14:sparklines>
            <x14:sparkline>
              <xm:f>'Reform Stat, Ratio, GROWTH'!AM17:AV17</xm:f>
              <xm:sqref>AW17</xm:sqref>
            </x14:sparkline>
          </x14:sparklines>
        </x14:sparklineGroup>
        <x14:sparklineGroup lineWeight="1" displayEmptyCellsAs="gap" displayXAxis="1" xr2:uid="{9D49686D-8996-4132-B2DA-0E37DD4EC4C9}">
          <x14:sparklines>
            <x14:sparkline>
              <xm:f>'Reform Stat, Ratio, GROWTH'!AM18:AV18</xm:f>
              <xm:sqref>AW18</xm:sqref>
            </x14:sparkline>
          </x14:sparklines>
        </x14:sparklineGroup>
        <x14:sparklineGroup lineWeight="1" displayEmptyCellsAs="gap" displayXAxis="1" xr2:uid="{5C4269AE-6FCC-41B6-BDB5-7FEA703AA8B4}">
          <x14:sparklines>
            <x14:sparkline>
              <xm:f>'Reform Stat, Ratio, GROWTH'!AM19:AV19</xm:f>
              <xm:sqref>AW19</xm:sqref>
            </x14:sparkline>
          </x14:sparklines>
        </x14:sparklineGroup>
        <x14:sparklineGroup lineWeight="1" displayEmptyCellsAs="gap" displayXAxis="1" xr2:uid="{9B3854C6-AAE5-44EF-BB38-A63F90A65234}">
          <x14:sparklines>
            <x14:sparkline>
              <xm:f>'Reform Stat, Ratio, GROWTH'!AM20:AV20</xm:f>
              <xm:sqref>AW20</xm:sqref>
            </x14:sparkline>
          </x14:sparklines>
        </x14:sparklineGroup>
        <x14:sparklineGroup lineWeight="1" displayEmptyCellsAs="gap" displayXAxis="1" xr2:uid="{1CBDC0E6-12E6-4162-9D42-060B3B9F3156}">
          <x14:sparklines>
            <x14:sparkline>
              <xm:f>'Reform Stat, Ratio, GROWTH'!AM21:AV21</xm:f>
              <xm:sqref>AW21</xm:sqref>
            </x14:sparkline>
          </x14:sparklines>
        </x14:sparklineGroup>
        <x14:sparklineGroup lineWeight="1" displayEmptyCellsAs="gap" displayXAxis="1" xr2:uid="{4C2E51FD-A55A-42A9-A35B-336A061C32EE}">
          <x14:sparklines>
            <x14:sparkline>
              <xm:f>'Reform Stat, Ratio, GROWTH'!AM22:AV22</xm:f>
              <xm:sqref>AW22</xm:sqref>
            </x14:sparkline>
          </x14:sparklines>
        </x14:sparklineGroup>
        <x14:sparklineGroup lineWeight="1" displayEmptyCellsAs="gap" displayXAxis="1" xr2:uid="{1B3283FF-EA10-48A1-84AA-71D372D3D2D6}">
          <x14:sparklines>
            <x14:sparkline>
              <xm:f>'Reform Stat, Ratio, GROWTH'!AM25:AV25</xm:f>
              <xm:sqref>AW25</xm:sqref>
            </x14:sparkline>
          </x14:sparklines>
        </x14:sparklineGroup>
        <x14:sparklineGroup lineWeight="1" displayEmptyCellsAs="gap" displayXAxis="1" xr2:uid="{209B56EB-BCFD-4CEA-8F51-A20E85D8BD5D}">
          <x14:sparklines>
            <x14:sparkline>
              <xm:f>'Reform Stat, Ratio, GROWTH'!AM26:AV26</xm:f>
              <xm:sqref>AW26</xm:sqref>
            </x14:sparkline>
          </x14:sparklines>
        </x14:sparklineGroup>
        <x14:sparklineGroup lineWeight="1" displayEmptyCellsAs="gap" displayXAxis="1" xr2:uid="{164F3418-3339-432C-BEDB-F8414427E3C9}">
          <x14:sparklines>
            <x14:sparkline>
              <xm:f>'Reform Stat, Ratio, GROWTH'!AM27:AV27</xm:f>
              <xm:sqref>AW27</xm:sqref>
            </x14:sparkline>
          </x14:sparklines>
        </x14:sparklineGroup>
        <x14:sparklineGroup lineWeight="1" displayEmptyCellsAs="gap" displayXAxis="1" xr2:uid="{1EB01B29-2E54-41A2-B192-A2A4C6EE376D}">
          <x14:sparklines>
            <x14:sparkline>
              <xm:f>'Reform Stat, Ratio, GROWTH'!AM28:AV28</xm:f>
              <xm:sqref>AW28</xm:sqref>
            </x14:sparkline>
          </x14:sparklines>
        </x14:sparklineGroup>
        <x14:sparklineGroup lineWeight="1" displayEmptyCellsAs="gap" displayXAxis="1" xr2:uid="{B5F7E511-ABA1-4129-96C1-E4ABE3BFAB67}">
          <x14:sparklines>
            <x14:sparkline>
              <xm:f>'Reform Stat, Ratio, GROWTH'!AM31:AV31</xm:f>
              <xm:sqref>AW31</xm:sqref>
            </x14:sparkline>
          </x14:sparklines>
        </x14:sparklineGroup>
        <x14:sparklineGroup lineWeight="1" displayEmptyCellsAs="gap" displayXAxis="1" xr2:uid="{85D1C997-6AE3-4769-858D-4909A028E6C8}">
          <x14:sparklines>
            <x14:sparkline>
              <xm:f>'Reform Stat, Ratio, GROWTH'!AM32:AV32</xm:f>
              <xm:sqref>AW32</xm:sqref>
            </x14:sparkline>
          </x14:sparklines>
        </x14:sparklineGroup>
        <x14:sparklineGroup lineWeight="1" displayEmptyCellsAs="gap" displayXAxis="1" xr2:uid="{8B1030E0-BF42-459D-B446-C008084779DC}">
          <x14:sparklines>
            <x14:sparkline>
              <xm:f>'Reform Stat, Ratio, GROWTH'!AM33:AV33</xm:f>
              <xm:sqref>AW33</xm:sqref>
            </x14:sparkline>
          </x14:sparklines>
        </x14:sparklineGroup>
        <x14:sparklineGroup lineWeight="1" displayEmptyCellsAs="gap" displayXAxis="1" xr2:uid="{3F5F774A-7D82-4E9B-8A64-DDDA8B9377C8}">
          <x14:sparklines>
            <x14:sparkline>
              <xm:f>'Reform Stat, Ratio, GROWTH'!AM34:AV34</xm:f>
              <xm:sqref>AW34</xm:sqref>
            </x14:sparkline>
          </x14:sparklines>
        </x14:sparklineGroup>
        <x14:sparklineGroup lineWeight="1" displayEmptyCellsAs="gap" displayXAxis="1" xr2:uid="{7A4EBE9E-91F5-42AE-8631-76C740F44163}">
          <x14:sparklines>
            <x14:sparkline>
              <xm:f>'Reform Stat, Ratio, GROWTH'!AM37:AV37</xm:f>
              <xm:sqref>AW37</xm:sqref>
            </x14:sparkline>
          </x14:sparklines>
        </x14:sparklineGroup>
        <x14:sparklineGroup lineWeight="1" displayEmptyCellsAs="gap" displayXAxis="1" xr2:uid="{F20229E2-5AF3-4DCD-B33C-4FCF8F8BD338}">
          <x14:sparklines>
            <x14:sparkline>
              <xm:f>'Reform Stat, Ratio, GROWTH'!AM38:AV38</xm:f>
              <xm:sqref>AW38</xm:sqref>
            </x14:sparkline>
          </x14:sparklines>
        </x14:sparklineGroup>
        <x14:sparklineGroup lineWeight="1" displayEmptyCellsAs="gap" displayXAxis="1" xr2:uid="{9F177EC6-F6FF-4927-B82E-6CDC83C7AC30}">
          <x14:sparklines>
            <x14:sparkline>
              <xm:f>'Reform Stat, Ratio, GROWTH'!AM39:AV39</xm:f>
              <xm:sqref>AW39</xm:sqref>
            </x14:sparkline>
          </x14:sparklines>
        </x14:sparklineGroup>
        <x14:sparklineGroup lineWeight="1" displayEmptyCellsAs="gap" displayXAxis="1" xr2:uid="{EAB48019-C47E-42CC-AD75-366063127802}">
          <x14:sparklines>
            <x14:sparkline>
              <xm:f>'Reform Stat, Ratio, GROWTH'!AM40:AV40</xm:f>
              <xm:sqref>AW40</xm:sqref>
            </x14:sparkline>
          </x14:sparklines>
        </x14:sparklineGroup>
        <x14:sparklineGroup lineWeight="1" displayEmptyCellsAs="gap" displayXAxis="1" xr2:uid="{4EBA14ED-D8C2-45E8-BB62-277EA4B65D39}">
          <x14:sparklines>
            <x14:sparkline>
              <xm:f>'Reform Stat, Ratio, GROWTH'!AM41:AV41</xm:f>
              <xm:sqref>AW41</xm:sqref>
            </x14:sparkline>
          </x14:sparklines>
        </x14:sparklineGroup>
        <x14:sparklineGroup lineWeight="1" displayEmptyCellsAs="gap" displayXAxis="1" xr2:uid="{538061D8-28CD-4C06-9FC4-3FB18628AF64}">
          <x14:sparklines>
            <x14:sparkline>
              <xm:f>'Reform Stat, Ratio, GROWTH'!AM42:AV42</xm:f>
              <xm:sqref>AW42</xm:sqref>
            </x14:sparkline>
          </x14:sparklines>
        </x14:sparklineGroup>
        <x14:sparklineGroup lineWeight="1" displayEmptyCellsAs="gap" displayXAxis="1" xr2:uid="{66DBA21B-7A1C-4725-A449-E0FEE68D6649}">
          <x14:sparklines>
            <x14:sparkline>
              <xm:f>'Reform Stat, Ratio, GROWTH'!AM43:AV43</xm:f>
              <xm:sqref>AW43</xm:sqref>
            </x14:sparkline>
          </x14:sparklines>
        </x14:sparklineGroup>
        <x14:sparklineGroup lineWeight="1" displayEmptyCellsAs="gap" displayXAxis="1" xr2:uid="{233745A2-6993-4B3F-A7FC-57572EE3EDF8}">
          <x14:sparklines>
            <x14:sparkline>
              <xm:f>'Reform Stat, Ratio, GROWTH'!AM44:AV44</xm:f>
              <xm:sqref>AW44</xm:sqref>
            </x14:sparkline>
          </x14:sparklines>
        </x14:sparklineGroup>
        <x14:sparklineGroup lineWeight="1" displayEmptyCellsAs="gap" displayXAxis="1" xr2:uid="{2B77B657-39C3-4E57-BD4C-79EA4A4093F2}">
          <x14:sparklines>
            <x14:sparkline>
              <xm:f>'Reform Stat, Ratio, GROWTH'!AM47:AV47</xm:f>
              <xm:sqref>AW47</xm:sqref>
            </x14:sparkline>
          </x14:sparklines>
        </x14:sparklineGroup>
        <x14:sparklineGroup lineWeight="1" displayEmptyCellsAs="gap" displayXAxis="1" xr2:uid="{DB755271-27FC-4750-B4A2-D54DFB5BF5F5}">
          <x14:sparklines>
            <x14:sparkline>
              <xm:f>'Reform Stat, Ratio, GROWTH'!AM48:AV48</xm:f>
              <xm:sqref>AW48</xm:sqref>
            </x14:sparkline>
          </x14:sparklines>
        </x14:sparklineGroup>
        <x14:sparklineGroup lineWeight="1" displayEmptyCellsAs="gap" displayXAxis="1" xr2:uid="{153A9222-DEB6-4B5F-8872-75A95E84D02D}">
          <x14:sparklines>
            <x14:sparkline>
              <xm:f>'Reform Stat, Ratio, GROWTH'!AM49:AV49</xm:f>
              <xm:sqref>AW49</xm:sqref>
            </x14:sparkline>
          </x14:sparklines>
        </x14:sparklineGroup>
        <x14:sparklineGroup lineWeight="1" displayEmptyCellsAs="gap" displayXAxis="1" xr2:uid="{570CB574-41B9-4CDE-91F7-13D699E8CAEB}">
          <x14:sparklines>
            <x14:sparkline>
              <xm:f>'Reform Stat, Ratio, GROWTH'!AM50:AV50</xm:f>
              <xm:sqref>AW50</xm:sqref>
            </x14:sparkline>
          </x14:sparklines>
        </x14:sparklineGroup>
        <x14:sparklineGroup lineWeight="1" displayEmptyCellsAs="gap" displayXAxis="1" xr2:uid="{A9ABEB4D-56B7-4C86-9A05-D840A583D151}">
          <x14:sparklines>
            <x14:sparkline>
              <xm:f>'Reform Stat, Ratio, GROWTH'!AM51:AV51</xm:f>
              <xm:sqref>AW51</xm:sqref>
            </x14:sparkline>
          </x14:sparklines>
        </x14:sparklineGroup>
        <x14:sparklineGroup lineWeight="1" displayEmptyCellsAs="gap" displayXAxis="1" xr2:uid="{905D453C-17BD-47AA-988F-584540E26DF9}">
          <x14:sparklines>
            <x14:sparkline>
              <xm:f>'Reform Stat, Ratio, GROWTH'!AM54:AV54</xm:f>
              <xm:sqref>AW54</xm:sqref>
            </x14:sparkline>
          </x14:sparklines>
        </x14:sparklineGroup>
        <x14:sparklineGroup lineWeight="1" displayEmptyCellsAs="gap" displayXAxis="1" xr2:uid="{9A7E5822-B49A-43B1-A586-34B2D3123C37}">
          <x14:sparklines>
            <x14:sparkline>
              <xm:f>'Reform Stat, Ratio, GROWTH'!AM55:AV55</xm:f>
              <xm:sqref>AW55</xm:sqref>
            </x14:sparkline>
          </x14:sparklines>
        </x14:sparklineGroup>
        <x14:sparklineGroup lineWeight="1" displayEmptyCellsAs="gap" displayXAxis="1" xr2:uid="{09690579-7D5C-4EF0-93DF-42F77EA1714E}">
          <x14:sparklines>
            <x14:sparkline>
              <xm:f>'Reform Stat, Ratio, GROWTH'!AM56:AV56</xm:f>
              <xm:sqref>AW56</xm:sqref>
            </x14:sparkline>
          </x14:sparklines>
        </x14:sparklineGroup>
        <x14:sparklineGroup lineWeight="1" displayEmptyCellsAs="gap" displayXAxis="1" xr2:uid="{4EED1EE6-B6FA-43A8-9AEE-DC2BF111D1D5}">
          <x14:sparklines>
            <x14:sparkline>
              <xm:f>'Reform Stat, Ratio, GROWTH'!AM57:AV57</xm:f>
              <xm:sqref>AW57</xm:sqref>
            </x14:sparkline>
          </x14:sparklines>
        </x14:sparklineGroup>
        <x14:sparklineGroup lineWeight="1" displayEmptyCellsAs="gap" displayXAxis="1" xr2:uid="{63344208-8003-44D0-82D1-6982F65F7700}">
          <x14:sparklines>
            <x14:sparkline>
              <xm:f>'Reform Stat, Ratio, GROWTH'!AM58:AV58</xm:f>
              <xm:sqref>AW58</xm:sqref>
            </x14:sparkline>
          </x14:sparklines>
        </x14:sparklineGroup>
        <x14:sparklineGroup lineWeight="1" displayEmptyCellsAs="gap" displayXAxis="1" xr2:uid="{02655F1D-F28C-453B-9C33-9B3127C0F1B6}">
          <x14:sparklines>
            <x14:sparkline>
              <xm:f>'Reform Stat, Ratio, GROWTH'!AM61:AV61</xm:f>
              <xm:sqref>AW61</xm:sqref>
            </x14:sparkline>
          </x14:sparklines>
        </x14:sparklineGroup>
        <x14:sparklineGroup lineWeight="1" displayEmptyCellsAs="gap" displayXAxis="1" xr2:uid="{2F618492-5D68-4DED-AC88-6B69F9224AD4}">
          <x14:sparklines>
            <x14:sparkline>
              <xm:f>'Reform Stat, Ratio, GROWTH'!AM62:AV62</xm:f>
              <xm:sqref>AW62</xm:sqref>
            </x14:sparkline>
          </x14:sparklines>
        </x14:sparklineGroup>
        <x14:sparklineGroup lineWeight="1" displayEmptyCellsAs="gap" displayXAxis="1" xr2:uid="{7EA745A7-DF34-4E46-8CB4-0C55291E39C8}">
          <x14:sparklines>
            <x14:sparkline>
              <xm:f>'Reform Stat, Ratio, GROWTH'!AM63:AV63</xm:f>
              <xm:sqref>AW63</xm:sqref>
            </x14:sparkline>
          </x14:sparklines>
        </x14:sparklineGroup>
        <x14:sparklineGroup lineWeight="1" displayEmptyCellsAs="gap" displayXAxis="1" xr2:uid="{0475954C-DAFA-4D16-ABBA-92CDBC284934}">
          <x14:sparklines>
            <x14:sparkline>
              <xm:f>'Reform Stat, Ratio, GROWTH'!AM64:AV64</xm:f>
              <xm:sqref>AW64</xm:sqref>
            </x14:sparkline>
          </x14:sparklines>
        </x14:sparklineGroup>
        <x14:sparklineGroup lineWeight="1" displayEmptyCellsAs="gap" displayXAxis="1" xr2:uid="{8DB81265-2282-40C5-8B0C-E36067D139B8}">
          <x14:sparklines>
            <x14:sparkline>
              <xm:f>'Reform Stat, Ratio, GROWTH'!AM65:AV65</xm:f>
              <xm:sqref>AW65</xm:sqref>
            </x14:sparkline>
          </x14:sparklines>
        </x14:sparklineGroup>
        <x14:sparklineGroup lineWeight="1" displayEmptyCellsAs="gap" displayXAxis="1" xr2:uid="{10D9F304-9BA5-4C8F-866F-B53F8D4CE66F}">
          <x14:sparklines>
            <x14:sparkline>
              <xm:f>'Reform Stat, Ratio, GROWTH'!AM66:AV66</xm:f>
              <xm:sqref>AW66</xm:sqref>
            </x14:sparkline>
          </x14:sparklines>
        </x14:sparklineGroup>
        <x14:sparklineGroup lineWeight="1" displayEmptyCellsAs="gap" displayXAxis="1" xr2:uid="{40D3B0A4-E000-4335-9AB0-D0B0F005A8EE}">
          <x14:sparklines>
            <x14:sparkline>
              <xm:f>'Reform Stat, Ratio, GROWTH'!AM67:AV67</xm:f>
              <xm:sqref>AW67</xm:sqref>
            </x14:sparkline>
          </x14:sparklines>
        </x14:sparklineGroup>
        <x14:sparklineGroup lineWeight="1" displayEmptyCellsAs="gap" displayXAxis="1" xr2:uid="{1E114E4B-8690-4427-BA22-09009BD6C308}">
          <x14:sparklines>
            <x14:sparkline>
              <xm:f>'Reform Stat, Ratio, GROWTH'!AM68:AV68</xm:f>
              <xm:sqref>AW68</xm:sqref>
            </x14:sparkline>
          </x14:sparklines>
        </x14:sparklineGroup>
        <x14:sparklineGroup lineWeight="1" displayEmptyCellsAs="gap" displayXAxis="1" xr2:uid="{7807A6AF-8E56-4309-9460-B5F4774BE0DF}">
          <x14:sparklines>
            <x14:sparkline>
              <xm:f>'Reform Stat, Ratio, GROWTH'!AM69:AV69</xm:f>
              <xm:sqref>AW69</xm:sqref>
            </x14:sparkline>
          </x14:sparklines>
        </x14:sparklineGroup>
        <x14:sparklineGroup lineWeight="1" displayEmptyCellsAs="gap" displayXAxis="1" xr2:uid="{0149A204-3986-484D-9C26-D47DCBD5E3FF}">
          <x14:sparklines>
            <x14:sparkline>
              <xm:f>'Reform Stat, Ratio, GROWTH'!AM70:AV70</xm:f>
              <xm:sqref>AW70</xm:sqref>
            </x14:sparkline>
          </x14:sparklines>
        </x14:sparklineGroup>
        <x14:sparklineGroup lineWeight="1" displayEmptyCellsAs="gap" displayXAxis="1" xr2:uid="{558A7FB6-C9C2-4E53-9A48-78602A0DE2A8}">
          <x14:sparklines>
            <x14:sparkline>
              <xm:f>'Reform Stat, Ratio, GROWTH'!AM71:AV71</xm:f>
              <xm:sqref>AW71</xm:sqref>
            </x14:sparkline>
          </x14:sparklines>
        </x14:sparklineGroup>
        <x14:sparklineGroup lineWeight="1" displayEmptyCellsAs="gap" displayXAxis="1" xr2:uid="{3F4A41AF-B0E5-4A65-93B9-0ADE82C80CE3}">
          <x14:sparklines>
            <x14:sparkline>
              <xm:f>'Reform Stat, Ratio, GROWTH'!AM74:AV74</xm:f>
              <xm:sqref>AW74</xm:sqref>
            </x14:sparkline>
          </x14:sparklines>
        </x14:sparklineGroup>
        <x14:sparklineGroup lineWeight="1" displayEmptyCellsAs="gap" displayXAxis="1" xr2:uid="{95555304-5385-4B30-B977-E83DCE006DA8}">
          <x14:sparklines>
            <x14:sparkline>
              <xm:f>'Reform Stat, Ratio, GROWTH'!AM75:AV75</xm:f>
              <xm:sqref>AW75</xm:sqref>
            </x14:sparkline>
          </x14:sparklines>
        </x14:sparklineGroup>
        <x14:sparklineGroup lineWeight="1" displayEmptyCellsAs="gap" displayXAxis="1" xr2:uid="{F27F3E26-AC78-4BB7-A437-4896F5B9807A}">
          <x14:sparklines>
            <x14:sparkline>
              <xm:f>'Reform Stat, Ratio, GROWTH'!AM76:AV76</xm:f>
              <xm:sqref>AW76</xm:sqref>
            </x14:sparkline>
          </x14:sparklines>
        </x14:sparklineGroup>
        <x14:sparklineGroup lineWeight="1" displayEmptyCellsAs="gap" displayXAxis="1" xr2:uid="{5CEE8FE0-37BE-4E72-86D6-F14E05081019}">
          <x14:sparklines>
            <x14:sparkline>
              <xm:f>'Reform Stat, Ratio, GROWTH'!AM77:AV77</xm:f>
              <xm:sqref>AW77</xm:sqref>
            </x14:sparkline>
          </x14:sparklines>
        </x14:sparklineGroup>
        <x14:sparklineGroup lineWeight="1" displayEmptyCellsAs="gap" displayXAxis="1" xr2:uid="{83E348A7-45A4-43F0-BEC6-BBD5F90B685F}">
          <x14:sparklines>
            <x14:sparkline>
              <xm:f>'Reform Stat, Ratio, GROWTH'!AM78:AV78</xm:f>
              <xm:sqref>AW78</xm:sqref>
            </x14:sparkline>
          </x14:sparklines>
        </x14:sparklineGroup>
        <x14:sparklineGroup lineWeight="1" displayEmptyCellsAs="gap" displayXAxis="1" xr2:uid="{895220DE-C72C-487D-9CA6-1E3936F31826}">
          <x14:sparklines>
            <x14:sparkline>
              <xm:f>'Reform Stat, Ratio, GROWTH'!AM79:AV79</xm:f>
              <xm:sqref>AW79</xm:sqref>
            </x14:sparkline>
          </x14:sparklines>
        </x14:sparklineGroup>
        <x14:sparklineGroup lineWeight="1" displayEmptyCellsAs="gap" displayXAxis="1" xr2:uid="{42D9751A-6D8F-48E2-8E4B-8B935B03C7BB}">
          <x14:sparklines>
            <x14:sparkline>
              <xm:f>'Reform Stat, Ratio, GROWTH'!AM83:AV83</xm:f>
              <xm:sqref>AW83</xm:sqref>
            </x14:sparkline>
          </x14:sparklines>
        </x14:sparklineGroup>
        <x14:sparklineGroup lineWeight="1" displayEmptyCellsAs="gap" displayXAxis="1" xr2:uid="{A5D7C77B-0E2C-4D1F-9F80-47A7981E7907}">
          <x14:sparklines>
            <x14:sparkline>
              <xm:f>'Reform Stat, Ratio, GROWTH'!AM84:AV84</xm:f>
              <xm:sqref>AW84</xm:sqref>
            </x14:sparkline>
          </x14:sparklines>
        </x14:sparklineGroup>
        <x14:sparklineGroup lineWeight="1" displayEmptyCellsAs="gap" displayXAxis="1" xr2:uid="{F5575574-830B-46A6-B84B-D8BAB08D3968}">
          <x14:sparklines>
            <x14:sparkline>
              <xm:f>'Reform Stat, Ratio, GROWTH'!AM85:AV85</xm:f>
              <xm:sqref>AW85</xm:sqref>
            </x14:sparkline>
          </x14:sparklines>
        </x14:sparklineGroup>
        <x14:sparklineGroup lineWeight="1" displayEmptyCellsAs="gap" displayXAxis="1" xr2:uid="{1D82F08B-9927-48A6-BB89-3F98BDF94823}">
          <x14:sparklines>
            <x14:sparkline>
              <xm:f>'Reform Stat, Ratio, GROWTH'!AM86:AV86</xm:f>
              <xm:sqref>AW86</xm:sqref>
            </x14:sparkline>
          </x14:sparklines>
        </x14:sparklineGroup>
        <x14:sparklineGroup lineWeight="1" displayEmptyCellsAs="gap" displayXAxis="1" xr2:uid="{5A8FE9A7-9E0C-4E35-9BAC-205ED6953606}">
          <x14:sparklines>
            <x14:sparkline>
              <xm:f>'Reform Stat, Ratio, GROWTH'!AM87:AV87</xm:f>
              <xm:sqref>AW87</xm:sqref>
            </x14:sparkline>
          </x14:sparklines>
        </x14:sparklineGroup>
        <x14:sparklineGroup lineWeight="1" displayEmptyCellsAs="gap" displayXAxis="1" xr2:uid="{B18DC6FB-5186-4282-8649-0984DE66A814}">
          <x14:sparklines>
            <x14:sparkline>
              <xm:f>'Reform Stat, Ratio, GROWTH'!AM88:AV88</xm:f>
              <xm:sqref>AW88</xm:sqref>
            </x14:sparkline>
          </x14:sparklines>
        </x14:sparklineGroup>
        <x14:sparklineGroup lineWeight="1" displayEmptyCellsAs="gap" displayXAxis="1" xr2:uid="{05E70751-A8DB-4311-AA63-F0DF93C68ACE}">
          <x14:sparklines>
            <x14:sparkline>
              <xm:f>'Reform Stat, Ratio, GROWTH'!AM89:AV89</xm:f>
              <xm:sqref>AW89</xm:sqref>
            </x14:sparkline>
          </x14:sparklines>
        </x14:sparklineGroup>
        <x14:sparklineGroup lineWeight="1" displayEmptyCellsAs="gap" displayXAxis="1" xr2:uid="{9C1FC483-2658-4920-9711-C580AEBAEFA4}">
          <x14:sparklines>
            <x14:sparkline>
              <xm:f>'Reform Stat, Ratio, GROWTH'!AM90:AV90</xm:f>
              <xm:sqref>AW90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Q49"/>
  <sheetViews>
    <sheetView topLeftCell="A16" zoomScaleNormal="100" workbookViewId="0">
      <selection activeCell="L16" sqref="L16"/>
    </sheetView>
  </sheetViews>
  <sheetFormatPr defaultColWidth="8.85546875" defaultRowHeight="11.25" customHeight="1"/>
  <cols>
    <col min="1" max="1" width="2.85546875" style="130" customWidth="1"/>
    <col min="2" max="2" width="32.28515625" style="130" customWidth="1"/>
    <col min="3" max="3" width="9.85546875" style="130" customWidth="1"/>
    <col min="4" max="5" width="10.140625" style="130" customWidth="1"/>
    <col min="6" max="6" width="9.7109375" style="131" customWidth="1"/>
    <col min="7" max="10" width="10.42578125" style="131" customWidth="1"/>
    <col min="11" max="11" width="8.85546875" style="130"/>
    <col min="12" max="12" width="10.85546875" style="130" customWidth="1"/>
    <col min="13" max="13" width="10.7109375" style="130" customWidth="1"/>
    <col min="14" max="16384" width="8.85546875" style="130"/>
  </cols>
  <sheetData>
    <row r="1" spans="2:14">
      <c r="B1" s="132" t="s">
        <v>538</v>
      </c>
      <c r="C1" s="132">
        <v>1</v>
      </c>
    </row>
    <row r="3" spans="2:14">
      <c r="C3" s="3" t="s">
        <v>539</v>
      </c>
      <c r="D3" s="3"/>
      <c r="E3" s="3"/>
      <c r="F3" s="3" t="s">
        <v>540</v>
      </c>
      <c r="G3" s="3"/>
      <c r="H3" s="3"/>
      <c r="I3" s="3"/>
      <c r="J3" s="3"/>
      <c r="L3" s="133"/>
    </row>
    <row r="4" spans="2:14">
      <c r="C4" s="134">
        <v>2024</v>
      </c>
      <c r="D4" s="134">
        <v>2025</v>
      </c>
      <c r="E4" s="135">
        <v>2026</v>
      </c>
      <c r="F4" s="136">
        <v>2027</v>
      </c>
      <c r="G4" s="136">
        <v>2028</v>
      </c>
      <c r="H4" s="136">
        <v>2029</v>
      </c>
      <c r="I4" s="136">
        <v>2030</v>
      </c>
      <c r="J4" s="136">
        <v>2031</v>
      </c>
    </row>
    <row r="5" spans="2:14">
      <c r="B5" s="137" t="s">
        <v>432</v>
      </c>
      <c r="C5" s="138">
        <f>'Reform Stat, Ratio, GROWTH'!AH3</f>
        <v>1785.11</v>
      </c>
      <c r="D5" s="138">
        <f>'Reform Stat, Ratio, GROWTH'!AI3</f>
        <v>2110.9699999999998</v>
      </c>
      <c r="E5" s="139">
        <f>'Reform Stat, Ratio, GROWTH'!AJ3</f>
        <v>2201.85</v>
      </c>
      <c r="F5" s="140">
        <f>E5*(1+F24)</f>
        <v>2422.0350000000003</v>
      </c>
      <c r="G5" s="140">
        <f>F5*(1+G24)</f>
        <v>2640.0181500000003</v>
      </c>
      <c r="H5" s="140">
        <f>G5*(1+H24)</f>
        <v>2851.2196020000006</v>
      </c>
      <c r="I5" s="140">
        <f>H5*(1+I24)</f>
        <v>3050.8049741400009</v>
      </c>
      <c r="J5" s="140">
        <f>I5*(1+J24)</f>
        <v>3233.8532725884011</v>
      </c>
      <c r="K5" s="141"/>
    </row>
    <row r="6" spans="2:14">
      <c r="B6" s="137" t="s">
        <v>541</v>
      </c>
      <c r="C6" s="142">
        <f>'Reform Stat, Ratio, GROWTH'!AH4</f>
        <v>736.7</v>
      </c>
      <c r="D6" s="142">
        <f>'Reform Stat, Ratio, GROWTH'!AI4</f>
        <v>863.67</v>
      </c>
      <c r="E6" s="143">
        <f>'Reform Stat, Ratio, GROWTH'!AJ4</f>
        <v>799.99</v>
      </c>
      <c r="F6" s="144">
        <f>F5*F25</f>
        <v>956.82665297489302</v>
      </c>
      <c r="G6" s="144">
        <f>G5*G25</f>
        <v>1042.9410517426334</v>
      </c>
      <c r="H6" s="144">
        <f>H5*H25</f>
        <v>1126.3763358820443</v>
      </c>
      <c r="I6" s="144">
        <f>I5*I25</f>
        <v>1205.2226793937873</v>
      </c>
      <c r="J6" s="144">
        <f>J5*J25</f>
        <v>1277.5360401574146</v>
      </c>
      <c r="M6" s="145"/>
    </row>
    <row r="7" spans="2:14">
      <c r="B7" s="137" t="s">
        <v>542</v>
      </c>
      <c r="C7" s="138">
        <f>C5-C6</f>
        <v>1048.4099999999999</v>
      </c>
      <c r="D7" s="138">
        <f>D5-D6</f>
        <v>1247.2999999999997</v>
      </c>
      <c r="E7" s="146">
        <f>E5-E6</f>
        <v>1401.86</v>
      </c>
      <c r="F7" s="140">
        <f>F5-F6</f>
        <v>1465.2083470251073</v>
      </c>
      <c r="G7" s="140">
        <f>G5-G6</f>
        <v>1597.077098257367</v>
      </c>
      <c r="H7" s="140">
        <f>H5-H6</f>
        <v>1724.8432661179563</v>
      </c>
      <c r="I7" s="140">
        <f>I5-I6</f>
        <v>1845.5822947462136</v>
      </c>
      <c r="J7" s="140">
        <f>J5-J6</f>
        <v>1956.3172324309865</v>
      </c>
    </row>
    <row r="8" spans="2:14">
      <c r="B8" s="137"/>
      <c r="C8" s="147"/>
      <c r="D8" s="147"/>
      <c r="E8" s="148"/>
      <c r="F8" s="149"/>
      <c r="G8" s="149"/>
      <c r="H8" s="149"/>
      <c r="I8" s="149"/>
      <c r="J8" s="149"/>
    </row>
    <row r="9" spans="2:14">
      <c r="B9" s="137" t="s">
        <v>543</v>
      </c>
      <c r="C9" s="147">
        <f>'Reform Stat, Ratio, GROWTH'!AH5</f>
        <v>961.53</v>
      </c>
      <c r="D9" s="147">
        <f>'Reform Stat, Ratio, GROWTH'!AI5</f>
        <v>982.44</v>
      </c>
      <c r="E9" s="148">
        <f>'Reform Stat, Ratio, GROWTH'!AJ5</f>
        <v>997.13</v>
      </c>
      <c r="F9" s="149">
        <f>F26*F5</f>
        <v>1176.2181809383669</v>
      </c>
      <c r="G9" s="149">
        <f>G26*G5</f>
        <v>1282.0778172228199</v>
      </c>
      <c r="H9" s="149">
        <f>H26*H5</f>
        <v>1353.4972216004305</v>
      </c>
      <c r="I9" s="149">
        <f>I26*I5</f>
        <v>1470.4600927592808</v>
      </c>
      <c r="J9" s="149">
        <f>J26*J5</f>
        <v>1554.7625067272329</v>
      </c>
    </row>
    <row r="10" spans="2:14">
      <c r="B10" s="137" t="s">
        <v>382</v>
      </c>
      <c r="C10" s="147">
        <f>C7-C9</f>
        <v>86.879999999999882</v>
      </c>
      <c r="D10" s="147">
        <f>D7-D9</f>
        <v>264.85999999999967</v>
      </c>
      <c r="E10" s="148">
        <f>E7-E9</f>
        <v>404.7299999999999</v>
      </c>
      <c r="F10" s="149">
        <f>F7-F9</f>
        <v>288.99016608674037</v>
      </c>
      <c r="G10" s="149">
        <f>G7-G9</f>
        <v>314.99928103454704</v>
      </c>
      <c r="H10" s="149">
        <f>H7-H9</f>
        <v>371.3460445175258</v>
      </c>
      <c r="I10" s="149">
        <f>I7-I9</f>
        <v>375.12220198693285</v>
      </c>
      <c r="J10" s="149">
        <f>J7-J9</f>
        <v>401.55472570375355</v>
      </c>
      <c r="L10" s="150"/>
      <c r="N10" s="151"/>
    </row>
    <row r="11" spans="2:14">
      <c r="B11" s="137" t="s">
        <v>544</v>
      </c>
      <c r="C11" s="152">
        <f>C10/C5</f>
        <v>4.8669269680859939E-2</v>
      </c>
      <c r="D11" s="152">
        <f>D10/D5</f>
        <v>0.12546838657110224</v>
      </c>
      <c r="E11" s="153">
        <f>E10/E5</f>
        <v>0.1838136112814224</v>
      </c>
      <c r="F11" s="154">
        <f>F10/F5</f>
        <v>0.11931708917779485</v>
      </c>
      <c r="G11" s="154">
        <f>G10/G5</f>
        <v>0.11931708917779486</v>
      </c>
      <c r="H11" s="154">
        <f>H10/H5</f>
        <v>0.13024112357288911</v>
      </c>
      <c r="I11" s="154">
        <f>I10/I5</f>
        <v>0.12295843397615969</v>
      </c>
      <c r="J11" s="154">
        <f>J10/J5</f>
        <v>0.12417221557561456</v>
      </c>
      <c r="N11" s="151"/>
    </row>
    <row r="12" spans="2:14">
      <c r="B12" s="137"/>
      <c r="C12" s="147"/>
      <c r="D12" s="147"/>
      <c r="E12" s="148"/>
      <c r="F12" s="149"/>
      <c r="G12" s="149"/>
      <c r="H12" s="149"/>
      <c r="I12" s="149"/>
      <c r="J12" s="149"/>
      <c r="N12" s="151"/>
    </row>
    <row r="13" spans="2:14">
      <c r="B13" s="137" t="s">
        <v>545</v>
      </c>
      <c r="C13" s="147">
        <f>'Reform Stat, Ratio, GROWTH'!AH7</f>
        <v>123.16</v>
      </c>
      <c r="D13" s="147">
        <f>'Reform Stat, Ratio, GROWTH'!AI7</f>
        <v>124.56</v>
      </c>
      <c r="E13" s="147">
        <f>'Reform Stat, Ratio, GROWTH'!AJ7</f>
        <v>125.12</v>
      </c>
      <c r="F13" s="149">
        <f>F19*F30</f>
        <v>333.18805824869435</v>
      </c>
      <c r="G13" s="149">
        <f>G19*G30</f>
        <v>298.18336796768381</v>
      </c>
      <c r="H13" s="149">
        <f>H19*H30</f>
        <v>322.03803740509858</v>
      </c>
      <c r="I13" s="149">
        <f>I19*I30</f>
        <v>344.58070002345556</v>
      </c>
      <c r="J13" s="149">
        <f>J19*J30</f>
        <v>365.25554202486285</v>
      </c>
    </row>
    <row r="14" spans="2:14">
      <c r="B14" s="137" t="s">
        <v>388</v>
      </c>
      <c r="C14" s="155">
        <f>C10-C13</f>
        <v>-36.280000000000115</v>
      </c>
      <c r="D14" s="155">
        <f>D10-D13</f>
        <v>140.29999999999967</v>
      </c>
      <c r="E14" s="156">
        <f>E10-E13</f>
        <v>279.6099999999999</v>
      </c>
      <c r="F14" s="157">
        <f>F10-F13</f>
        <v>-44.197892161953973</v>
      </c>
      <c r="G14" s="157">
        <f>G10-G13</f>
        <v>16.815913066863232</v>
      </c>
      <c r="H14" s="157">
        <f>H10-H13</f>
        <v>49.308007112427219</v>
      </c>
      <c r="I14" s="157">
        <f>I10-I13</f>
        <v>30.541501963477288</v>
      </c>
      <c r="J14" s="157">
        <f>J10-J13</f>
        <v>36.299183678890699</v>
      </c>
      <c r="L14" s="133"/>
      <c r="M14" s="133"/>
    </row>
    <row r="15" spans="2:14">
      <c r="B15" s="137" t="s">
        <v>546</v>
      </c>
      <c r="C15" s="158">
        <f>30%*C14</f>
        <v>-10.884000000000034</v>
      </c>
      <c r="D15" s="158">
        <f>30%*D14</f>
        <v>42.089999999999897</v>
      </c>
      <c r="E15" s="159">
        <f>30%*E14</f>
        <v>83.882999999999967</v>
      </c>
      <c r="F15" s="160">
        <f>F14*0.3</f>
        <v>-13.259367648586192</v>
      </c>
      <c r="G15" s="160">
        <f>G14*0.3</f>
        <v>5.0447739200589696</v>
      </c>
      <c r="H15" s="160">
        <f>H14*0.3</f>
        <v>14.792402133728165</v>
      </c>
      <c r="I15" s="160">
        <f>I14*0.3</f>
        <v>9.1624505890431855</v>
      </c>
      <c r="J15" s="160">
        <f>J14*0.3</f>
        <v>10.889755103667209</v>
      </c>
    </row>
    <row r="16" spans="2:14">
      <c r="B16" s="137" t="s">
        <v>547</v>
      </c>
      <c r="C16" s="147">
        <f>C14-C15</f>
        <v>-25.396000000000079</v>
      </c>
      <c r="D16" s="147">
        <f>D14-D15</f>
        <v>98.209999999999781</v>
      </c>
      <c r="E16" s="148">
        <f>E14-E15</f>
        <v>195.72699999999992</v>
      </c>
      <c r="F16" s="149">
        <f>F14-F15</f>
        <v>-30.938524513367781</v>
      </c>
      <c r="G16" s="149">
        <f>G14-G15</f>
        <v>11.771139146804263</v>
      </c>
      <c r="H16" s="149">
        <f>H14-H15</f>
        <v>34.515604978699052</v>
      </c>
      <c r="I16" s="149">
        <f>I14-I15</f>
        <v>21.379051374434102</v>
      </c>
      <c r="J16" s="149">
        <f>J14-J15</f>
        <v>25.40942857522349</v>
      </c>
    </row>
    <row r="17" spans="2:17">
      <c r="B17" s="137"/>
      <c r="C17" s="147"/>
      <c r="D17" s="147"/>
      <c r="E17" s="148"/>
      <c r="F17" s="149"/>
      <c r="G17" s="149"/>
      <c r="H17" s="149"/>
      <c r="I17" s="149"/>
      <c r="J17" s="149"/>
    </row>
    <row r="18" spans="2:17">
      <c r="B18" s="137" t="s">
        <v>548</v>
      </c>
      <c r="C18" s="147">
        <f>C13</f>
        <v>123.16</v>
      </c>
      <c r="D18" s="147">
        <f>D13</f>
        <v>124.56</v>
      </c>
      <c r="E18" s="148">
        <f>E13</f>
        <v>125.12</v>
      </c>
      <c r="F18" s="149">
        <f>F13</f>
        <v>333.18805824869435</v>
      </c>
      <c r="G18" s="149">
        <f>G13</f>
        <v>298.18336796768381</v>
      </c>
      <c r="H18" s="149">
        <f>H13</f>
        <v>322.03803740509858</v>
      </c>
      <c r="I18" s="149">
        <f>I13</f>
        <v>344.58070002345556</v>
      </c>
      <c r="J18" s="149">
        <f>J13</f>
        <v>365.25554202486285</v>
      </c>
    </row>
    <row r="19" spans="2:17">
      <c r="B19" s="137" t="s">
        <v>549</v>
      </c>
      <c r="C19" s="147">
        <f>'Reform Stat, Ratio, GROWTH'!BG4</f>
        <v>22.55</v>
      </c>
      <c r="D19" s="147">
        <f>'Reform Stat, Ratio, GROWTH'!BH4</f>
        <v>137.36000000000001</v>
      </c>
      <c r="E19" s="148">
        <f>'Reform Stat, Ratio, GROWTH'!BI4</f>
        <v>123.04</v>
      </c>
      <c r="F19" s="149">
        <f>F29*F5</f>
        <v>135.34400000000002</v>
      </c>
      <c r="G19" s="149">
        <f>G29*G5</f>
        <v>121.12477850000002</v>
      </c>
      <c r="H19" s="149">
        <f>H29*H5</f>
        <v>130.81476078000003</v>
      </c>
      <c r="I19" s="149">
        <f>I29*I5</f>
        <v>139.97179403460007</v>
      </c>
      <c r="J19" s="149">
        <f>J29*J5</f>
        <v>148.37010167667606</v>
      </c>
    </row>
    <row r="20" spans="2:17">
      <c r="B20" s="137" t="s">
        <v>550</v>
      </c>
      <c r="C20" s="158">
        <f>'Reform Stat, Ratio, GROWTH'!BG21</f>
        <v>141.08999999999992</v>
      </c>
      <c r="D20" s="158">
        <f>'Reform Stat, Ratio, GROWTH'!BH21</f>
        <v>298.71000000000004</v>
      </c>
      <c r="E20" s="159">
        <f>'Reform Stat, Ratio, GROWTH'!BI21</f>
        <v>14.590000000000146</v>
      </c>
      <c r="F20" s="160">
        <f>(F5-E5)*F31</f>
        <v>255.85932037715963</v>
      </c>
      <c r="G20" s="160">
        <f>(G5-F5)*G31</f>
        <v>253.3007271733876</v>
      </c>
      <c r="H20" s="160">
        <f>(H5-G5)*H31</f>
        <v>245.42026010577135</v>
      </c>
      <c r="I20" s="160">
        <f>(I5-H5)*I31</f>
        <v>231.92214579995405</v>
      </c>
      <c r="J20" s="160">
        <f>(J5-I5)*J31</f>
        <v>212.70573943367194</v>
      </c>
      <c r="M20" s="161"/>
      <c r="N20" s="161"/>
      <c r="O20" s="161"/>
      <c r="P20" s="161"/>
      <c r="Q20" s="161"/>
    </row>
    <row r="21" spans="2:17">
      <c r="B21" s="162" t="s">
        <v>551</v>
      </c>
      <c r="C21" s="163">
        <f>C16+C18-C19-C20</f>
        <v>-65.875999999999991</v>
      </c>
      <c r="D21" s="163">
        <f>D16+D18-D19-D20</f>
        <v>-213.30000000000027</v>
      </c>
      <c r="E21" s="164">
        <f>E16+E18-E19-E20</f>
        <v>183.21699999999976</v>
      </c>
      <c r="F21" s="163">
        <f>F16+F18-F19-F20</f>
        <v>-88.953786641833091</v>
      </c>
      <c r="G21" s="163">
        <f>G16+G18-G19-G20</f>
        <v>-64.470998558899538</v>
      </c>
      <c r="H21" s="163">
        <f>H16+H18-H19-H20</f>
        <v>-19.68137850197374</v>
      </c>
      <c r="I21" s="163">
        <f>I16+I18-I19-I20</f>
        <v>-5.9341884366644706</v>
      </c>
      <c r="J21" s="163">
        <f>J16+J18-J19-J20</f>
        <v>29.589129489738355</v>
      </c>
      <c r="M21" s="145"/>
      <c r="N21" s="145"/>
      <c r="O21" s="145"/>
      <c r="P21" s="145"/>
      <c r="Q21" s="145"/>
    </row>
    <row r="22" spans="2:17">
      <c r="B22" s="137"/>
      <c r="C22" s="165"/>
      <c r="D22" s="165"/>
      <c r="E22" s="166"/>
      <c r="F22" s="167"/>
      <c r="G22" s="167"/>
      <c r="H22" s="167"/>
      <c r="I22" s="167"/>
      <c r="J22" s="167"/>
      <c r="L22" s="168"/>
      <c r="M22" s="151"/>
    </row>
    <row r="23" spans="2:17">
      <c r="B23" s="169" t="s">
        <v>552</v>
      </c>
      <c r="C23" s="165"/>
      <c r="D23" s="165"/>
      <c r="E23" s="166"/>
      <c r="F23" s="167"/>
      <c r="G23" s="167"/>
      <c r="H23" s="167"/>
      <c r="I23" s="167"/>
      <c r="J23" s="167"/>
      <c r="L23" s="168"/>
      <c r="M23" s="151"/>
    </row>
    <row r="24" spans="2:17">
      <c r="B24" s="137" t="s">
        <v>366</v>
      </c>
      <c r="C24" s="170" t="s">
        <v>516</v>
      </c>
      <c r="D24" s="171">
        <f>(D5-C5)/C5</f>
        <v>0.18254337267731396</v>
      </c>
      <c r="E24" s="171">
        <f>(E5-D5)/D5</f>
        <v>4.3051298692070528E-2</v>
      </c>
      <c r="F24" s="172">
        <f>CHOOSE($C$1,F36,F37,F38)</f>
        <v>0.1</v>
      </c>
      <c r="G24" s="172">
        <f>CHOOSE($C$1,G36,G37,G38)</f>
        <v>0.09</v>
      </c>
      <c r="H24" s="172">
        <f>CHOOSE($C$1,H36,H37,H38)</f>
        <v>0.08</v>
      </c>
      <c r="I24" s="172">
        <f>CHOOSE($C$1,I36,I37,I38)</f>
        <v>7.0000000000000007E-2</v>
      </c>
      <c r="J24" s="172">
        <f>CHOOSE($C$1,J36,J37,J38)</f>
        <v>0.06</v>
      </c>
      <c r="K24" s="141"/>
    </row>
    <row r="25" spans="2:17">
      <c r="B25" s="137" t="s">
        <v>553</v>
      </c>
      <c r="C25" s="171">
        <f>C6/C5</f>
        <v>0.41269165485600334</v>
      </c>
      <c r="D25" s="171">
        <f>D6/D5</f>
        <v>0.4091341894958242</v>
      </c>
      <c r="E25" s="171">
        <f>E6/E5</f>
        <v>0.36332629379839682</v>
      </c>
      <c r="F25" s="172">
        <f>AVERAGE(C25:E25)</f>
        <v>0.39505071271674147</v>
      </c>
      <c r="G25" s="172">
        <f>F25</f>
        <v>0.39505071271674147</v>
      </c>
      <c r="H25" s="172">
        <f>G25</f>
        <v>0.39505071271674147</v>
      </c>
      <c r="I25" s="172">
        <f>H25</f>
        <v>0.39505071271674147</v>
      </c>
      <c r="J25" s="172">
        <f>I25</f>
        <v>0.39505071271674147</v>
      </c>
      <c r="K25" s="141"/>
    </row>
    <row r="26" spans="2:17">
      <c r="B26" s="137" t="s">
        <v>554</v>
      </c>
      <c r="C26" s="171">
        <f>C9/C5</f>
        <v>0.53863907546313672</v>
      </c>
      <c r="D26" s="171">
        <f>D9/D5</f>
        <v>0.46539742393307348</v>
      </c>
      <c r="E26" s="171">
        <f>E9/E5</f>
        <v>0.45286009492018076</v>
      </c>
      <c r="F26" s="172">
        <f>AVERAGE(C26:E26)</f>
        <v>0.48563219810546371</v>
      </c>
      <c r="G26" s="172">
        <f>F26</f>
        <v>0.48563219810546371</v>
      </c>
      <c r="H26" s="172">
        <f>AVERAGE(E26:G26)</f>
        <v>0.47470816371036939</v>
      </c>
      <c r="I26" s="172">
        <f>AVERAGE(F26:H26)</f>
        <v>0.4819908533070989</v>
      </c>
      <c r="J26" s="172">
        <f>AVERAGE(G26:I26)</f>
        <v>0.480777071707644</v>
      </c>
      <c r="K26" s="141"/>
      <c r="L26" s="168"/>
      <c r="M26" s="151"/>
    </row>
    <row r="27" spans="2:17">
      <c r="B27" s="137"/>
      <c r="C27" s="165"/>
      <c r="D27" s="165"/>
      <c r="E27" s="166"/>
      <c r="F27" s="167"/>
      <c r="G27" s="167"/>
      <c r="H27" s="167"/>
      <c r="I27" s="167"/>
      <c r="J27" s="167"/>
    </row>
    <row r="28" spans="2:17">
      <c r="B28" s="169" t="s">
        <v>555</v>
      </c>
      <c r="C28" s="165"/>
      <c r="D28" s="165"/>
      <c r="E28" s="166"/>
      <c r="F28" s="167"/>
      <c r="G28" s="167"/>
      <c r="H28" s="167"/>
      <c r="I28" s="167"/>
      <c r="J28" s="167"/>
      <c r="L28" s="168"/>
      <c r="M28" s="151"/>
    </row>
    <row r="29" spans="2:17">
      <c r="B29" s="137" t="s">
        <v>556</v>
      </c>
      <c r="C29" s="170">
        <f>C19/C5</f>
        <v>1.2632274761779387E-2</v>
      </c>
      <c r="D29" s="171">
        <f>D19/D5</f>
        <v>6.5069612547786107E-2</v>
      </c>
      <c r="E29" s="171">
        <f>E19/E5</f>
        <v>5.5880282489724556E-2</v>
      </c>
      <c r="F29" s="172">
        <f>E29</f>
        <v>5.5880282489724556E-2</v>
      </c>
      <c r="G29" s="172">
        <f>F29-1%</f>
        <v>4.5880282489724554E-2</v>
      </c>
      <c r="H29" s="172">
        <f>G29</f>
        <v>4.5880282489724554E-2</v>
      </c>
      <c r="I29" s="172">
        <f>H29</f>
        <v>4.5880282489724554E-2</v>
      </c>
      <c r="J29" s="172">
        <f>I29</f>
        <v>4.5880282489724554E-2</v>
      </c>
    </row>
    <row r="30" spans="2:17">
      <c r="B30" s="137" t="s">
        <v>557</v>
      </c>
      <c r="C30" s="170">
        <f>C13/C19</f>
        <v>5.4616407982261634</v>
      </c>
      <c r="D30" s="171">
        <f>D13/D19</f>
        <v>0.90681421083284797</v>
      </c>
      <c r="E30" s="171">
        <f>E13/E19</f>
        <v>1.0169050715214565</v>
      </c>
      <c r="F30" s="172">
        <f>AVERAGE(C30:E30)</f>
        <v>2.4617866935268227</v>
      </c>
      <c r="G30" s="172">
        <f>F30</f>
        <v>2.4617866935268227</v>
      </c>
      <c r="H30" s="172">
        <f>G30</f>
        <v>2.4617866935268227</v>
      </c>
      <c r="I30" s="172">
        <f>H30</f>
        <v>2.4617866935268227</v>
      </c>
      <c r="J30" s="172">
        <f>I30</f>
        <v>2.4617866935268227</v>
      </c>
    </row>
    <row r="31" spans="2:17">
      <c r="B31" s="137" t="s">
        <v>558</v>
      </c>
      <c r="C31" s="171">
        <f>IFERROR(C20/(C5-'Reform Stat, Ratio, GROWTH'!AG3),"")</f>
        <v>0.31914316089484029</v>
      </c>
      <c r="D31" s="171">
        <f>D20/(D5-C5)</f>
        <v>0.91668201067943322</v>
      </c>
      <c r="E31" s="171">
        <f>E20/(E5-D5)</f>
        <v>0.16054137323943804</v>
      </c>
      <c r="F31" s="172">
        <f>'Reform Stat, Ratio, GROWTH'!BJ37</f>
        <v>1.1620197578270961</v>
      </c>
      <c r="G31" s="172">
        <f>F31</f>
        <v>1.1620197578270961</v>
      </c>
      <c r="H31" s="172">
        <f>G31</f>
        <v>1.1620197578270961</v>
      </c>
      <c r="I31" s="172">
        <f>H31</f>
        <v>1.1620197578270961</v>
      </c>
      <c r="J31" s="172">
        <f>I31</f>
        <v>1.1620197578270961</v>
      </c>
    </row>
    <row r="32" spans="2:17">
      <c r="B32" s="137"/>
      <c r="C32" s="137"/>
      <c r="D32" s="137"/>
      <c r="E32" s="137"/>
      <c r="F32" s="173"/>
      <c r="G32" s="173"/>
      <c r="H32" s="173"/>
      <c r="I32" s="173"/>
      <c r="J32" s="173"/>
    </row>
    <row r="33" spans="2:13">
      <c r="B33" s="174" t="s">
        <v>559</v>
      </c>
      <c r="L33" s="130" t="s">
        <v>560</v>
      </c>
      <c r="M33" s="130" t="s">
        <v>561</v>
      </c>
    </row>
    <row r="34" spans="2:13">
      <c r="M34" s="130" t="s">
        <v>562</v>
      </c>
    </row>
    <row r="35" spans="2:13">
      <c r="B35" s="168" t="s">
        <v>563</v>
      </c>
    </row>
    <row r="36" spans="2:13">
      <c r="B36" s="175" t="s">
        <v>564</v>
      </c>
      <c r="C36" s="175"/>
      <c r="D36" s="175"/>
      <c r="E36" s="175"/>
      <c r="F36" s="176">
        <v>0.1</v>
      </c>
      <c r="G36" s="176">
        <v>0.09</v>
      </c>
      <c r="H36" s="176">
        <v>0.08</v>
      </c>
      <c r="I36" s="176">
        <v>7.0000000000000007E-2</v>
      </c>
      <c r="J36" s="176">
        <v>0.06</v>
      </c>
      <c r="L36" s="130" t="s">
        <v>565</v>
      </c>
    </row>
    <row r="37" spans="2:13">
      <c r="B37" s="175" t="s">
        <v>566</v>
      </c>
      <c r="C37" s="175"/>
      <c r="D37" s="175"/>
      <c r="E37" s="175"/>
      <c r="F37" s="176">
        <f>F36-2%</f>
        <v>0.08</v>
      </c>
      <c r="G37" s="176">
        <f>G36-2%</f>
        <v>6.9999999999999993E-2</v>
      </c>
      <c r="H37" s="176">
        <f>H36-2%</f>
        <v>0.06</v>
      </c>
      <c r="I37" s="176">
        <f>I36-2%</f>
        <v>0.05</v>
      </c>
      <c r="J37" s="176">
        <f>J36-2%</f>
        <v>3.9999999999999994E-2</v>
      </c>
      <c r="L37" s="130" t="s">
        <v>567</v>
      </c>
    </row>
    <row r="38" spans="2:13" ht="13.5" customHeight="1">
      <c r="B38" s="175" t="s">
        <v>568</v>
      </c>
      <c r="C38" s="23"/>
      <c r="D38" s="177"/>
      <c r="E38" s="177"/>
      <c r="F38" s="176">
        <f>F36+2%</f>
        <v>0.12000000000000001</v>
      </c>
      <c r="G38" s="176">
        <f>G36+2%</f>
        <v>0.11</v>
      </c>
      <c r="H38" s="176">
        <f>H36+2%</f>
        <v>0.1</v>
      </c>
      <c r="I38" s="176">
        <f>I36+2%</f>
        <v>9.0000000000000011E-2</v>
      </c>
      <c r="J38" s="176">
        <f>J36+2%</f>
        <v>0.08</v>
      </c>
      <c r="L38" s="130" t="s">
        <v>569</v>
      </c>
    </row>
    <row r="39" spans="2:13" ht="15">
      <c r="B39" s="137"/>
      <c r="F39" s="14"/>
      <c r="G39" s="14"/>
      <c r="H39" s="14"/>
    </row>
    <row r="49" spans="4:4">
      <c r="D49" s="161"/>
    </row>
  </sheetData>
  <mergeCells count="2">
    <mergeCell ref="C3:E3"/>
    <mergeCell ref="F3:J3"/>
  </mergeCells>
  <dataValidations count="1">
    <dataValidation type="list" allowBlank="1" showInputMessage="1" showErrorMessage="1" sqref="C1" xr:uid="{00000000-0002-0000-0600-000000000000}">
      <formula1>"1,2,3"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40"/>
  <sheetViews>
    <sheetView zoomScale="70" zoomScaleNormal="70" workbookViewId="0">
      <selection activeCell="O14" sqref="O14"/>
    </sheetView>
  </sheetViews>
  <sheetFormatPr defaultColWidth="8.85546875" defaultRowHeight="15" customHeight="1"/>
  <cols>
    <col min="1" max="1" width="40.7109375" style="178" customWidth="1"/>
    <col min="2" max="2" width="13.5703125" style="178" customWidth="1"/>
    <col min="3" max="6" width="10.28515625" style="178" customWidth="1"/>
    <col min="7" max="8" width="8.85546875" style="178"/>
    <col min="9" max="9" width="35.7109375" style="178" customWidth="1"/>
    <col min="10" max="10" width="13.5703125" style="178" customWidth="1"/>
    <col min="11" max="14" width="10.28515625" style="178" customWidth="1"/>
    <col min="15" max="16384" width="8.85546875" style="178"/>
  </cols>
  <sheetData>
    <row r="1" spans="1:14">
      <c r="A1" s="179" t="s">
        <v>570</v>
      </c>
      <c r="I1" s="179" t="s">
        <v>571</v>
      </c>
    </row>
    <row r="2" spans="1:14">
      <c r="A2" s="178" t="s">
        <v>79</v>
      </c>
      <c r="B2" s="180">
        <f>WACC!V8</f>
        <v>0.105744179542463</v>
      </c>
      <c r="C2" s="181"/>
      <c r="I2" s="178" t="s">
        <v>79</v>
      </c>
      <c r="J2" s="180">
        <f>WACC!V8</f>
        <v>0.105744179542463</v>
      </c>
    </row>
    <row r="3" spans="1:14">
      <c r="A3" s="178" t="s">
        <v>572</v>
      </c>
      <c r="B3" s="180">
        <f>'Reform Stat, Ratio, GROWTH'!BJ29</f>
        <v>6.9449632363455846E-2</v>
      </c>
      <c r="I3" s="178" t="s">
        <v>573</v>
      </c>
      <c r="J3" s="182">
        <f>'Relative Valuation'!S13/'Relative Valuation'!U13</f>
        <v>10.659347012473344</v>
      </c>
    </row>
    <row r="4" spans="1:14">
      <c r="A4" s="178" t="s">
        <v>574</v>
      </c>
      <c r="B4" s="182">
        <f>(1+B3)/(B2-B3)</f>
        <v>29.465848604994527</v>
      </c>
      <c r="I4" s="178" t="s">
        <v>575</v>
      </c>
      <c r="J4" s="178">
        <f>'Projected FCF'!J10</f>
        <v>401.55472570375355</v>
      </c>
    </row>
    <row r="7" spans="1:14">
      <c r="A7" s="178" t="s">
        <v>576</v>
      </c>
      <c r="B7" s="178">
        <v>1</v>
      </c>
      <c r="C7" s="178">
        <v>2</v>
      </c>
      <c r="D7" s="178">
        <v>3</v>
      </c>
      <c r="E7" s="178">
        <v>4</v>
      </c>
      <c r="F7" s="178">
        <v>5</v>
      </c>
      <c r="I7" s="178" t="s">
        <v>576</v>
      </c>
      <c r="J7" s="178">
        <v>1</v>
      </c>
      <c r="K7" s="178">
        <v>2</v>
      </c>
      <c r="L7" s="178">
        <v>3</v>
      </c>
      <c r="M7" s="178">
        <v>4</v>
      </c>
      <c r="N7" s="178">
        <v>5</v>
      </c>
    </row>
    <row r="8" spans="1:14">
      <c r="A8" s="178" t="s">
        <v>577</v>
      </c>
      <c r="B8" s="183">
        <f>'Projected FCF'!F21</f>
        <v>-88.953786641833091</v>
      </c>
      <c r="C8" s="183">
        <f>'Projected FCF'!G21</f>
        <v>-64.470998558899538</v>
      </c>
      <c r="D8" s="183">
        <f>'Projected FCF'!H21</f>
        <v>-19.68137850197374</v>
      </c>
      <c r="E8" s="183">
        <f>'Projected FCF'!I21</f>
        <v>-5.9341884366644706</v>
      </c>
      <c r="F8" s="183">
        <f>'Projected FCF'!J21</f>
        <v>29.589129489738355</v>
      </c>
      <c r="I8" s="178" t="s">
        <v>577</v>
      </c>
      <c r="J8" s="183">
        <f>'Projected FCF'!F21</f>
        <v>-88.953786641833091</v>
      </c>
      <c r="K8" s="183">
        <f>'Projected FCF'!G21</f>
        <v>-64.470998558899538</v>
      </c>
      <c r="L8" s="183">
        <f>'Projected FCF'!H21</f>
        <v>-19.68137850197374</v>
      </c>
      <c r="M8" s="183">
        <f>'Projected FCF'!I21</f>
        <v>-5.9341884366644706</v>
      </c>
      <c r="N8" s="183">
        <f>'Projected FCF'!J21</f>
        <v>29.589129489738355</v>
      </c>
    </row>
    <row r="9" spans="1:14">
      <c r="A9" s="178" t="s">
        <v>578</v>
      </c>
      <c r="B9" s="183">
        <f>B8/(1+$B$2)^B7</f>
        <v>-80.446986100022315</v>
      </c>
      <c r="C9" s="183">
        <f>C8/(1+$B$2)^C7</f>
        <v>-52.729672363797263</v>
      </c>
      <c r="D9" s="183">
        <f>D8/(1+$B$2)^D7</f>
        <v>-14.557658509408807</v>
      </c>
      <c r="E9" s="183">
        <f>E8/(1+$B$2)^E7</f>
        <v>-3.9695628727361978</v>
      </c>
      <c r="F9" s="183">
        <f>F8/(1+$B$2)^F7</f>
        <v>17.90024101347721</v>
      </c>
      <c r="I9" s="178" t="s">
        <v>578</v>
      </c>
      <c r="J9" s="183">
        <f>J8/(1+$J$2)^J7</f>
        <v>-80.446986100022315</v>
      </c>
      <c r="K9" s="183">
        <f>K8/(1+$J$2)^K7</f>
        <v>-52.729672363797263</v>
      </c>
      <c r="L9" s="183">
        <f>L8/(1+$J$2)^L7</f>
        <v>-14.557658509408807</v>
      </c>
      <c r="M9" s="183">
        <f>M8/(1+$J$2)^M7</f>
        <v>-3.9695628727361978</v>
      </c>
      <c r="N9" s="183">
        <f>N8/(1+$J$2)^N7</f>
        <v>17.90024101347721</v>
      </c>
    </row>
    <row r="10" spans="1:14">
      <c r="A10" s="181" t="s">
        <v>579</v>
      </c>
      <c r="B10" s="184">
        <f>SUM(B9:F9)</f>
        <v>-133.80363883248739</v>
      </c>
      <c r="I10" s="181" t="s">
        <v>579</v>
      </c>
      <c r="J10" s="184">
        <f>SUM(J9:N9)</f>
        <v>-133.80363883248739</v>
      </c>
      <c r="K10" s="183"/>
      <c r="L10" s="183"/>
      <c r="M10" s="183"/>
      <c r="N10" s="183"/>
    </row>
    <row r="11" spans="1:14">
      <c r="A11" s="181" t="s">
        <v>580</v>
      </c>
      <c r="B11" s="184">
        <f>F8*B4</f>
        <v>871.86880989820929</v>
      </c>
      <c r="I11" s="181" t="s">
        <v>581</v>
      </c>
      <c r="J11" s="184">
        <f>J4*J3</f>
        <v>4280.3111657748586</v>
      </c>
      <c r="K11" s="183"/>
      <c r="L11" s="183"/>
      <c r="M11" s="183"/>
      <c r="N11" s="183"/>
    </row>
    <row r="12" spans="1:14">
      <c r="A12" s="181" t="s">
        <v>582</v>
      </c>
      <c r="B12" s="184">
        <f>B11/(1+B2)^5</f>
        <v>527.44579169603333</v>
      </c>
      <c r="I12" s="181" t="s">
        <v>582</v>
      </c>
      <c r="J12" s="184">
        <f>J11/(1+J2)^5</f>
        <v>2589.4172218422059</v>
      </c>
      <c r="K12" s="183"/>
      <c r="L12" s="183"/>
      <c r="M12" s="183"/>
      <c r="N12" s="183"/>
    </row>
    <row r="13" spans="1:14">
      <c r="C13" s="185"/>
      <c r="K13" s="183"/>
      <c r="L13" s="183"/>
      <c r="M13" s="183"/>
      <c r="N13" s="183"/>
    </row>
    <row r="14" spans="1:14">
      <c r="A14" s="181" t="s">
        <v>18</v>
      </c>
      <c r="B14" s="184">
        <f>B10+B12</f>
        <v>393.6421528635459</v>
      </c>
      <c r="I14" s="181" t="s">
        <v>18</v>
      </c>
      <c r="J14" s="184">
        <f>J12+J10</f>
        <v>2455.6135830097187</v>
      </c>
      <c r="K14" s="183"/>
      <c r="L14" s="183"/>
      <c r="M14" s="183"/>
      <c r="N14" s="183"/>
    </row>
    <row r="15" spans="1:14">
      <c r="A15" s="181"/>
      <c r="B15" s="184"/>
      <c r="I15" s="181"/>
      <c r="J15" s="184"/>
      <c r="K15" s="183"/>
      <c r="L15" s="183"/>
      <c r="M15" s="183"/>
      <c r="N15" s="183"/>
    </row>
    <row r="16" spans="1:14">
      <c r="A16" s="181"/>
      <c r="B16" s="184"/>
      <c r="I16" s="181"/>
      <c r="J16" s="184"/>
      <c r="K16" s="183"/>
      <c r="L16" s="183"/>
      <c r="M16" s="183"/>
      <c r="N16" s="183"/>
    </row>
    <row r="17" spans="1:14">
      <c r="A17" s="178" t="s">
        <v>583</v>
      </c>
      <c r="B17" s="180">
        <f>B12/B14</f>
        <v>1.3399118662956551</v>
      </c>
      <c r="I17" s="178" t="s">
        <v>583</v>
      </c>
      <c r="J17" s="180">
        <f>J12/J14</f>
        <v>1.0544888820286176</v>
      </c>
      <c r="K17" s="183"/>
      <c r="L17" s="183"/>
      <c r="M17" s="183"/>
      <c r="N17" s="183"/>
    </row>
    <row r="18" spans="1:14">
      <c r="A18" s="178" t="s">
        <v>584</v>
      </c>
      <c r="B18" s="183">
        <f>'Projected FCF'!J21</f>
        <v>29.589129489738355</v>
      </c>
      <c r="I18" s="178" t="s">
        <v>585</v>
      </c>
      <c r="J18" s="183">
        <f>J4</f>
        <v>401.55472570375355</v>
      </c>
      <c r="K18" s="183"/>
      <c r="L18" s="183"/>
      <c r="M18" s="183"/>
      <c r="N18" s="183"/>
    </row>
    <row r="19" spans="1:14">
      <c r="A19" s="178" t="s">
        <v>79</v>
      </c>
      <c r="B19" s="180">
        <f>B2</f>
        <v>0.105744179542463</v>
      </c>
      <c r="I19" s="178" t="s">
        <v>79</v>
      </c>
      <c r="J19" s="180">
        <f>J2</f>
        <v>0.105744179542463</v>
      </c>
      <c r="K19" s="183"/>
      <c r="L19" s="183"/>
      <c r="M19" s="183"/>
      <c r="N19" s="183"/>
    </row>
    <row r="20" spans="1:14">
      <c r="A20" s="178" t="s">
        <v>572</v>
      </c>
      <c r="B20" s="186">
        <f>B3</f>
        <v>6.9449632363455846E-2</v>
      </c>
      <c r="I20" s="178" t="s">
        <v>586</v>
      </c>
      <c r="J20" s="182">
        <f>J3</f>
        <v>10.659347012473344</v>
      </c>
      <c r="K20" s="183"/>
      <c r="L20" s="183"/>
      <c r="M20" s="183"/>
      <c r="N20" s="183"/>
    </row>
    <row r="21" spans="1:14">
      <c r="A21" s="178" t="s">
        <v>585</v>
      </c>
      <c r="B21" s="183">
        <f>'Projected FCF'!J10</f>
        <v>401.55472570375355</v>
      </c>
      <c r="I21" s="178" t="s">
        <v>584</v>
      </c>
      <c r="J21" s="183">
        <f>'Projected FCF'!J21</f>
        <v>29.589129489738355</v>
      </c>
      <c r="K21" s="183"/>
      <c r="L21" s="183"/>
      <c r="M21" s="183"/>
      <c r="N21" s="183"/>
    </row>
    <row r="22" spans="1:14">
      <c r="A22" s="181" t="s">
        <v>587</v>
      </c>
      <c r="B22" s="187">
        <f>(B18*(1+B20))/(B21*(B19-B20))</f>
        <v>2.1712328459594055</v>
      </c>
      <c r="I22" s="181" t="s">
        <v>588</v>
      </c>
      <c r="J22" s="188">
        <f>((J18*J20*J19)-J21)/((J18*J20)+J21)</f>
        <v>9.8152818845104267E-2</v>
      </c>
      <c r="K22" s="183"/>
      <c r="L22" s="183"/>
      <c r="M22" s="183"/>
      <c r="N22" s="183"/>
    </row>
    <row r="23" spans="1:14">
      <c r="A23" s="181"/>
      <c r="B23" s="184"/>
      <c r="I23" s="181"/>
      <c r="J23" s="184"/>
      <c r="K23" s="183"/>
      <c r="L23" s="183"/>
      <c r="M23" s="183"/>
      <c r="N23" s="183"/>
    </row>
    <row r="24" spans="1:14">
      <c r="I24" s="181"/>
      <c r="J24" s="188"/>
    </row>
    <row r="25" spans="1:14">
      <c r="A25" s="178" t="s">
        <v>589</v>
      </c>
      <c r="B25" s="189">
        <f>'Reform Stat, Ratio, GROWTH'!AJ53</f>
        <v>294.72000000000003</v>
      </c>
      <c r="I25" s="178" t="s">
        <v>589</v>
      </c>
      <c r="J25" s="189">
        <f>'Reform Stat, Ratio, GROWTH'!AJ53</f>
        <v>294.72000000000003</v>
      </c>
    </row>
    <row r="26" spans="1:14">
      <c r="A26" s="178" t="s">
        <v>590</v>
      </c>
      <c r="B26" s="190">
        <f>'Reform Stat, Ratio, GROWTH'!AJ67</f>
        <v>500.15000000000003</v>
      </c>
      <c r="I26" s="178" t="s">
        <v>590</v>
      </c>
      <c r="J26" s="190">
        <f>'Reform Stat, Ratio, GROWTH'!AJ67</f>
        <v>500.15000000000003</v>
      </c>
    </row>
    <row r="27" spans="1:14">
      <c r="A27" s="178" t="s">
        <v>591</v>
      </c>
      <c r="B27" s="190">
        <f>'Reform Stat, Ratio, GROWTH'!AJ72</f>
        <v>0</v>
      </c>
      <c r="I27" s="178" t="s">
        <v>591</v>
      </c>
      <c r="J27" s="190">
        <f>'Reform Stat, Ratio, GROWTH'!AJ72</f>
        <v>0</v>
      </c>
    </row>
    <row r="28" spans="1:14">
      <c r="A28" s="178" t="s">
        <v>592</v>
      </c>
      <c r="B28" s="191">
        <f>B14+B25-B26-B27</f>
        <v>188.2121528635459</v>
      </c>
      <c r="I28" s="178" t="s">
        <v>592</v>
      </c>
      <c r="J28" s="191">
        <f>J14+J25-J26-J27</f>
        <v>2250.1835830097184</v>
      </c>
    </row>
    <row r="29" spans="1:14">
      <c r="A29" s="178" t="s">
        <v>593</v>
      </c>
      <c r="B29" s="192">
        <f>'Relative Valuation'!M13/10000000</f>
        <v>7.0405749999999996</v>
      </c>
      <c r="I29" s="178" t="s">
        <v>593</v>
      </c>
      <c r="J29" s="192">
        <f>'Relative Valuation'!M13/10000000</f>
        <v>7.0405749999999996</v>
      </c>
    </row>
    <row r="30" spans="1:14">
      <c r="A30" s="178" t="s">
        <v>594</v>
      </c>
      <c r="B30" s="193">
        <f>B28/B29</f>
        <v>26.732497397378182</v>
      </c>
      <c r="I30" s="178" t="s">
        <v>594</v>
      </c>
      <c r="J30" s="193">
        <f>J28/J29</f>
        <v>319.60224598271003</v>
      </c>
    </row>
    <row r="31" spans="1:14">
      <c r="I31" s="181"/>
      <c r="J31" s="188"/>
    </row>
    <row r="33" spans="1:15">
      <c r="A33" s="2" t="s">
        <v>595</v>
      </c>
      <c r="B33" s="2"/>
      <c r="C33" s="2"/>
      <c r="D33" s="2"/>
      <c r="E33" s="2"/>
      <c r="F33" s="2"/>
      <c r="G33" s="2"/>
      <c r="I33" s="2" t="s">
        <v>595</v>
      </c>
      <c r="J33" s="2"/>
      <c r="K33" s="2"/>
      <c r="L33" s="2"/>
      <c r="M33" s="2"/>
      <c r="N33" s="2"/>
      <c r="O33" s="2"/>
    </row>
    <row r="34" spans="1:15">
      <c r="C34" s="1" t="s">
        <v>79</v>
      </c>
      <c r="D34" s="1"/>
      <c r="E34" s="1"/>
      <c r="F34" s="1"/>
      <c r="G34" s="1"/>
      <c r="K34" s="1" t="s">
        <v>79</v>
      </c>
      <c r="L34" s="1"/>
      <c r="M34" s="1"/>
      <c r="N34" s="1"/>
      <c r="O34" s="1"/>
    </row>
    <row r="35" spans="1:15">
      <c r="B35" s="194">
        <f>B30</f>
        <v>26.732497397378182</v>
      </c>
      <c r="C35" s="195">
        <v>0.1</v>
      </c>
      <c r="D35" s="195">
        <v>0.11</v>
      </c>
      <c r="E35" s="195">
        <v>0.12</v>
      </c>
      <c r="F35" s="195">
        <v>0.13</v>
      </c>
      <c r="G35" s="195">
        <v>0.14000000000000001</v>
      </c>
      <c r="J35" s="194">
        <f>J30</f>
        <v>319.60224598271003</v>
      </c>
      <c r="K35" s="195">
        <v>0.1</v>
      </c>
      <c r="L35" s="195">
        <v>0.11</v>
      </c>
      <c r="M35" s="195">
        <v>0.12</v>
      </c>
      <c r="N35" s="195">
        <v>0.13</v>
      </c>
      <c r="O35" s="195">
        <v>0.14000000000000001</v>
      </c>
    </row>
    <row r="36" spans="1:15">
      <c r="A36" s="212" t="s">
        <v>596</v>
      </c>
      <c r="B36" s="196">
        <v>0.06</v>
      </c>
      <c r="C36" s="197">
        <f>((SUMPRODUCT($B$8:$F$8,1/(1+C$35)^$B$7:$F$7)+($F$8*(1+$B36)/(C$35-$B36))/(1+C$35)^5)+$B$25-$B$26-$B$27)/$B$29</f>
        <v>20.854177687908422</v>
      </c>
      <c r="D36" s="197">
        <f>((SUMPRODUCT($B$8:$F$8,1/(1+D$35)^$B$7:$F$7)+($F$8*(1+$B36)/(D$35-$B36))/(1+D$35)^5)+$B$25-$B$26-$B$27)/$B$29</f>
        <v>4.7767374890441472</v>
      </c>
      <c r="E36" s="197">
        <f>((SUMPRODUCT($B$8:$F$8,1/(1+E$35)^$B$7:$F$7)+($F$8*(1+$B36)/(E$35-$B36))/(1+E$35)^5)+$B$25-$B$26-$B$27)/$B$29</f>
        <v>-5.769684677914495</v>
      </c>
      <c r="F36" s="197">
        <f>((SUMPRODUCT($B$8:$F$8,1/(1+F$35)^$B$7:$F$7)+($F$8*(1+$B36)/(F$35-$B36))/(1+F$35)^5)+$B$25-$B$26-$B$27)/$B$29</f>
        <v>-13.162161413177159</v>
      </c>
      <c r="G36" s="197">
        <f>((SUMPRODUCT($B$8:$F$8,1/(1+G$35)^$B$7:$F$7)+($F$8*(1+$B36)/(G$35-$B36))/(1+G$35)^5)+$B$25-$B$26-$B$27)/$B$29</f>
        <v>-18.588909741801121</v>
      </c>
      <c r="I36" s="212" t="s">
        <v>24</v>
      </c>
      <c r="J36" s="198">
        <v>12</v>
      </c>
      <c r="K36" s="197">
        <f>((SUMPRODUCT($J$8:$N$8,1/(1+K$35)^$J$7:$N$7)+($J$4*$J36)/(1+K$35)^5)+$J$25-$J$26-$J$27)/$J$29</f>
        <v>376.6681390271084</v>
      </c>
      <c r="L36" s="197">
        <f>((SUMPRODUCT($J$8:$N$8,1/(1+L$35)^$J$7:$N$7)+($J$4*$J36)/(1+L$35)^5)+$J$25-$J$26-$J$27)/$J$29</f>
        <v>358.06782655765244</v>
      </c>
      <c r="M36" s="197">
        <f>((SUMPRODUCT($J$8:$N$8,1/(1+M$35)^$J$7:$N$7)+($J$4*$J36)/(1+M$35)^5)+$J$25-$J$26-$J$27)/$J$29</f>
        <v>340.45456258223328</v>
      </c>
      <c r="N36" s="197">
        <f>((SUMPRODUCT($J$8:$N$8,1/(1+N$35)^$J$7:$N$7)+($J$4*$J36)/(1+N$35)^5)+$J$25-$J$26-$J$27)/$J$29</f>
        <v>323.76808078540256</v>
      </c>
      <c r="O36" s="197">
        <f>((SUMPRODUCT($J$8:$N$8,1/(1+O$35)^$J$7:$N$7)+($J$4*$J36)/(1+O$35)^5)+$J$25-$J$26-$J$27)/$J$29</f>
        <v>307.95227693590437</v>
      </c>
    </row>
    <row r="37" spans="1:15">
      <c r="A37" s="212"/>
      <c r="B37" s="196">
        <v>6.5000000000000002E-2</v>
      </c>
      <c r="C37" s="197">
        <f>((SUMPRODUCT($B$8:$F$8,1/(1+C$35)^$B$7:$F$7)+($F$8*(1+$B37)/(C$35-$B37))/(1+C$35)^5)+$B$25-$B$26-$B$27)/$B$29</f>
        <v>31.105863489763426</v>
      </c>
      <c r="D37" s="197">
        <f>((SUMPRODUCT($B$8:$F$8,1/(1+D$35)^$B$7:$F$7)+($F$8*(1+$B37)/(D$35-$B37))/(1+D$35)^5)+$B$25-$B$26-$B$27)/$B$29</f>
        <v>10.928784285372846</v>
      </c>
      <c r="E37" s="197">
        <f>((SUMPRODUCT($B$8:$F$8,1/(1+E$35)^$B$7:$F$7)+($F$8*(1+$B37)/(E$35-$B37))/(1+E$35)^5)+$B$25-$B$26-$B$27)/$B$29</f>
        <v>-1.7229192320847193</v>
      </c>
      <c r="F37" s="197">
        <f>((SUMPRODUCT($B$8:$F$8,1/(1+F$35)^$B$7:$F$7)+($F$8*(1+$B37)/(F$35-$B37))/(1+F$35)^5)+$B$25-$B$26-$B$27)/$B$29</f>
        <v>-10.329668101853871</v>
      </c>
      <c r="G37" s="197">
        <f>((SUMPRODUCT($B$8:$F$8,1/(1+G$35)^$B$7:$F$7)+($F$8*(1+$B37)/(G$35-$B37))/(1+G$35)^5)+$B$25-$B$26-$B$27)/$B$29</f>
        <v>-16.515317268242885</v>
      </c>
      <c r="I37" s="212"/>
      <c r="J37" s="198">
        <v>13</v>
      </c>
      <c r="K37" s="197">
        <f>((SUMPRODUCT($J$8:$N$8,1/(1+K$35)^$J$7:$N$7)+($J$4*$J37)/(1+K$35)^5)+$J$25-$J$26-$J$27)/$J$29</f>
        <v>412.08199252126633</v>
      </c>
      <c r="L37" s="197">
        <f>((SUMPRODUCT($J$8:$N$8,1/(1+L$35)^$J$7:$N$7)+($J$4*$J37)/(1+L$35)^5)+$J$25-$J$26-$J$27)/$J$29</f>
        <v>391.9149463251548</v>
      </c>
      <c r="M37" s="197">
        <f>((SUMPRODUCT($J$8:$N$8,1/(1+M$35)^$J$7:$N$7)+($J$4*$J37)/(1+M$35)^5)+$J$25-$J$26-$J$27)/$J$29</f>
        <v>372.81739309039847</v>
      </c>
      <c r="N37" s="197">
        <f>((SUMPRODUCT($J$8:$N$8,1/(1+N$35)^$J$7:$N$7)+($J$4*$J37)/(1+N$35)^5)+$J$25-$J$26-$J$27)/$J$29</f>
        <v>354.72404918617178</v>
      </c>
      <c r="O37" s="197">
        <f>((SUMPRODUCT($J$8:$N$8,1/(1+O$35)^$J$7:$N$7)+($J$4*$J37)/(1+O$35)^5)+$J$25-$J$26-$J$27)/$J$29</f>
        <v>337.57413900769967</v>
      </c>
    </row>
    <row r="38" spans="1:15">
      <c r="A38" s="212"/>
      <c r="B38" s="196">
        <v>7.0000000000000007E-2</v>
      </c>
      <c r="C38" s="197">
        <f>((SUMPRODUCT($B$8:$F$8,1/(1+C$35)^$B$7:$F$7)+($F$8*(1+$B38)/(C$35-$B38))/(1+C$35)^5)+$B$25-$B$26-$B$27)/$B$29</f>
        <v>44.774777892236806</v>
      </c>
      <c r="D38" s="197">
        <f>((SUMPRODUCT($B$8:$F$8,1/(1+D$35)^$B$7:$F$7)+($F$8*(1+$B38)/(D$35-$B38))/(1+D$35)^5)+$B$25-$B$26-$B$27)/$B$29</f>
        <v>18.618842780783751</v>
      </c>
      <c r="E38" s="197">
        <f>((SUMPRODUCT($B$8:$F$8,1/(1+E$35)^$B$7:$F$7)+($F$8*(1+$B38)/(E$35-$B38))/(1+E$35)^5)+$B$25-$B$26-$B$27)/$B$29</f>
        <v>3.133199302911057</v>
      </c>
      <c r="F38" s="197">
        <f>((SUMPRODUCT($B$8:$F$8,1/(1+F$35)^$B$7:$F$7)+($F$8*(1+$B38)/(F$35-$B38))/(1+F$35)^5)+$B$25-$B$26-$B$27)/$B$29</f>
        <v>-7.0250925719766917</v>
      </c>
      <c r="G38" s="197">
        <f>((SUMPRODUCT($B$8:$F$8,1/(1+G$35)^$B$7:$F$7)+($F$8*(1+$B38)/(G$35-$B38))/(1+G$35)^5)+$B$25-$B$26-$B$27)/$B$29</f>
        <v>-14.14549729846204</v>
      </c>
      <c r="I38" s="212"/>
      <c r="J38" s="198">
        <v>14</v>
      </c>
      <c r="K38" s="197">
        <f>((SUMPRODUCT($J$8:$N$8,1/(1+K$35)^$J$7:$N$7)+($J$4*$J38)/(1+K$35)^5)+$J$25-$J$26-$J$27)/$J$29</f>
        <v>447.49584601542426</v>
      </c>
      <c r="L38" s="197">
        <f>((SUMPRODUCT($J$8:$N$8,1/(1+L$35)^$J$7:$N$7)+($J$4*$J38)/(1+L$35)^5)+$J$25-$J$26-$J$27)/$J$29</f>
        <v>425.76206609265716</v>
      </c>
      <c r="M38" s="197">
        <f>((SUMPRODUCT($J$8:$N$8,1/(1+M$35)^$J$7:$N$7)+($J$4*$J38)/(1+M$35)^5)+$J$25-$J$26-$J$27)/$J$29</f>
        <v>405.18022359856366</v>
      </c>
      <c r="N38" s="197">
        <f>((SUMPRODUCT($J$8:$N$8,1/(1+N$35)^$J$7:$N$7)+($J$4*$J38)/(1+N$35)^5)+$J$25-$J$26-$J$27)/$J$29</f>
        <v>385.68001758694101</v>
      </c>
      <c r="O38" s="197">
        <f>((SUMPRODUCT($J$8:$N$8,1/(1+O$35)^$J$7:$N$7)+($J$4*$J38)/(1+O$35)^5)+$J$25-$J$26-$J$27)/$J$29</f>
        <v>367.19600107949503</v>
      </c>
    </row>
    <row r="39" spans="1:15">
      <c r="A39" s="212"/>
      <c r="B39" s="196">
        <v>7.4999999999999997E-2</v>
      </c>
      <c r="C39" s="197">
        <f>((SUMPRODUCT($B$8:$F$8,1/(1+C$35)^$B$7:$F$7)+($F$8*(1+$B39)/(C$35-$B39))/(1+C$35)^5)+$B$25-$B$26-$B$27)/$B$29</f>
        <v>63.911258055699442</v>
      </c>
      <c r="D39" s="197">
        <f>((SUMPRODUCT($B$8:$F$8,1/(1+D$35)^$B$7:$F$7)+($F$8*(1+$B39)/(D$35-$B39))/(1+D$35)^5)+$B$25-$B$26-$B$27)/$B$29</f>
        <v>28.50606084631201</v>
      </c>
      <c r="E39" s="197">
        <f>((SUMPRODUCT($B$8:$F$8,1/(1+E$35)^$B$7:$F$7)+($F$8*(1+$B39)/(E$35-$B39))/(1+E$35)^5)+$B$25-$B$26-$B$27)/$B$29</f>
        <v>9.0684552901280693</v>
      </c>
      <c r="F39" s="197">
        <f>((SUMPRODUCT($B$8:$F$8,1/(1+F$35)^$B$7:$F$7)+($F$8*(1+$B39)/(F$35-$B39))/(1+F$35)^5)+$B$25-$B$26-$B$27)/$B$29</f>
        <v>-3.1196851275764148</v>
      </c>
      <c r="G39" s="197">
        <f>((SUMPRODUCT($B$8:$F$8,1/(1+G$35)^$B$7:$F$7)+($F$8*(1+$B39)/(G$35-$B39))/(1+G$35)^5)+$B$25-$B$26-$B$27)/$B$29</f>
        <v>-11.411089641022619</v>
      </c>
      <c r="I39" s="212"/>
      <c r="J39" s="198">
        <v>15</v>
      </c>
      <c r="K39" s="197">
        <f>((SUMPRODUCT($J$8:$N$8,1/(1+K$35)^$J$7:$N$7)+($J$4*$J39)/(1+K$35)^5)+$J$25-$J$26-$J$27)/$J$29</f>
        <v>482.9096995095822</v>
      </c>
      <c r="L39" s="197">
        <f>((SUMPRODUCT($J$8:$N$8,1/(1+L$35)^$J$7:$N$7)+($J$4*$J39)/(1+L$35)^5)+$J$25-$J$26-$J$27)/$J$29</f>
        <v>459.60918586015953</v>
      </c>
      <c r="M39" s="197">
        <f>((SUMPRODUCT($J$8:$N$8,1/(1+M$35)^$J$7:$N$7)+($J$4*$J39)/(1+M$35)^5)+$J$25-$J$26-$J$27)/$J$29</f>
        <v>437.54305410672896</v>
      </c>
      <c r="N39" s="197">
        <f>((SUMPRODUCT($J$8:$N$8,1/(1+N$35)^$J$7:$N$7)+($J$4*$J39)/(1+N$35)^5)+$J$25-$J$26-$J$27)/$J$29</f>
        <v>416.63598598771011</v>
      </c>
      <c r="O39" s="197">
        <f>((SUMPRODUCT($J$8:$N$8,1/(1+O$35)^$J$7:$N$7)+($J$4*$J39)/(1+O$35)^5)+$J$25-$J$26-$J$27)/$J$29</f>
        <v>396.81786315129045</v>
      </c>
    </row>
    <row r="40" spans="1:15">
      <c r="A40" s="212"/>
      <c r="B40" s="196">
        <v>0.08</v>
      </c>
      <c r="C40" s="197">
        <f>((SUMPRODUCT($B$8:$F$8,1/(1+C$35)^$B$7:$F$7)+($F$8*(1+$B40)/(C$35-$B40))/(1+C$35)^5)+$B$25-$B$26-$B$27)/$B$29</f>
        <v>92.615978300893488</v>
      </c>
      <c r="D40" s="197">
        <f>((SUMPRODUCT($B$8:$F$8,1/(1+D$35)^$B$7:$F$7)+($F$8*(1+$B40)/(D$35-$B40))/(1+D$35)^5)+$B$25-$B$26-$B$27)/$B$29</f>
        <v>41.689018267016415</v>
      </c>
      <c r="E40" s="197">
        <f>((SUMPRODUCT($B$8:$F$8,1/(1+E$35)^$B$7:$F$7)+($F$8*(1+$B40)/(E$35-$B40))/(1+E$35)^5)+$B$25-$B$26-$B$27)/$B$29</f>
        <v>16.487525274149377</v>
      </c>
      <c r="F40" s="197">
        <f>((SUMPRODUCT($B$8:$F$8,1/(1+F$35)^$B$7:$F$7)+($F$8*(1+$B40)/(F$35-$B40))/(1+F$35)^5)+$B$25-$B$26-$B$27)/$B$29</f>
        <v>1.5668038057039424</v>
      </c>
      <c r="G40" s="197">
        <f>((SUMPRODUCT($B$8:$F$8,1/(1+G$35)^$B$7:$F$7)+($F$8*(1+$B40)/(G$35-$B40))/(1+G$35)^5)+$B$25-$B$26-$B$27)/$B$29</f>
        <v>-8.2209473740099401</v>
      </c>
      <c r="I40" s="212"/>
      <c r="J40" s="198">
        <v>16</v>
      </c>
      <c r="K40" s="197">
        <f>((SUMPRODUCT($J$8:$N$8,1/(1+K$35)^$J$7:$N$7)+($J$4*$J40)/(1+K$35)^5)+$J$25-$J$26-$J$27)/$J$29</f>
        <v>518.32355300374002</v>
      </c>
      <c r="L40" s="197">
        <f>((SUMPRODUCT($J$8:$N$8,1/(1+L$35)^$J$7:$N$7)+($J$4*$J40)/(1+L$35)^5)+$J$25-$J$26-$J$27)/$J$29</f>
        <v>493.45630562766178</v>
      </c>
      <c r="M40" s="197">
        <f>((SUMPRODUCT($J$8:$N$8,1/(1+M$35)^$J$7:$N$7)+($J$4*$J40)/(1+M$35)^5)+$J$25-$J$26-$J$27)/$J$29</f>
        <v>469.90588461489415</v>
      </c>
      <c r="N40" s="197">
        <f>((SUMPRODUCT($J$8:$N$8,1/(1+N$35)^$J$7:$N$7)+($J$4*$J40)/(1+N$35)^5)+$J$25-$J$26-$J$27)/$J$29</f>
        <v>447.59195438847934</v>
      </c>
      <c r="O40" s="197">
        <f>((SUMPRODUCT($J$8:$N$8,1/(1+O$35)^$J$7:$N$7)+($J$4*$J40)/(1+O$35)^5)+$J$25-$J$26-$J$27)/$J$29</f>
        <v>426.4397252230857</v>
      </c>
    </row>
  </sheetData>
  <mergeCells count="6">
    <mergeCell ref="A33:G33"/>
    <mergeCell ref="I33:O33"/>
    <mergeCell ref="C34:G34"/>
    <mergeCell ref="K34:O34"/>
    <mergeCell ref="A36:A40"/>
    <mergeCell ref="I36:I4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H14"/>
  <sheetViews>
    <sheetView tabSelected="1" zoomScaleNormal="100" workbookViewId="0">
      <selection activeCell="E14" sqref="E14"/>
    </sheetView>
  </sheetViews>
  <sheetFormatPr defaultColWidth="8.85546875" defaultRowHeight="15" customHeight="1"/>
  <cols>
    <col min="1" max="1" width="8.85546875" style="199"/>
    <col min="2" max="2" width="25.5703125" style="199" customWidth="1"/>
    <col min="3" max="6" width="10" style="200" customWidth="1"/>
    <col min="7" max="16384" width="8.85546875" style="199"/>
  </cols>
  <sheetData>
    <row r="1" spans="2:8">
      <c r="B1" s="201" t="s">
        <v>597</v>
      </c>
      <c r="C1" s="202" t="s">
        <v>598</v>
      </c>
      <c r="D1" s="202" t="s">
        <v>599</v>
      </c>
      <c r="E1" s="202" t="s">
        <v>600</v>
      </c>
      <c r="F1" s="202" t="s">
        <v>601</v>
      </c>
      <c r="G1" s="201" t="s">
        <v>602</v>
      </c>
      <c r="H1" s="201" t="s">
        <v>66</v>
      </c>
    </row>
    <row r="2" spans="2:8">
      <c r="B2" s="203" t="s">
        <v>22</v>
      </c>
      <c r="C2" s="204">
        <f>'Relative Valuation'!X23</f>
        <v>822.7925425048445</v>
      </c>
      <c r="D2" s="204">
        <f>E2-C2</f>
        <v>907.36840931073993</v>
      </c>
      <c r="E2" s="204">
        <f>'Relative Valuation'!X24</f>
        <v>1730.1609518155844</v>
      </c>
      <c r="F2" s="204">
        <f>'Relative Valuation'!X22</f>
        <v>1281.5206517804208</v>
      </c>
      <c r="G2" s="205">
        <v>0</v>
      </c>
      <c r="H2" s="203">
        <f>F2*G2</f>
        <v>0</v>
      </c>
    </row>
    <row r="3" spans="2:8">
      <c r="B3" s="203" t="s">
        <v>24</v>
      </c>
      <c r="C3" s="206">
        <f>'Relative Valuation'!Z23</f>
        <v>4613.6336552951807</v>
      </c>
      <c r="D3" s="204">
        <f>E3-C3</f>
        <v>2153.3196637665906</v>
      </c>
      <c r="E3" s="206">
        <f>'Relative Valuation'!Z24</f>
        <v>6766.9533190617713</v>
      </c>
      <c r="F3" s="206">
        <f>'Relative Valuation'!Z22</f>
        <v>951.8248341839236</v>
      </c>
      <c r="G3" s="205">
        <v>0.2</v>
      </c>
      <c r="H3" s="203">
        <f>F3*G3</f>
        <v>190.36496683678473</v>
      </c>
    </row>
    <row r="4" spans="2:8">
      <c r="B4" s="203" t="s">
        <v>23</v>
      </c>
      <c r="C4" s="206">
        <f>'Relative Valuation'!Y23</f>
        <v>5761.6970537402231</v>
      </c>
      <c r="D4" s="204">
        <f>E4-C4</f>
        <v>3520.9267480549279</v>
      </c>
      <c r="E4" s="206">
        <f>'Relative Valuation'!Y24</f>
        <v>9282.6238017951509</v>
      </c>
      <c r="F4" s="206">
        <f>'Relative Valuation'!Y22</f>
        <v>941.61963008382509</v>
      </c>
      <c r="G4" s="205">
        <v>0</v>
      </c>
      <c r="H4" s="203">
        <f>F4*G4</f>
        <v>0</v>
      </c>
    </row>
    <row r="5" spans="2:8">
      <c r="B5" s="203" t="s">
        <v>25</v>
      </c>
      <c r="C5" s="206">
        <f>'Relative Valuation'!AA23</f>
        <v>304.94230122912882</v>
      </c>
      <c r="D5" s="204">
        <f>E5-C5</f>
        <v>1214.0342926615851</v>
      </c>
      <c r="E5" s="206">
        <f>'Relative Valuation'!AA24</f>
        <v>1518.976593890714</v>
      </c>
      <c r="F5" s="206">
        <f>'Relative Valuation'!AA22</f>
        <v>1168.4059734382242</v>
      </c>
      <c r="G5" s="205">
        <v>0</v>
      </c>
      <c r="H5" s="203">
        <f>F5*G5</f>
        <v>0</v>
      </c>
    </row>
    <row r="6" spans="2:8">
      <c r="B6" s="203" t="s">
        <v>26</v>
      </c>
      <c r="C6" s="206">
        <f>'Relative Valuation'!AB23</f>
        <v>1244.5340955972988</v>
      </c>
      <c r="D6" s="204">
        <f>E6-C6</f>
        <v>876.94676019288318</v>
      </c>
      <c r="E6" s="206">
        <f>'Relative Valuation'!AB24</f>
        <v>2121.480855790182</v>
      </c>
      <c r="F6" s="206">
        <f>'Relative Valuation'!AB22</f>
        <v>1606.4371125913481</v>
      </c>
      <c r="G6" s="205">
        <v>0</v>
      </c>
      <c r="H6" s="203">
        <f>F6*G6</f>
        <v>0</v>
      </c>
    </row>
    <row r="7" spans="2:8">
      <c r="B7" s="203" t="s">
        <v>603</v>
      </c>
      <c r="C7" s="206">
        <f>'Perpetual growth Vs EVEBITDA'!G36</f>
        <v>-18.588909741801121</v>
      </c>
      <c r="D7" s="204">
        <f>E7-C7</f>
        <v>111.20488804269461</v>
      </c>
      <c r="E7" s="206">
        <f>'Perpetual growth Vs EVEBITDA'!C40</f>
        <v>92.615978300893488</v>
      </c>
      <c r="F7" s="206">
        <f>'Perpetual growth Vs EVEBITDA'!B30</f>
        <v>26.732497397378182</v>
      </c>
      <c r="G7" s="205">
        <v>0</v>
      </c>
      <c r="H7" s="203">
        <f>F7*G7</f>
        <v>0</v>
      </c>
    </row>
    <row r="8" spans="2:8">
      <c r="B8" s="203" t="s">
        <v>604</v>
      </c>
      <c r="C8" s="206">
        <f>'Perpetual growth Vs EVEBITDA'!O36</f>
        <v>307.95227693590437</v>
      </c>
      <c r="D8" s="204">
        <f>E8-C8</f>
        <v>210.37127606783565</v>
      </c>
      <c r="E8" s="206">
        <f>'Perpetual growth Vs EVEBITDA'!K40</f>
        <v>518.32355300374002</v>
      </c>
      <c r="F8" s="206">
        <f>'Perpetual growth Vs EVEBITDA'!J30</f>
        <v>319.60224598271003</v>
      </c>
      <c r="G8" s="205">
        <v>0.8</v>
      </c>
      <c r="H8" s="203">
        <f>F8*G8</f>
        <v>255.68179678616804</v>
      </c>
    </row>
    <row r="9" spans="2:8">
      <c r="B9" s="203" t="s">
        <v>605</v>
      </c>
      <c r="C9" s="206">
        <f>'Relative Valuation'!O13</f>
        <v>280</v>
      </c>
      <c r="D9" s="204">
        <f>E9-C9</f>
        <v>407.20000000000005</v>
      </c>
      <c r="E9" s="206">
        <f>'Relative Valuation'!N13</f>
        <v>687.2</v>
      </c>
      <c r="F9" s="206">
        <f>'Relative Valuation'!Q13</f>
        <v>581.35</v>
      </c>
      <c r="G9" s="205">
        <v>0</v>
      </c>
      <c r="H9" s="203">
        <f>F9*G9</f>
        <v>0</v>
      </c>
    </row>
    <row r="10" spans="2:8">
      <c r="B10" s="201" t="s">
        <v>35</v>
      </c>
      <c r="C10" s="207">
        <f>AVERAGE(C3:C9)</f>
        <v>1784.8814961508476</v>
      </c>
      <c r="D10" s="207"/>
      <c r="E10" s="207">
        <f>AVERAGE(E3:E9)</f>
        <v>2998.3105859774937</v>
      </c>
      <c r="F10" s="207"/>
      <c r="G10" s="208">
        <f>SUM(G2:G9)</f>
        <v>1</v>
      </c>
      <c r="H10" s="203">
        <f>SUM(H3:H9)</f>
        <v>446.04676362295277</v>
      </c>
    </row>
    <row r="13" spans="2:8">
      <c r="B13" s="209" t="s">
        <v>606</v>
      </c>
      <c r="C13" s="210">
        <f>'Relative Valuation'!Q13</f>
        <v>581.35</v>
      </c>
      <c r="D13" s="210"/>
    </row>
    <row r="14" spans="2:8">
      <c r="B14" s="209" t="s">
        <v>607</v>
      </c>
      <c r="C14" s="211">
        <f>H10</f>
        <v>446.04676362295277</v>
      </c>
      <c r="D14" s="211"/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2026-10-15T18:38:49Z</dcterms:created>
  <dcterms:modified xsi:type="dcterms:W3CDTF">2026-10-15T18:38:49Z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2026-08-01T12:23:25Z</dcterms:created>
  <dc:creator>Pooja Kumari</dc:creator>
  <dc:description/>
  <dc:language>en-US</dc:language>
  <cp:lastModifiedBy>Pooja Kumari</cp:lastModifiedBy>
  <dcterms:modified xsi:type="dcterms:W3CDTF">2026-08-01T14:23:34Z</dcterms:modified>
  <cp:revision>0</cp:revision>
  <dc:subject/>
  <dc:title/>
</cp:coreProperties>
</file>